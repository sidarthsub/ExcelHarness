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<sst xmlns="http://schemas.openxmlformats.org/spreadsheetml/2006/main" count="8" uniqueCount="8">
  <si>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Terminal value (Gordon growth)</t>
  </si>
  <si>
    <t xml:space="preserve">Year 5 FCF</t>
  </si>
  <si>
    <t xml:space="preserve">Terminal growth</t>
  </si>
  <si>
    <t xml:space="preserve">WACC</t>
  </si>
  <si>
    <t xml:space="preserve">Horizon</t>
  </si>
  <si>
    <t xml:space="preserve">Terminal value (Y5)</t>
  </si>
  <si>
    <t xml:space="preserve">Discount factor Y5</t>
  </si>
  <si>
    <t xml:space="preserve">PV of terminal value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</si>
</sst>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0"/>
    <numFmt numFmtId="168" formatCode="\$#,##0.00"/>
    <numFmt numFmtId="169" formatCode="0.000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</cols>
  <sheetData>
    <row r="1" customFormat="false" ht="15" hidden="false" customHeight="false" outlineLevel="0" collapsed="false">
      <c r="A1" s="2" t="s">
        <v>0</v>
      </c>
    </row>
    <row r="3" customFormat="false" ht="15" hidden="false" customHeight="false" outlineLevel="0" collapsed="false">
      <c r="A3" s="1" t="s">
        <v>1</v>
      </c>
      <c r="B3" s="3" t="n">
        <v>10000000</v>
      </c>
    </row>
    <row r="4" customFormat="false" ht="15" hidden="false" customHeight="false" outlineLevel="0" collapsed="false">
      <c r="A4" s="1" t="s">
        <v>2</v>
      </c>
      <c r="B4" s="4" t="n">
        <v>0.025</v>
      </c>
    </row>
    <row r="5" customFormat="false" ht="15" hidden="false" customHeight="false" outlineLevel="0" collapsed="false">
      <c r="A5" s="1" t="s">
        <v>3</v>
      </c>
      <c r="B5" s="4" t="n">
        <v>0.09</v>
      </c>
    </row>
    <row r="6" customFormat="false" ht="15" hidden="false" customHeight="false" outlineLevel="0" collapsed="false">
      <c r="A6" s="1" t="s">
        <v>4</v>
      </c>
      <c r="B6" s="5" t="n">
        <v>5</v>
      </c>
    </row>
    <row r="9" customFormat="false" ht="15" hidden="false" customHeight="false" outlineLevel="0" collapsed="false">
      <c r="A9" s="1" t="s">
        <v>5</v>
      </c>
      <c r="B9" s="6" t="n">
        <f aca="false">B3*(1+B4)/(B5-B4)</f>
        <v>157692307.692308</v>
      </c>
    </row>
    <row r="10" customFormat="false" ht="15" hidden="false" customHeight="false" outlineLevel="0" collapsed="false">
      <c r="A10" s="1" t="s">
        <v>6</v>
      </c>
      <c r="B10" s="7" t="n">
        <f aca="false">1/(1+B5)^B6</f>
        <v>0.649931386298345</v>
      </c>
    </row>
    <row r="11" customFormat="false" ht="15" hidden="false" customHeight="false" outlineLevel="0" collapsed="false">
      <c r="A11" s="1" t="s">
        <v>7</v>
      </c>
      <c r="B11" s="6" t="n">
        <f aca="false">B9*B10</f>
        <v>102489180.147047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2026-04-23T14:48:59Z</dcterms:created>
  <dc:creator>openpyxl</dc:creator>
  <dc:description/>
  <dc:language>en-US</dc:language>
  <cp:lastModifiedBy/>
  <dcterms:modified xsi:type="dcterms:W3CDTF">2026-04-23T14:48:59Z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