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<sst xmlns="http://schemas.openxmlformats.org/spreadsheetml/2006/main" count="10" uniqueCount="10">
  <si>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1x non-participating waterfall</t>
  </si>
  <si>
    <t xml:space="preserve">LP investment</t>
  </si>
  <si>
    <t xml:space="preserve">LP ownership (%)</t>
  </si>
  <si>
    <t xml:space="preserve">Pref multiple</t>
  </si>
  <si>
    <t xml:space="preserve">Exit value</t>
  </si>
  <si>
    <t xml:space="preserve">Answers:</t>
  </si>
  <si>
    <t xml:space="preserve">Preference amount</t>
  </si>
  <si>
    <t xml:space="preserve">Conversion amount</t>
  </si>
  <si>
    <t xml:space="preserve">LP actual proceeds</t>
  </si>
  <si>
    <t xml:space="preserve">Common proceeds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</si>
</sst>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12000000</v>
      </c>
    </row>
    <row r="4" customFormat="false" ht="15" hidden="false" customHeight="false" outlineLevel="0" collapsed="false">
      <c r="A4" s="1" t="s">
        <v>2</v>
      </c>
      <c r="B4" s="4" t="n">
        <v>0.3</v>
      </c>
    </row>
    <row r="5" customFormat="false" ht="15" hidden="false" customHeight="false" outlineLevel="0" collapsed="false">
      <c r="A5" s="1" t="s">
        <v>3</v>
      </c>
      <c r="B5" s="5" t="n">
        <v>1</v>
      </c>
    </row>
    <row r="6" customFormat="false" ht="15" hidden="false" customHeight="false" outlineLevel="0" collapsed="false">
      <c r="A6" s="1" t="s">
        <v>4</v>
      </c>
      <c r="B6" s="3" t="n">
        <v>45000000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1" t="s">
        <v>6</v>
      </c>
      <c r="B10" s="3" t="n">
        <f aca="false">B3*B5</f>
        <v>12000000</v>
      </c>
    </row>
    <row r="11" customFormat="false" ht="15" hidden="false" customHeight="false" outlineLevel="0" collapsed="false">
      <c r="A11" s="1" t="s">
        <v>7</v>
      </c>
      <c r="B11" s="3" t="n">
        <f aca="false">B4*B6</f>
        <v>13500000</v>
      </c>
    </row>
    <row r="12" customFormat="false" ht="15" hidden="false" customHeight="false" outlineLevel="0" collapsed="false">
      <c r="A12" s="1" t="s">
        <v>8</v>
      </c>
      <c r="B12" s="3" t="n">
        <f aca="false">MAX(B10,B11)</f>
        <v>13500000</v>
      </c>
    </row>
    <row r="13" customFormat="false" ht="15" hidden="false" customHeight="false" outlineLevel="0" collapsed="false">
      <c r="A13" s="1" t="s">
        <v>9</v>
      </c>
      <c r="B13" s="3" t="n">
        <f aca="false">B6-B12</f>
        <v>31500000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2026-04-23T14:40:41Z</dcterms:created>
  <dc:creator>openpyxl</dc:creator>
  <dc:description/>
  <dc:language>en-US</dc:language>
  <cp:lastModifiedBy/>
  <dcterms:modified xsi:type="dcterms:W3CDTF">2026-04-23T14:40:41Z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