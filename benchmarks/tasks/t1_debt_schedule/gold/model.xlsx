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mortization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<sst xmlns="http://schemas.openxmlformats.org/spreadsheetml/2006/main" count="14" uniqueCount="13">
  <si>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 xml:space="preserve">Amortization Schedule</t>
  </si>
  <si>
    <t xml:space="preserve">Principal</t>
  </si>
  <si>
    <t xml:space="preserve">Annual rate</t>
  </si>
  <si>
    <t xml:space="preserve">Term (months)</t>
  </si>
  <si>
    <t xml:space="preserve">Monthly payment</t>
  </si>
  <si>
    <t xml:space="preserve">Month</t>
  </si>
  <si>
    <t xml:space="preserve">Beginning Balance</t>
  </si>
  <si>
    <t xml:space="preserve">Payment</t>
  </si>
  <si>
    <t xml:space="preserve">Interest</t>
  </si>
  <si>
    <t xml:space="preserve">Ending Balance</t>
  </si>
  <si>
    <t xml:space="preserve">Total interest paid</t>
  </si>
  <si>
    <t xml:space="preserve">Total principal paid</t>
  </si>
  <si>
    <t xml:space="preserve">Final balance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</si>
</sst>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%"/>
    <numFmt numFmtId="167" formatCode="0"/>
    <numFmt numFmtId="168" formatCode="\$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6" min="2" style="1" width="14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1" t="s">
        <v>1</v>
      </c>
      <c r="B2" s="3" t="n">
        <v>1000000</v>
      </c>
    </row>
    <row r="3" customFormat="false" ht="15" hidden="false" customHeight="false" outlineLevel="0" collapsed="false">
      <c r="A3" s="1" t="s">
        <v>2</v>
      </c>
      <c r="B3" s="4" t="n">
        <v>0.06</v>
      </c>
    </row>
    <row r="4" customFormat="false" ht="15" hidden="false" customHeight="false" outlineLevel="0" collapsed="false">
      <c r="A4" s="1" t="s">
        <v>3</v>
      </c>
      <c r="B4" s="5" t="n">
        <v>60</v>
      </c>
    </row>
    <row r="5" customFormat="false" ht="15" hidden="false" customHeight="false" outlineLevel="0" collapsed="false">
      <c r="A5" s="1" t="s">
        <v>4</v>
      </c>
      <c r="B5" s="6" t="n">
        <f aca="false">PMT(B3/12,B4,-B2)</f>
        <v>19332.8015294279</v>
      </c>
    </row>
    <row r="7" customFormat="false" ht="15" hidden="false" customHeight="false" outlineLevel="0" collapsed="false">
      <c r="A7" s="7" t="s">
        <v>5</v>
      </c>
      <c r="B7" s="8" t="s">
        <v>6</v>
      </c>
      <c r="C7" s="8" t="s">
        <v>7</v>
      </c>
      <c r="D7" s="8" t="s">
        <v>8</v>
      </c>
      <c r="E7" s="8" t="s">
        <v>1</v>
      </c>
      <c r="F7" s="8" t="s">
        <v>9</v>
      </c>
    </row>
    <row r="8" customFormat="false" ht="15" hidden="false" customHeight="false" outlineLevel="0" collapsed="false">
      <c r="A8" s="9" t="n">
        <v>1</v>
      </c>
      <c r="B8" s="6" t="n">
        <f aca="false">$B$2</f>
        <v>1000000</v>
      </c>
      <c r="C8" s="6" t="n">
        <f aca="false">$B$5</f>
        <v>19332.8015294279</v>
      </c>
      <c r="D8" s="6" t="n">
        <f aca="false">B8*$B$3/12</f>
        <v>5000</v>
      </c>
      <c r="E8" s="6" t="n">
        <f aca="false">C8-D8</f>
        <v>14332.8015294279</v>
      </c>
      <c r="F8" s="6" t="n">
        <f aca="false">B8-E8</f>
        <v>985667.198470572</v>
      </c>
    </row>
    <row r="9" customFormat="false" ht="15" hidden="false" customHeight="false" outlineLevel="0" collapsed="false">
      <c r="A9" s="9" t="n">
        <f aca="false">A8+1</f>
        <v>2</v>
      </c>
      <c r="B9" s="6" t="n">
        <f aca="false">F8</f>
        <v>985667.198470572</v>
      </c>
      <c r="C9" s="6" t="n">
        <f aca="false">$B$5</f>
        <v>19332.8015294279</v>
      </c>
      <c r="D9" s="6" t="n">
        <f aca="false">B9*$B$3/12</f>
        <v>4928.33599235286</v>
      </c>
      <c r="E9" s="6" t="n">
        <f aca="false">C9-D9</f>
        <v>14404.4655370751</v>
      </c>
      <c r="F9" s="6" t="n">
        <f aca="false">B9-E9</f>
        <v>971262.732933497</v>
      </c>
    </row>
    <row r="10" customFormat="false" ht="15" hidden="false" customHeight="false" outlineLevel="0" collapsed="false">
      <c r="A10" s="9" t="n">
        <f aca="false">A9+1</f>
        <v>3</v>
      </c>
      <c r="B10" s="6" t="n">
        <f aca="false">F9</f>
        <v>971262.732933497</v>
      </c>
      <c r="C10" s="6" t="n">
        <f aca="false">$B$5</f>
        <v>19332.8015294279</v>
      </c>
      <c r="D10" s="6" t="n">
        <f aca="false">B10*$B$3/12</f>
        <v>4856.31366466749</v>
      </c>
      <c r="E10" s="6" t="n">
        <f aca="false">C10-D10</f>
        <v>14476.4878647604</v>
      </c>
      <c r="F10" s="6" t="n">
        <f aca="false">B10-E10</f>
        <v>956786.245068737</v>
      </c>
    </row>
    <row r="11" customFormat="false" ht="15" hidden="false" customHeight="false" outlineLevel="0" collapsed="false">
      <c r="A11" s="9" t="n">
        <f aca="false">A10+1</f>
        <v>4</v>
      </c>
      <c r="B11" s="6" t="n">
        <f aca="false">F10</f>
        <v>956786.245068737</v>
      </c>
      <c r="C11" s="6" t="n">
        <f aca="false">$B$5</f>
        <v>19332.8015294279</v>
      </c>
      <c r="D11" s="6" t="n">
        <f aca="false">B11*$B$3/12</f>
        <v>4783.93122534368</v>
      </c>
      <c r="E11" s="6" t="n">
        <f aca="false">C11-D11</f>
        <v>14548.8703040842</v>
      </c>
      <c r="F11" s="6" t="n">
        <f aca="false">B11-E11</f>
        <v>942237.374764652</v>
      </c>
    </row>
    <row r="12" customFormat="false" ht="15" hidden="false" customHeight="false" outlineLevel="0" collapsed="false">
      <c r="A12" s="9" t="n">
        <f aca="false">A11+1</f>
        <v>5</v>
      </c>
      <c r="B12" s="6" t="n">
        <f aca="false">F11</f>
        <v>942237.374764652</v>
      </c>
      <c r="C12" s="6" t="n">
        <f aca="false">$B$5</f>
        <v>19332.8015294279</v>
      </c>
      <c r="D12" s="6" t="n">
        <f aca="false">B12*$B$3/12</f>
        <v>4711.18687382326</v>
      </c>
      <c r="E12" s="6" t="n">
        <f aca="false">C12-D12</f>
        <v>14621.6146556047</v>
      </c>
      <c r="F12" s="6" t="n">
        <f aca="false">B12-E12</f>
        <v>927615.760109048</v>
      </c>
    </row>
    <row r="13" customFormat="false" ht="15" hidden="false" customHeight="false" outlineLevel="0" collapsed="false">
      <c r="A13" s="9" t="n">
        <f aca="false">A12+1</f>
        <v>6</v>
      </c>
      <c r="B13" s="6" t="n">
        <f aca="false">F12</f>
        <v>927615.760109048</v>
      </c>
      <c r="C13" s="6" t="n">
        <f aca="false">$B$5</f>
        <v>19332.8015294279</v>
      </c>
      <c r="D13" s="6" t="n">
        <f aca="false">B13*$B$3/12</f>
        <v>4638.07880054524</v>
      </c>
      <c r="E13" s="6" t="n">
        <f aca="false">C13-D13</f>
        <v>14694.7227288827</v>
      </c>
      <c r="F13" s="6" t="n">
        <f aca="false">B13-E13</f>
        <v>912921.037380165</v>
      </c>
    </row>
    <row r="14" customFormat="false" ht="15" hidden="false" customHeight="false" outlineLevel="0" collapsed="false">
      <c r="A14" s="9" t="n">
        <f aca="false">A13+1</f>
        <v>7</v>
      </c>
      <c r="B14" s="6" t="n">
        <f aca="false">F13</f>
        <v>912921.037380165</v>
      </c>
      <c r="C14" s="6" t="n">
        <f aca="false">$B$5</f>
        <v>19332.8015294279</v>
      </c>
      <c r="D14" s="6" t="n">
        <f aca="false">B14*$B$3/12</f>
        <v>4564.60518690083</v>
      </c>
      <c r="E14" s="6" t="n">
        <f aca="false">C14-D14</f>
        <v>14768.1963425271</v>
      </c>
      <c r="F14" s="6" t="n">
        <f aca="false">B14-E14</f>
        <v>898152.841037638</v>
      </c>
    </row>
    <row r="15" customFormat="false" ht="15" hidden="false" customHeight="false" outlineLevel="0" collapsed="false">
      <c r="A15" s="9" t="n">
        <f aca="false">A14+1</f>
        <v>8</v>
      </c>
      <c r="B15" s="6" t="n">
        <f aca="false">F14</f>
        <v>898152.841037638</v>
      </c>
      <c r="C15" s="6" t="n">
        <f aca="false">$B$5</f>
        <v>19332.8015294279</v>
      </c>
      <c r="D15" s="6" t="n">
        <f aca="false">B15*$B$3/12</f>
        <v>4490.76420518819</v>
      </c>
      <c r="E15" s="6" t="n">
        <f aca="false">C15-D15</f>
        <v>14842.0373242397</v>
      </c>
      <c r="F15" s="6" t="n">
        <f aca="false">B15-E15</f>
        <v>883310.803713398</v>
      </c>
    </row>
    <row r="16" customFormat="false" ht="15" hidden="false" customHeight="false" outlineLevel="0" collapsed="false">
      <c r="A16" s="9" t="n">
        <f aca="false">A15+1</f>
        <v>9</v>
      </c>
      <c r="B16" s="6" t="n">
        <f aca="false">F15</f>
        <v>883310.803713398</v>
      </c>
      <c r="C16" s="6" t="n">
        <f aca="false">$B$5</f>
        <v>19332.8015294279</v>
      </c>
      <c r="D16" s="6" t="n">
        <f aca="false">B16*$B$3/12</f>
        <v>4416.55401856699</v>
      </c>
      <c r="E16" s="6" t="n">
        <f aca="false">C16-D16</f>
        <v>14916.2475108609</v>
      </c>
      <c r="F16" s="6" t="n">
        <f aca="false">B16-E16</f>
        <v>868394.556202537</v>
      </c>
    </row>
    <row r="17" customFormat="false" ht="15" hidden="false" customHeight="false" outlineLevel="0" collapsed="false">
      <c r="A17" s="9" t="n">
        <f aca="false">A16+1</f>
        <v>10</v>
      </c>
      <c r="B17" s="6" t="n">
        <f aca="false">F16</f>
        <v>868394.556202537</v>
      </c>
      <c r="C17" s="6" t="n">
        <f aca="false">$B$5</f>
        <v>19332.8015294279</v>
      </c>
      <c r="D17" s="6" t="n">
        <f aca="false">B17*$B$3/12</f>
        <v>4341.97278101269</v>
      </c>
      <c r="E17" s="6" t="n">
        <f aca="false">C17-D17</f>
        <v>14990.8287484152</v>
      </c>
      <c r="F17" s="6" t="n">
        <f aca="false">B17-E17</f>
        <v>853403.727454122</v>
      </c>
    </row>
    <row r="18" customFormat="false" ht="15" hidden="false" customHeight="false" outlineLevel="0" collapsed="false">
      <c r="A18" s="9" t="n">
        <f aca="false">A17+1</f>
        <v>11</v>
      </c>
      <c r="B18" s="6" t="n">
        <f aca="false">F17</f>
        <v>853403.727454122</v>
      </c>
      <c r="C18" s="6" t="n">
        <f aca="false">$B$5</f>
        <v>19332.8015294279</v>
      </c>
      <c r="D18" s="6" t="n">
        <f aca="false">B18*$B$3/12</f>
        <v>4267.01863727061</v>
      </c>
      <c r="E18" s="6" t="n">
        <f aca="false">C18-D18</f>
        <v>15065.7828921573</v>
      </c>
      <c r="F18" s="6" t="n">
        <f aca="false">B18-E18</f>
        <v>838337.944561965</v>
      </c>
    </row>
    <row r="19" customFormat="false" ht="15" hidden="false" customHeight="false" outlineLevel="0" collapsed="false">
      <c r="A19" s="9" t="n">
        <f aca="false">A18+1</f>
        <v>12</v>
      </c>
      <c r="B19" s="6" t="n">
        <f aca="false">F18</f>
        <v>838337.944561965</v>
      </c>
      <c r="C19" s="6" t="n">
        <f aca="false">$B$5</f>
        <v>19332.8015294279</v>
      </c>
      <c r="D19" s="6" t="n">
        <f aca="false">B19*$B$3/12</f>
        <v>4191.68972280982</v>
      </c>
      <c r="E19" s="6" t="n">
        <f aca="false">C19-D19</f>
        <v>15141.1118066181</v>
      </c>
      <c r="F19" s="6" t="n">
        <f aca="false">B19-E19</f>
        <v>823196.832755347</v>
      </c>
    </row>
    <row r="20" customFormat="false" ht="15" hidden="false" customHeight="false" outlineLevel="0" collapsed="false">
      <c r="A20" s="9" t="n">
        <f aca="false">A19+1</f>
        <v>13</v>
      </c>
      <c r="B20" s="6" t="n">
        <f aca="false">F19</f>
        <v>823196.832755347</v>
      </c>
      <c r="C20" s="6" t="n">
        <f aca="false">$B$5</f>
        <v>19332.8015294279</v>
      </c>
      <c r="D20" s="6" t="n">
        <f aca="false">B20*$B$3/12</f>
        <v>4115.98416377673</v>
      </c>
      <c r="E20" s="6" t="n">
        <f aca="false">C20-D20</f>
        <v>15216.8173656512</v>
      </c>
      <c r="F20" s="6" t="n">
        <f aca="false">B20-E20</f>
        <v>807980.015389696</v>
      </c>
    </row>
    <row r="21" customFormat="false" ht="15" hidden="false" customHeight="false" outlineLevel="0" collapsed="false">
      <c r="A21" s="9" t="n">
        <f aca="false">A20+1</f>
        <v>14</v>
      </c>
      <c r="B21" s="6" t="n">
        <f aca="false">F20</f>
        <v>807980.015389696</v>
      </c>
      <c r="C21" s="6" t="n">
        <f aca="false">$B$5</f>
        <v>19332.8015294279</v>
      </c>
      <c r="D21" s="6" t="n">
        <f aca="false">B21*$B$3/12</f>
        <v>4039.90007694848</v>
      </c>
      <c r="E21" s="6" t="n">
        <f aca="false">C21-D21</f>
        <v>15292.9014524794</v>
      </c>
      <c r="F21" s="6" t="n">
        <f aca="false">B21-E21</f>
        <v>792687.113937216</v>
      </c>
    </row>
    <row r="22" customFormat="false" ht="15" hidden="false" customHeight="false" outlineLevel="0" collapsed="false">
      <c r="A22" s="9" t="n">
        <f aca="false">A21+1</f>
        <v>15</v>
      </c>
      <c r="B22" s="6" t="n">
        <f aca="false">F21</f>
        <v>792687.113937216</v>
      </c>
      <c r="C22" s="6" t="n">
        <f aca="false">$B$5</f>
        <v>19332.8015294279</v>
      </c>
      <c r="D22" s="6" t="n">
        <f aca="false">B22*$B$3/12</f>
        <v>3963.43556968608</v>
      </c>
      <c r="E22" s="6" t="n">
        <f aca="false">C22-D22</f>
        <v>15369.3659597418</v>
      </c>
      <c r="F22" s="6" t="n">
        <f aca="false">B22-E22</f>
        <v>777317.747977474</v>
      </c>
    </row>
    <row r="23" customFormat="false" ht="15" hidden="false" customHeight="false" outlineLevel="0" collapsed="false">
      <c r="A23" s="9" t="n">
        <f aca="false">A22+1</f>
        <v>16</v>
      </c>
      <c r="B23" s="6" t="n">
        <f aca="false">F22</f>
        <v>777317.747977474</v>
      </c>
      <c r="C23" s="6" t="n">
        <f aca="false">$B$5</f>
        <v>19332.8015294279</v>
      </c>
      <c r="D23" s="6" t="n">
        <f aca="false">B23*$B$3/12</f>
        <v>3886.58873988737</v>
      </c>
      <c r="E23" s="6" t="n">
        <f aca="false">C23-D23</f>
        <v>15446.2127895405</v>
      </c>
      <c r="F23" s="6" t="n">
        <f aca="false">B23-E23</f>
        <v>761871.535187934</v>
      </c>
    </row>
    <row r="24" customFormat="false" ht="15" hidden="false" customHeight="false" outlineLevel="0" collapsed="false">
      <c r="A24" s="9" t="n">
        <f aca="false">A23+1</f>
        <v>17</v>
      </c>
      <c r="B24" s="6" t="n">
        <f aca="false">F23</f>
        <v>761871.535187934</v>
      </c>
      <c r="C24" s="6" t="n">
        <f aca="false">$B$5</f>
        <v>19332.8015294279</v>
      </c>
      <c r="D24" s="6" t="n">
        <f aca="false">B24*$B$3/12</f>
        <v>3809.35767593967</v>
      </c>
      <c r="E24" s="6" t="n">
        <f aca="false">C24-D24</f>
        <v>15523.4438534882</v>
      </c>
      <c r="F24" s="6" t="n">
        <f aca="false">B24-E24</f>
        <v>746348.091334446</v>
      </c>
    </row>
    <row r="25" customFormat="false" ht="15" hidden="false" customHeight="false" outlineLevel="0" collapsed="false">
      <c r="A25" s="9" t="n">
        <f aca="false">A24+1</f>
        <v>18</v>
      </c>
      <c r="B25" s="6" t="n">
        <f aca="false">F24</f>
        <v>746348.091334446</v>
      </c>
      <c r="C25" s="6" t="n">
        <f aca="false">$B$5</f>
        <v>19332.8015294279</v>
      </c>
      <c r="D25" s="6" t="n">
        <f aca="false">B25*$B$3/12</f>
        <v>3731.74045667223</v>
      </c>
      <c r="E25" s="6" t="n">
        <f aca="false">C25-D25</f>
        <v>15601.0610727557</v>
      </c>
      <c r="F25" s="6" t="n">
        <f aca="false">B25-E25</f>
        <v>730747.03026169</v>
      </c>
    </row>
    <row r="26" customFormat="false" ht="15" hidden="false" customHeight="false" outlineLevel="0" collapsed="false">
      <c r="A26" s="9" t="n">
        <f aca="false">A25+1</f>
        <v>19</v>
      </c>
      <c r="B26" s="6" t="n">
        <f aca="false">F25</f>
        <v>730747.03026169</v>
      </c>
      <c r="C26" s="6" t="n">
        <f aca="false">$B$5</f>
        <v>19332.8015294279</v>
      </c>
      <c r="D26" s="6" t="n">
        <f aca="false">B26*$B$3/12</f>
        <v>3653.73515130845</v>
      </c>
      <c r="E26" s="6" t="n">
        <f aca="false">C26-D26</f>
        <v>15679.0663781195</v>
      </c>
      <c r="F26" s="6" t="n">
        <f aca="false">B26-E26</f>
        <v>715067.96388357</v>
      </c>
    </row>
    <row r="27" customFormat="false" ht="15" hidden="false" customHeight="false" outlineLevel="0" collapsed="false">
      <c r="A27" s="9" t="n">
        <f aca="false">A26+1</f>
        <v>20</v>
      </c>
      <c r="B27" s="6" t="n">
        <f aca="false">F26</f>
        <v>715067.96388357</v>
      </c>
      <c r="C27" s="6" t="n">
        <f aca="false">$B$5</f>
        <v>19332.8015294279</v>
      </c>
      <c r="D27" s="6" t="n">
        <f aca="false">B27*$B$3/12</f>
        <v>3575.33981941785</v>
      </c>
      <c r="E27" s="6" t="n">
        <f aca="false">C27-D27</f>
        <v>15757.4617100101</v>
      </c>
      <c r="F27" s="6" t="n">
        <f aca="false">B27-E27</f>
        <v>699310.50217356</v>
      </c>
    </row>
    <row r="28" customFormat="false" ht="15" hidden="false" customHeight="false" outlineLevel="0" collapsed="false">
      <c r="A28" s="9" t="n">
        <f aca="false">A27+1</f>
        <v>21</v>
      </c>
      <c r="B28" s="6" t="n">
        <f aca="false">F27</f>
        <v>699310.50217356</v>
      </c>
      <c r="C28" s="6" t="n">
        <f aca="false">$B$5</f>
        <v>19332.8015294279</v>
      </c>
      <c r="D28" s="6" t="n">
        <f aca="false">B28*$B$3/12</f>
        <v>3496.5525108678</v>
      </c>
      <c r="E28" s="6" t="n">
        <f aca="false">C28-D28</f>
        <v>15836.2490185601</v>
      </c>
      <c r="F28" s="6" t="n">
        <f aca="false">B28-E28</f>
        <v>683474.253155</v>
      </c>
    </row>
    <row r="29" customFormat="false" ht="15" hidden="false" customHeight="false" outlineLevel="0" collapsed="false">
      <c r="A29" s="9" t="n">
        <f aca="false">A28+1</f>
        <v>22</v>
      </c>
      <c r="B29" s="6" t="n">
        <f aca="false">F28</f>
        <v>683474.253155</v>
      </c>
      <c r="C29" s="6" t="n">
        <f aca="false">$B$5</f>
        <v>19332.8015294279</v>
      </c>
      <c r="D29" s="6" t="n">
        <f aca="false">B29*$B$3/12</f>
        <v>3417.371265775</v>
      </c>
      <c r="E29" s="6" t="n">
        <f aca="false">C29-D29</f>
        <v>15915.4302636529</v>
      </c>
      <c r="F29" s="6" t="n">
        <f aca="false">B29-E29</f>
        <v>667558.822891347</v>
      </c>
    </row>
    <row r="30" customFormat="false" ht="15" hidden="false" customHeight="false" outlineLevel="0" collapsed="false">
      <c r="A30" s="9" t="n">
        <f aca="false">A29+1</f>
        <v>23</v>
      </c>
      <c r="B30" s="6" t="n">
        <f aca="false">F29</f>
        <v>667558.822891347</v>
      </c>
      <c r="C30" s="6" t="n">
        <f aca="false">$B$5</f>
        <v>19332.8015294279</v>
      </c>
      <c r="D30" s="6" t="n">
        <f aca="false">B30*$B$3/12</f>
        <v>3337.79411445674</v>
      </c>
      <c r="E30" s="6" t="n">
        <f aca="false">C30-D30</f>
        <v>15995.0074149712</v>
      </c>
      <c r="F30" s="6" t="n">
        <f aca="false">B30-E30</f>
        <v>651563.815476376</v>
      </c>
    </row>
    <row r="31" customFormat="false" ht="15" hidden="false" customHeight="false" outlineLevel="0" collapsed="false">
      <c r="A31" s="9" t="n">
        <f aca="false">A30+1</f>
        <v>24</v>
      </c>
      <c r="B31" s="6" t="n">
        <f aca="false">F30</f>
        <v>651563.815476376</v>
      </c>
      <c r="C31" s="6" t="n">
        <f aca="false">$B$5</f>
        <v>19332.8015294279</v>
      </c>
      <c r="D31" s="6" t="n">
        <f aca="false">B31*$B$3/12</f>
        <v>3257.81907738188</v>
      </c>
      <c r="E31" s="6" t="n">
        <f aca="false">C31-D31</f>
        <v>16074.982452046</v>
      </c>
      <c r="F31" s="6" t="n">
        <f aca="false">B31-E31</f>
        <v>635488.83302433</v>
      </c>
    </row>
    <row r="32" customFormat="false" ht="15" hidden="false" customHeight="false" outlineLevel="0" collapsed="false">
      <c r="A32" s="9" t="n">
        <f aca="false">A31+1</f>
        <v>25</v>
      </c>
      <c r="B32" s="6" t="n">
        <f aca="false">F31</f>
        <v>635488.83302433</v>
      </c>
      <c r="C32" s="6" t="n">
        <f aca="false">$B$5</f>
        <v>19332.8015294279</v>
      </c>
      <c r="D32" s="6" t="n">
        <f aca="false">B32*$B$3/12</f>
        <v>3177.44416512165</v>
      </c>
      <c r="E32" s="6" t="n">
        <f aca="false">C32-D32</f>
        <v>16155.3573643063</v>
      </c>
      <c r="F32" s="6" t="n">
        <f aca="false">B32-E32</f>
        <v>619333.475660024</v>
      </c>
    </row>
    <row r="33" customFormat="false" ht="15" hidden="false" customHeight="false" outlineLevel="0" collapsed="false">
      <c r="A33" s="9" t="n">
        <f aca="false">A32+1</f>
        <v>26</v>
      </c>
      <c r="B33" s="6" t="n">
        <f aca="false">F32</f>
        <v>619333.475660024</v>
      </c>
      <c r="C33" s="6" t="n">
        <f aca="false">$B$5</f>
        <v>19332.8015294279</v>
      </c>
      <c r="D33" s="6" t="n">
        <f aca="false">B33*$B$3/12</f>
        <v>3096.66737830012</v>
      </c>
      <c r="E33" s="6" t="n">
        <f aca="false">C33-D33</f>
        <v>16236.1341511278</v>
      </c>
      <c r="F33" s="6" t="n">
        <f aca="false">B33-E33</f>
        <v>603097.341508896</v>
      </c>
    </row>
    <row r="34" customFormat="false" ht="15" hidden="false" customHeight="false" outlineLevel="0" collapsed="false">
      <c r="A34" s="9" t="n">
        <f aca="false">A33+1</f>
        <v>27</v>
      </c>
      <c r="B34" s="6" t="n">
        <f aca="false">F33</f>
        <v>603097.341508896</v>
      </c>
      <c r="C34" s="6" t="n">
        <f aca="false">$B$5</f>
        <v>19332.8015294279</v>
      </c>
      <c r="D34" s="6" t="n">
        <f aca="false">B34*$B$3/12</f>
        <v>3015.48670754448</v>
      </c>
      <c r="E34" s="6" t="n">
        <f aca="false">C34-D34</f>
        <v>16317.3148218834</v>
      </c>
      <c r="F34" s="6" t="n">
        <f aca="false">B34-E34</f>
        <v>586780.026687013</v>
      </c>
    </row>
    <row r="35" customFormat="false" ht="15" hidden="false" customHeight="false" outlineLevel="0" collapsed="false">
      <c r="A35" s="9" t="n">
        <f aca="false">A34+1</f>
        <v>28</v>
      </c>
      <c r="B35" s="6" t="n">
        <f aca="false">F34</f>
        <v>586780.026687013</v>
      </c>
      <c r="C35" s="6" t="n">
        <f aca="false">$B$5</f>
        <v>19332.8015294279</v>
      </c>
      <c r="D35" s="6" t="n">
        <f aca="false">B35*$B$3/12</f>
        <v>2933.90013343506</v>
      </c>
      <c r="E35" s="6" t="n">
        <f aca="false">C35-D35</f>
        <v>16398.9013959929</v>
      </c>
      <c r="F35" s="6" t="n">
        <f aca="false">B35-E35</f>
        <v>570381.12529102</v>
      </c>
    </row>
    <row r="36" customFormat="false" ht="15" hidden="false" customHeight="false" outlineLevel="0" collapsed="false">
      <c r="A36" s="9" t="n">
        <f aca="false">A35+1</f>
        <v>29</v>
      </c>
      <c r="B36" s="6" t="n">
        <f aca="false">F35</f>
        <v>570381.12529102</v>
      </c>
      <c r="C36" s="6" t="n">
        <f aca="false">$B$5</f>
        <v>19332.8015294279</v>
      </c>
      <c r="D36" s="6" t="n">
        <f aca="false">B36*$B$3/12</f>
        <v>2851.9056264551</v>
      </c>
      <c r="E36" s="6" t="n">
        <f aca="false">C36-D36</f>
        <v>16480.8959029728</v>
      </c>
      <c r="F36" s="6" t="n">
        <f aca="false">B36-E36</f>
        <v>553900.229388047</v>
      </c>
    </row>
    <row r="37" customFormat="false" ht="15" hidden="false" customHeight="false" outlineLevel="0" collapsed="false">
      <c r="A37" s="9" t="n">
        <f aca="false">A36+1</f>
        <v>30</v>
      </c>
      <c r="B37" s="6" t="n">
        <f aca="false">F36</f>
        <v>553900.229388047</v>
      </c>
      <c r="C37" s="6" t="n">
        <f aca="false">$B$5</f>
        <v>19332.8015294279</v>
      </c>
      <c r="D37" s="6" t="n">
        <f aca="false">B37*$B$3/12</f>
        <v>2769.50114694023</v>
      </c>
      <c r="E37" s="6" t="n">
        <f aca="false">C37-D37</f>
        <v>16563.3003824877</v>
      </c>
      <c r="F37" s="6" t="n">
        <f aca="false">B37-E37</f>
        <v>537336.929005559</v>
      </c>
    </row>
    <row r="38" customFormat="false" ht="15" hidden="false" customHeight="false" outlineLevel="0" collapsed="false">
      <c r="A38" s="9" t="n">
        <f aca="false">A37+1</f>
        <v>31</v>
      </c>
      <c r="B38" s="6" t="n">
        <f aca="false">F37</f>
        <v>537336.929005559</v>
      </c>
      <c r="C38" s="6" t="n">
        <f aca="false">$B$5</f>
        <v>19332.8015294279</v>
      </c>
      <c r="D38" s="6" t="n">
        <f aca="false">B38*$B$3/12</f>
        <v>2686.6846450278</v>
      </c>
      <c r="E38" s="6" t="n">
        <f aca="false">C38-D38</f>
        <v>16646.1168844001</v>
      </c>
      <c r="F38" s="6" t="n">
        <f aca="false">B38-E38</f>
        <v>520690.812121159</v>
      </c>
    </row>
    <row r="39" customFormat="false" ht="15" hidden="false" customHeight="false" outlineLevel="0" collapsed="false">
      <c r="A39" s="9" t="n">
        <f aca="false">A38+1</f>
        <v>32</v>
      </c>
      <c r="B39" s="6" t="n">
        <f aca="false">F38</f>
        <v>520690.812121159</v>
      </c>
      <c r="C39" s="6" t="n">
        <f aca="false">$B$5</f>
        <v>19332.8015294279</v>
      </c>
      <c r="D39" s="6" t="n">
        <f aca="false">B39*$B$3/12</f>
        <v>2603.4540606058</v>
      </c>
      <c r="E39" s="6" t="n">
        <f aca="false">C39-D39</f>
        <v>16729.3474688221</v>
      </c>
      <c r="F39" s="6" t="n">
        <f aca="false">B39-E39</f>
        <v>503961.464652337</v>
      </c>
    </row>
    <row r="40" customFormat="false" ht="15" hidden="false" customHeight="false" outlineLevel="0" collapsed="false">
      <c r="A40" s="9" t="n">
        <f aca="false">A39+1</f>
        <v>33</v>
      </c>
      <c r="B40" s="6" t="n">
        <f aca="false">F39</f>
        <v>503961.464652337</v>
      </c>
      <c r="C40" s="6" t="n">
        <f aca="false">$B$5</f>
        <v>19332.8015294279</v>
      </c>
      <c r="D40" s="6" t="n">
        <f aca="false">B40*$B$3/12</f>
        <v>2519.80732326168</v>
      </c>
      <c r="E40" s="6" t="n">
        <f aca="false">C40-D40</f>
        <v>16812.9942061662</v>
      </c>
      <c r="F40" s="6" t="n">
        <f aca="false">B40-E40</f>
        <v>487148.470446171</v>
      </c>
    </row>
    <row r="41" customFormat="false" ht="15" hidden="false" customHeight="false" outlineLevel="0" collapsed="false">
      <c r="A41" s="9" t="n">
        <f aca="false">A40+1</f>
        <v>34</v>
      </c>
      <c r="B41" s="6" t="n">
        <f aca="false">F40</f>
        <v>487148.470446171</v>
      </c>
      <c r="C41" s="6" t="n">
        <f aca="false">$B$5</f>
        <v>19332.8015294279</v>
      </c>
      <c r="D41" s="6" t="n">
        <f aca="false">B41*$B$3/12</f>
        <v>2435.74235223085</v>
      </c>
      <c r="E41" s="6" t="n">
        <f aca="false">C41-D41</f>
        <v>16897.0591771971</v>
      </c>
      <c r="F41" s="6" t="n">
        <f aca="false">B41-E41</f>
        <v>470251.411268974</v>
      </c>
    </row>
    <row r="42" customFormat="false" ht="15" hidden="false" customHeight="false" outlineLevel="0" collapsed="false">
      <c r="A42" s="9" t="n">
        <f aca="false">A41+1</f>
        <v>35</v>
      </c>
      <c r="B42" s="6" t="n">
        <f aca="false">F41</f>
        <v>470251.411268974</v>
      </c>
      <c r="C42" s="6" t="n">
        <f aca="false">$B$5</f>
        <v>19332.8015294279</v>
      </c>
      <c r="D42" s="6" t="n">
        <f aca="false">B42*$B$3/12</f>
        <v>2351.25705634487</v>
      </c>
      <c r="E42" s="6" t="n">
        <f aca="false">C42-D42</f>
        <v>16981.5444730831</v>
      </c>
      <c r="F42" s="6" t="n">
        <f aca="false">B42-E42</f>
        <v>453269.866795891</v>
      </c>
    </row>
    <row r="43" customFormat="false" ht="15" hidden="false" customHeight="false" outlineLevel="0" collapsed="false">
      <c r="A43" s="9" t="n">
        <f aca="false">A42+1</f>
        <v>36</v>
      </c>
      <c r="B43" s="6" t="n">
        <f aca="false">F42</f>
        <v>453269.866795891</v>
      </c>
      <c r="C43" s="6" t="n">
        <f aca="false">$B$5</f>
        <v>19332.8015294279</v>
      </c>
      <c r="D43" s="6" t="n">
        <f aca="false">B43*$B$3/12</f>
        <v>2266.34933397945</v>
      </c>
      <c r="E43" s="6" t="n">
        <f aca="false">C43-D43</f>
        <v>17066.4521954485</v>
      </c>
      <c r="F43" s="6" t="n">
        <f aca="false">B43-E43</f>
        <v>436203.414600442</v>
      </c>
    </row>
    <row r="44" customFormat="false" ht="15" hidden="false" customHeight="false" outlineLevel="0" collapsed="false">
      <c r="A44" s="9" t="n">
        <f aca="false">A43+1</f>
        <v>37</v>
      </c>
      <c r="B44" s="6" t="n">
        <f aca="false">F43</f>
        <v>436203.414600442</v>
      </c>
      <c r="C44" s="6" t="n">
        <f aca="false">$B$5</f>
        <v>19332.8015294279</v>
      </c>
      <c r="D44" s="6" t="n">
        <f aca="false">B44*$B$3/12</f>
        <v>2181.01707300221</v>
      </c>
      <c r="E44" s="6" t="n">
        <f aca="false">C44-D44</f>
        <v>17151.7844564257</v>
      </c>
      <c r="F44" s="6" t="n">
        <f aca="false">B44-E44</f>
        <v>419051.630144016</v>
      </c>
    </row>
    <row r="45" customFormat="false" ht="15" hidden="false" customHeight="false" outlineLevel="0" collapsed="false">
      <c r="A45" s="9" t="n">
        <f aca="false">A44+1</f>
        <v>38</v>
      </c>
      <c r="B45" s="6" t="n">
        <f aca="false">F44</f>
        <v>419051.630144016</v>
      </c>
      <c r="C45" s="6" t="n">
        <f aca="false">$B$5</f>
        <v>19332.8015294279</v>
      </c>
      <c r="D45" s="6" t="n">
        <f aca="false">B45*$B$3/12</f>
        <v>2095.25815072008</v>
      </c>
      <c r="E45" s="6" t="n">
        <f aca="false">C45-D45</f>
        <v>17237.5433787078</v>
      </c>
      <c r="F45" s="6" t="n">
        <f aca="false">B45-E45</f>
        <v>401814.086765309</v>
      </c>
    </row>
    <row r="46" customFormat="false" ht="15" hidden="false" customHeight="false" outlineLevel="0" collapsed="false">
      <c r="A46" s="9" t="n">
        <f aca="false">A45+1</f>
        <v>39</v>
      </c>
      <c r="B46" s="6" t="n">
        <f aca="false">F45</f>
        <v>401814.086765309</v>
      </c>
      <c r="C46" s="6" t="n">
        <f aca="false">$B$5</f>
        <v>19332.8015294279</v>
      </c>
      <c r="D46" s="6" t="n">
        <f aca="false">B46*$B$3/12</f>
        <v>2009.07043382654</v>
      </c>
      <c r="E46" s="6" t="n">
        <f aca="false">C46-D46</f>
        <v>17323.7310956014</v>
      </c>
      <c r="F46" s="6" t="n">
        <f aca="false">B46-E46</f>
        <v>384490.355669707</v>
      </c>
    </row>
    <row r="47" customFormat="false" ht="15" hidden="false" customHeight="false" outlineLevel="0" collapsed="false">
      <c r="A47" s="9" t="n">
        <f aca="false">A46+1</f>
        <v>40</v>
      </c>
      <c r="B47" s="6" t="n">
        <f aca="false">F46</f>
        <v>384490.355669707</v>
      </c>
      <c r="C47" s="6" t="n">
        <f aca="false">$B$5</f>
        <v>19332.8015294279</v>
      </c>
      <c r="D47" s="6" t="n">
        <f aca="false">B47*$B$3/12</f>
        <v>1922.45177834854</v>
      </c>
      <c r="E47" s="6" t="n">
        <f aca="false">C47-D47</f>
        <v>17410.3497510794</v>
      </c>
      <c r="F47" s="6" t="n">
        <f aca="false">B47-E47</f>
        <v>367080.005918628</v>
      </c>
    </row>
    <row r="48" customFormat="false" ht="15" hidden="false" customHeight="false" outlineLevel="0" collapsed="false">
      <c r="A48" s="9" t="n">
        <f aca="false">A47+1</f>
        <v>41</v>
      </c>
      <c r="B48" s="6" t="n">
        <f aca="false">F47</f>
        <v>367080.005918628</v>
      </c>
      <c r="C48" s="6" t="n">
        <f aca="false">$B$5</f>
        <v>19332.8015294279</v>
      </c>
      <c r="D48" s="6" t="n">
        <f aca="false">B48*$B$3/12</f>
        <v>1835.40002959314</v>
      </c>
      <c r="E48" s="6" t="n">
        <f aca="false">C48-D48</f>
        <v>17497.4014998348</v>
      </c>
      <c r="F48" s="6" t="n">
        <f aca="false">B48-E48</f>
        <v>349582.604418793</v>
      </c>
    </row>
    <row r="49" customFormat="false" ht="15" hidden="false" customHeight="false" outlineLevel="0" collapsed="false">
      <c r="A49" s="9" t="n">
        <f aca="false">A48+1</f>
        <v>42</v>
      </c>
      <c r="B49" s="6" t="n">
        <f aca="false">F48</f>
        <v>349582.604418793</v>
      </c>
      <c r="C49" s="6" t="n">
        <f aca="false">$B$5</f>
        <v>19332.8015294279</v>
      </c>
      <c r="D49" s="6" t="n">
        <f aca="false">B49*$B$3/12</f>
        <v>1747.91302209396</v>
      </c>
      <c r="E49" s="6" t="n">
        <f aca="false">C49-D49</f>
        <v>17584.888507334</v>
      </c>
      <c r="F49" s="6" t="n">
        <f aca="false">B49-E49</f>
        <v>331997.715911459</v>
      </c>
    </row>
    <row r="50" customFormat="false" ht="15" hidden="false" customHeight="false" outlineLevel="0" collapsed="false">
      <c r="A50" s="9" t="n">
        <f aca="false">A49+1</f>
        <v>43</v>
      </c>
      <c r="B50" s="6" t="n">
        <f aca="false">F49</f>
        <v>331997.715911459</v>
      </c>
      <c r="C50" s="6" t="n">
        <f aca="false">$B$5</f>
        <v>19332.8015294279</v>
      </c>
      <c r="D50" s="6" t="n">
        <f aca="false">B50*$B$3/12</f>
        <v>1659.9885795573</v>
      </c>
      <c r="E50" s="6" t="n">
        <f aca="false">C50-D50</f>
        <v>17672.8129498706</v>
      </c>
      <c r="F50" s="6" t="n">
        <f aca="false">B50-E50</f>
        <v>314324.902961588</v>
      </c>
    </row>
    <row r="51" customFormat="false" ht="15" hidden="false" customHeight="false" outlineLevel="0" collapsed="false">
      <c r="A51" s="9" t="n">
        <f aca="false">A50+1</f>
        <v>44</v>
      </c>
      <c r="B51" s="6" t="n">
        <f aca="false">F50</f>
        <v>314324.902961588</v>
      </c>
      <c r="C51" s="6" t="n">
        <f aca="false">$B$5</f>
        <v>19332.8015294279</v>
      </c>
      <c r="D51" s="6" t="n">
        <f aca="false">B51*$B$3/12</f>
        <v>1571.62451480794</v>
      </c>
      <c r="E51" s="6" t="n">
        <f aca="false">C51-D51</f>
        <v>17761.17701462</v>
      </c>
      <c r="F51" s="6" t="n">
        <f aca="false">B51-E51</f>
        <v>296563.725946969</v>
      </c>
    </row>
    <row r="52" customFormat="false" ht="15" hidden="false" customHeight="false" outlineLevel="0" collapsed="false">
      <c r="A52" s="9" t="n">
        <f aca="false">A51+1</f>
        <v>45</v>
      </c>
      <c r="B52" s="6" t="n">
        <f aca="false">F51</f>
        <v>296563.725946969</v>
      </c>
      <c r="C52" s="6" t="n">
        <f aca="false">$B$5</f>
        <v>19332.8015294279</v>
      </c>
      <c r="D52" s="6" t="n">
        <f aca="false">B52*$B$3/12</f>
        <v>1482.81862973484</v>
      </c>
      <c r="E52" s="6" t="n">
        <f aca="false">C52-D52</f>
        <v>17849.9828996931</v>
      </c>
      <c r="F52" s="6" t="n">
        <f aca="false">B52-E52</f>
        <v>278713.743047275</v>
      </c>
    </row>
    <row r="53" customFormat="false" ht="15" hidden="false" customHeight="false" outlineLevel="0" collapsed="false">
      <c r="A53" s="9" t="n">
        <f aca="false">A52+1</f>
        <v>46</v>
      </c>
      <c r="B53" s="6" t="n">
        <f aca="false">F52</f>
        <v>278713.743047275</v>
      </c>
      <c r="C53" s="6" t="n">
        <f aca="false">$B$5</f>
        <v>19332.8015294279</v>
      </c>
      <c r="D53" s="6" t="n">
        <f aca="false">B53*$B$3/12</f>
        <v>1393.56871523638</v>
      </c>
      <c r="E53" s="6" t="n">
        <f aca="false">C53-D53</f>
        <v>17939.2328141915</v>
      </c>
      <c r="F53" s="6" t="n">
        <f aca="false">B53-E53</f>
        <v>260774.510233084</v>
      </c>
    </row>
    <row r="54" customFormat="false" ht="15" hidden="false" customHeight="false" outlineLevel="0" collapsed="false">
      <c r="A54" s="9" t="n">
        <f aca="false">A53+1</f>
        <v>47</v>
      </c>
      <c r="B54" s="6" t="n">
        <f aca="false">F53</f>
        <v>260774.510233084</v>
      </c>
      <c r="C54" s="6" t="n">
        <f aca="false">$B$5</f>
        <v>19332.8015294279</v>
      </c>
      <c r="D54" s="6" t="n">
        <f aca="false">B54*$B$3/12</f>
        <v>1303.87255116542</v>
      </c>
      <c r="E54" s="6" t="n">
        <f aca="false">C54-D54</f>
        <v>18028.9289782625</v>
      </c>
      <c r="F54" s="6" t="n">
        <f aca="false">B54-E54</f>
        <v>242745.581254821</v>
      </c>
    </row>
    <row r="55" customFormat="false" ht="15" hidden="false" customHeight="false" outlineLevel="0" collapsed="false">
      <c r="A55" s="9" t="n">
        <f aca="false">A54+1</f>
        <v>48</v>
      </c>
      <c r="B55" s="6" t="n">
        <f aca="false">F54</f>
        <v>242745.581254821</v>
      </c>
      <c r="C55" s="6" t="n">
        <f aca="false">$B$5</f>
        <v>19332.8015294279</v>
      </c>
      <c r="D55" s="6" t="n">
        <f aca="false">B55*$B$3/12</f>
        <v>1213.72790627411</v>
      </c>
      <c r="E55" s="6" t="n">
        <f aca="false">C55-D55</f>
        <v>18119.0736231538</v>
      </c>
      <c r="F55" s="6" t="n">
        <f aca="false">B55-E55</f>
        <v>224626.507631668</v>
      </c>
    </row>
    <row r="56" customFormat="false" ht="15" hidden="false" customHeight="false" outlineLevel="0" collapsed="false">
      <c r="A56" s="9" t="n">
        <f aca="false">A55+1</f>
        <v>49</v>
      </c>
      <c r="B56" s="6" t="n">
        <f aca="false">F55</f>
        <v>224626.507631668</v>
      </c>
      <c r="C56" s="6" t="n">
        <f aca="false">$B$5</f>
        <v>19332.8015294279</v>
      </c>
      <c r="D56" s="6" t="n">
        <f aca="false">B56*$B$3/12</f>
        <v>1123.13253815834</v>
      </c>
      <c r="E56" s="6" t="n">
        <f aca="false">C56-D56</f>
        <v>18209.6689912696</v>
      </c>
      <c r="F56" s="6" t="n">
        <f aca="false">B56-E56</f>
        <v>206416.838640398</v>
      </c>
    </row>
    <row r="57" customFormat="false" ht="15" hidden="false" customHeight="false" outlineLevel="0" collapsed="false">
      <c r="A57" s="9" t="n">
        <f aca="false">A56+1</f>
        <v>50</v>
      </c>
      <c r="B57" s="6" t="n">
        <f aca="false">F56</f>
        <v>206416.838640398</v>
      </c>
      <c r="C57" s="6" t="n">
        <f aca="false">$B$5</f>
        <v>19332.8015294279</v>
      </c>
      <c r="D57" s="6" t="n">
        <f aca="false">B57*$B$3/12</f>
        <v>1032.08419320199</v>
      </c>
      <c r="E57" s="6" t="n">
        <f aca="false">C57-D57</f>
        <v>18300.7173362259</v>
      </c>
      <c r="F57" s="6" t="n">
        <f aca="false">B57-E57</f>
        <v>188116.121304172</v>
      </c>
    </row>
    <row r="58" customFormat="false" ht="15" hidden="false" customHeight="false" outlineLevel="0" collapsed="false">
      <c r="A58" s="9" t="n">
        <f aca="false">A57+1</f>
        <v>51</v>
      </c>
      <c r="B58" s="6" t="n">
        <f aca="false">F57</f>
        <v>188116.121304172</v>
      </c>
      <c r="C58" s="6" t="n">
        <f aca="false">$B$5</f>
        <v>19332.8015294279</v>
      </c>
      <c r="D58" s="6" t="n">
        <f aca="false">B58*$B$3/12</f>
        <v>940.58060652086</v>
      </c>
      <c r="E58" s="6" t="n">
        <f aca="false">C58-D58</f>
        <v>18392.2209229071</v>
      </c>
      <c r="F58" s="6" t="n">
        <f aca="false">B58-E58</f>
        <v>169723.900381265</v>
      </c>
    </row>
    <row r="59" customFormat="false" ht="15" hidden="false" customHeight="false" outlineLevel="0" collapsed="false">
      <c r="A59" s="9" t="n">
        <f aca="false">A58+1</f>
        <v>52</v>
      </c>
      <c r="B59" s="6" t="n">
        <f aca="false">F58</f>
        <v>169723.900381265</v>
      </c>
      <c r="C59" s="6" t="n">
        <f aca="false">$B$5</f>
        <v>19332.8015294279</v>
      </c>
      <c r="D59" s="6" t="n">
        <f aca="false">B59*$B$3/12</f>
        <v>848.619501906325</v>
      </c>
      <c r="E59" s="6" t="n">
        <f aca="false">C59-D59</f>
        <v>18484.1820275216</v>
      </c>
      <c r="F59" s="6" t="n">
        <f aca="false">B59-E59</f>
        <v>151239.718353743</v>
      </c>
    </row>
    <row r="60" customFormat="false" ht="15" hidden="false" customHeight="false" outlineLevel="0" collapsed="false">
      <c r="A60" s="9" t="n">
        <f aca="false">A59+1</f>
        <v>53</v>
      </c>
      <c r="B60" s="6" t="n">
        <f aca="false">F59</f>
        <v>151239.718353743</v>
      </c>
      <c r="C60" s="6" t="n">
        <f aca="false">$B$5</f>
        <v>19332.8015294279</v>
      </c>
      <c r="D60" s="6" t="n">
        <f aca="false">B60*$B$3/12</f>
        <v>756.198591768717</v>
      </c>
      <c r="E60" s="6" t="n">
        <f aca="false">C60-D60</f>
        <v>18576.6029376592</v>
      </c>
      <c r="F60" s="6" t="n">
        <f aca="false">B60-E60</f>
        <v>132663.115416084</v>
      </c>
    </row>
    <row r="61" customFormat="false" ht="15" hidden="false" customHeight="false" outlineLevel="0" collapsed="false">
      <c r="A61" s="9" t="n">
        <f aca="false">A60+1</f>
        <v>54</v>
      </c>
      <c r="B61" s="6" t="n">
        <f aca="false">F60</f>
        <v>132663.115416084</v>
      </c>
      <c r="C61" s="6" t="n">
        <f aca="false">$B$5</f>
        <v>19332.8015294279</v>
      </c>
      <c r="D61" s="6" t="n">
        <f aca="false">B61*$B$3/12</f>
        <v>663.315577080421</v>
      </c>
      <c r="E61" s="6" t="n">
        <f aca="false">C61-D61</f>
        <v>18669.4859523475</v>
      </c>
      <c r="F61" s="6" t="n">
        <f aca="false">B61-E61</f>
        <v>113993.629463737</v>
      </c>
    </row>
    <row r="62" customFormat="false" ht="15" hidden="false" customHeight="false" outlineLevel="0" collapsed="false">
      <c r="A62" s="9" t="n">
        <f aca="false">A61+1</f>
        <v>55</v>
      </c>
      <c r="B62" s="6" t="n">
        <f aca="false">F61</f>
        <v>113993.629463737</v>
      </c>
      <c r="C62" s="6" t="n">
        <f aca="false">$B$5</f>
        <v>19332.8015294279</v>
      </c>
      <c r="D62" s="6" t="n">
        <f aca="false">B62*$B$3/12</f>
        <v>569.968147318684</v>
      </c>
      <c r="E62" s="6" t="n">
        <f aca="false">C62-D62</f>
        <v>18762.8333821092</v>
      </c>
      <c r="F62" s="6" t="n">
        <f aca="false">B62-E62</f>
        <v>95230.7960816275</v>
      </c>
    </row>
    <row r="63" customFormat="false" ht="15" hidden="false" customHeight="false" outlineLevel="0" collapsed="false">
      <c r="A63" s="9" t="n">
        <f aca="false">A62+1</f>
        <v>56</v>
      </c>
      <c r="B63" s="6" t="n">
        <f aca="false">F62</f>
        <v>95230.7960816275</v>
      </c>
      <c r="C63" s="6" t="n">
        <f aca="false">$B$5</f>
        <v>19332.8015294279</v>
      </c>
      <c r="D63" s="6" t="n">
        <f aca="false">B63*$B$3/12</f>
        <v>476.153980408137</v>
      </c>
      <c r="E63" s="6" t="n">
        <f aca="false">C63-D63</f>
        <v>18856.6475490198</v>
      </c>
      <c r="F63" s="6" t="n">
        <f aca="false">B63-E63</f>
        <v>76374.1485326077</v>
      </c>
    </row>
    <row r="64" customFormat="false" ht="15" hidden="false" customHeight="false" outlineLevel="0" collapsed="false">
      <c r="A64" s="9" t="n">
        <f aca="false">A63+1</f>
        <v>57</v>
      </c>
      <c r="B64" s="6" t="n">
        <f aca="false">F63</f>
        <v>76374.1485326077</v>
      </c>
      <c r="C64" s="6" t="n">
        <f aca="false">$B$5</f>
        <v>19332.8015294279</v>
      </c>
      <c r="D64" s="6" t="n">
        <f aca="false">B64*$B$3/12</f>
        <v>381.870742663038</v>
      </c>
      <c r="E64" s="6" t="n">
        <f aca="false">C64-D64</f>
        <v>18950.9307867649</v>
      </c>
      <c r="F64" s="6" t="n">
        <f aca="false">B64-E64</f>
        <v>57423.2177458428</v>
      </c>
    </row>
    <row r="65" customFormat="false" ht="15" hidden="false" customHeight="false" outlineLevel="0" collapsed="false">
      <c r="A65" s="9" t="n">
        <f aca="false">A64+1</f>
        <v>58</v>
      </c>
      <c r="B65" s="6" t="n">
        <f aca="false">F64</f>
        <v>57423.2177458428</v>
      </c>
      <c r="C65" s="6" t="n">
        <f aca="false">$B$5</f>
        <v>19332.8015294279</v>
      </c>
      <c r="D65" s="6" t="n">
        <f aca="false">B65*$B$3/12</f>
        <v>287.116088729214</v>
      </c>
      <c r="E65" s="6" t="n">
        <f aca="false">C65-D65</f>
        <v>19045.6854406987</v>
      </c>
      <c r="F65" s="6" t="n">
        <f aca="false">B65-E65</f>
        <v>38377.5323051441</v>
      </c>
    </row>
    <row r="66" customFormat="false" ht="15" hidden="false" customHeight="false" outlineLevel="0" collapsed="false">
      <c r="A66" s="9" t="n">
        <f aca="false">A65+1</f>
        <v>59</v>
      </c>
      <c r="B66" s="6" t="n">
        <f aca="false">F65</f>
        <v>38377.5323051441</v>
      </c>
      <c r="C66" s="6" t="n">
        <f aca="false">$B$5</f>
        <v>19332.8015294279</v>
      </c>
      <c r="D66" s="6" t="n">
        <f aca="false">B66*$B$3/12</f>
        <v>191.887661525721</v>
      </c>
      <c r="E66" s="6" t="n">
        <f aca="false">C66-D66</f>
        <v>19140.9138679022</v>
      </c>
      <c r="F66" s="6" t="n">
        <f aca="false">B66-E66</f>
        <v>19236.6184372419</v>
      </c>
    </row>
    <row r="67" customFormat="false" ht="15" hidden="false" customHeight="false" outlineLevel="0" collapsed="false">
      <c r="A67" s="9" t="n">
        <f aca="false">A66+1</f>
        <v>60</v>
      </c>
      <c r="B67" s="6" t="n">
        <f aca="false">F66</f>
        <v>19236.6184372419</v>
      </c>
      <c r="C67" s="6" t="n">
        <f aca="false">$B$5</f>
        <v>19332.8015294279</v>
      </c>
      <c r="D67" s="6" t="n">
        <f aca="false">B67*$B$3/12</f>
        <v>96.1830921862095</v>
      </c>
      <c r="E67" s="6" t="n">
        <f aca="false">C67-D67</f>
        <v>19236.6184372417</v>
      </c>
      <c r="F67" s="6" t="n">
        <f aca="false">B67-E67</f>
        <v>1.96450855582953E-010</v>
      </c>
    </row>
    <row r="70" customFormat="false" ht="15" hidden="false" customHeight="false" outlineLevel="0" collapsed="false">
      <c r="A70" s="10" t="s">
        <v>10</v>
      </c>
      <c r="B70" s="6" t="n">
        <f aca="false">SUM(D8:D67)</f>
        <v>159968.091765675</v>
      </c>
    </row>
    <row r="71" customFormat="false" ht="15" hidden="false" customHeight="false" outlineLevel="0" collapsed="false">
      <c r="A71" s="10" t="s">
        <v>11</v>
      </c>
      <c r="B71" s="6" t="n">
        <f aca="false">SUM(E8:E67)</f>
        <v>1000000</v>
      </c>
    </row>
    <row r="72" customFormat="false" ht="15" hidden="false" customHeight="false" outlineLevel="0" collapsed="false">
      <c r="A72" s="10" t="s">
        <v>12</v>
      </c>
      <c r="B72" s="6" t="n">
        <f aca="false">F67</f>
        <v>1.96450855582953E-010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2026-04-23T15:07:00Z</dcterms:created>
  <dc:creator>openpyxl</dc:creator>
  <dc:description/>
  <dc:language>en-US</dc:language>
  <cp:lastModifiedBy/>
  <dcterms:modified xsi:type="dcterms:W3CDTF">2026-04-23T15:07:00Z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