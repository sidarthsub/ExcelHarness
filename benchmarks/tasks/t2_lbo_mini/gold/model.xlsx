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 and Uses" sheetId="1" state="visible" r:id="rId3"/>
    <sheet name="Operating Model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<sst xmlns="http://schemas.openxmlformats.org/spreadsheetml/2006/main" count="45" uniqueCount="45">
  <si>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Sources and Uses — Reed Industries</t>
  </si>
  <si>
    <t xml:space="preserve">Sources</t>
  </si>
  <si>
    <t xml:space="preserve">Term Loan B</t>
  </si>
  <si>
    <t xml:space="preserve">Mezzanine</t>
  </si>
  <si>
    <t xml:space="preserve">Sponsor Equity (plug)</t>
  </si>
  <si>
    <t xml:space="preserve">Total Sources</t>
  </si>
  <si>
    <t xml:space="preserve">Uses</t>
  </si>
  <si>
    <t xml:space="preserve">Purchase price (EV)</t>
  </si>
  <si>
    <t xml:space="preserve">Transaction fees</t>
  </si>
  <si>
    <t xml:space="preserve">Total Uses</t>
  </si>
  <si>
    <t xml:space="preserve">Check (Sources − Uses)</t>
  </si>
  <si>
    <t xml:space="preserve">Operating Model — Reed Industries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</si>
  <si>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</si>
  <si>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</si>
  <si>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</si>
  <si>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</si>
  <si>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</si>
  <si>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</si>
  <si>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</t>
  </si>
  <si>
    <t xml:space="preserve">D&amp;A</t>
  </si>
  <si>
    <t xml:space="preserve">EBIT</t>
  </si>
  <si>
    <t xml:space="preserve">TLB beginning balance</t>
  </si>
  <si>
    <t xml:space="preserve">TLB interest</t>
  </si>
  <si>
    <t xml:space="preserve">Mezz interest</t>
  </si>
  <si>
    <t xml:space="preserve">Pretax income</t>
  </si>
  <si>
    <t xml:space="preserve">Tax</t>
  </si>
  <si>
    <t xml:space="preserve">Net income</t>
  </si>
  <si>
    <t xml:space="preserve">Capex</t>
  </si>
  <si>
    <t xml:space="preserve">FCF</t>
  </si>
  <si>
    <t xml:space="preserve">Mandatory amort</t>
  </si>
  <si>
    <t xml:space="preserve">Cash sweep</t>
  </si>
  <si>
    <t xml:space="preserve">TLB end balance</t>
  </si>
  <si>
    <t xml:space="preserve">Mezz end balance</t>
  </si>
  <si>
    <t xml:space="preserve">Returns — Reed Industries</t>
  </si>
  <si>
    <t xml:space="preserve">Exit multiple</t>
  </si>
  <si>
    <t xml:space="preserve">Hold period (years)</t>
  </si>
  <si>
    <t xml:space="preserve">Initial sponsor equity</t>
  </si>
  <si>
    <t xml:space="preserve">Exit Y5 EBITDA</t>
  </si>
  <si>
    <t xml:space="preserve">Exit EV</t>
  </si>
  <si>
    <t xml:space="preserve">TLB at exit</t>
  </si>
  <si>
    <t xml:space="preserve">Mezz at exit</t>
  </si>
  <si>
    <t xml:space="preserve">Net debt at exit</t>
  </si>
  <si>
    <t xml:space="preserve">Exit equity value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</si>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</sst>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\x"/>
    <numFmt numFmtId="167" formatCode="0"/>
    <numFmt numFmtId="168" formatCode="0.00\x"/>
    <numFmt numFmtId="169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1" t="s">
        <v>2</v>
      </c>
      <c r="B4" s="4" t="n">
        <v>250000000</v>
      </c>
    </row>
    <row r="5" customFormat="false" ht="15" hidden="false" customHeight="false" outlineLevel="0" collapsed="false">
      <c r="A5" s="1" t="s">
        <v>3</v>
      </c>
      <c r="B5" s="4" t="n">
        <v>50000000</v>
      </c>
    </row>
    <row r="6" customFormat="false" ht="15" hidden="false" customHeight="false" outlineLevel="0" collapsed="false">
      <c r="A6" s="3" t="s">
        <v>4</v>
      </c>
      <c r="B6" s="4" t="n">
        <f aca="false">B12-B4-B5</f>
        <v>210000000</v>
      </c>
    </row>
    <row r="7" customFormat="false" ht="15" hidden="false" customHeight="false" outlineLevel="0" collapsed="false">
      <c r="A7" s="3" t="s">
        <v>5</v>
      </c>
      <c r="B7" s="4" t="n">
        <f aca="false">SUM(B4:B6)</f>
        <v>510000000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1" t="s">
        <v>7</v>
      </c>
      <c r="B10" s="4" t="n">
        <v>500000000</v>
      </c>
    </row>
    <row r="11" customFormat="false" ht="15" hidden="false" customHeight="false" outlineLevel="0" collapsed="false">
      <c r="A11" s="1" t="s">
        <v>8</v>
      </c>
      <c r="B11" s="4" t="n">
        <v>10000000</v>
      </c>
    </row>
    <row r="12" customFormat="false" ht="15" hidden="false" customHeight="false" outlineLevel="0" collapsed="false">
      <c r="A12" s="3" t="s">
        <v>9</v>
      </c>
      <c r="B12" s="4" t="n">
        <f aca="false">SUM(B10:B11)</f>
        <v>510000000</v>
      </c>
    </row>
    <row r="14" customFormat="false" ht="15" hidden="false" customHeight="false" outlineLevel="0" collapsed="false">
      <c r="A14" s="1" t="s">
        <v>10</v>
      </c>
      <c r="B14" s="4" t="n">
        <f aca="false">B7-B12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6"/>
  </cols>
  <sheetData>
    <row r="1" customFormat="false" ht="16.15" hidden="false" customHeight="false" outlineLevel="0" collapsed="false">
      <c r="A1" s="2" t="s">
        <v>11</v>
      </c>
    </row>
    <row r="2" customFormat="false" ht="15" hidden="false" customHeight="false" outlineLevel="0" collapsed="false"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</row>
    <row r="3" customFormat="false" ht="15" hidden="false" customHeight="false" outlineLevel="0" collapsed="false">
      <c r="A3" s="1" t="s">
        <v>17</v>
      </c>
      <c r="B3" s="4" t="n">
        <f aca="false">250000000*(1+0.06)^1</f>
        <v>265000000</v>
      </c>
      <c r="C3" s="4" t="n">
        <f aca="false">250000000*(1+0.06)^2</f>
        <v>280900000</v>
      </c>
      <c r="D3" s="4" t="n">
        <f aca="false">250000000*(1+0.06)^3</f>
        <v>297754000</v>
      </c>
      <c r="E3" s="4" t="n">
        <f aca="false">250000000*(1+0.06)^4</f>
        <v>315619240</v>
      </c>
      <c r="F3" s="4" t="n">
        <f aca="false">250000000*(1+0.06)^5</f>
        <v>334556394.4</v>
      </c>
    </row>
    <row r="4" customFormat="false" ht="15" hidden="false" customHeight="false" outlineLevel="0" collapsed="false">
      <c r="A4" s="1" t="s">
        <v>18</v>
      </c>
      <c r="B4" s="4" t="n">
        <f aca="false">50000000*(1+0.08)^1</f>
        <v>54000000</v>
      </c>
      <c r="C4" s="4" t="n">
        <f aca="false">50000000*(1+0.08)^2</f>
        <v>58320000</v>
      </c>
      <c r="D4" s="4" t="n">
        <f aca="false">50000000*(1+0.08)^3</f>
        <v>62985600</v>
      </c>
      <c r="E4" s="4" t="n">
        <f aca="false">50000000*(1+0.08)^4</f>
        <v>68024448</v>
      </c>
      <c r="F4" s="4" t="n">
        <f aca="false">50000000*(1+0.08)^5</f>
        <v>73466403.84</v>
      </c>
    </row>
    <row r="5" customFormat="false" ht="15" hidden="false" customHeight="false" outlineLevel="0" collapsed="false">
      <c r="A5" s="1" t="s">
        <v>19</v>
      </c>
      <c r="B5" s="4" t="n">
        <f aca="false">12000000</f>
        <v>12000000</v>
      </c>
      <c r="C5" s="4" t="n">
        <f aca="false">12000000</f>
        <v>12000000</v>
      </c>
      <c r="D5" s="4" t="n">
        <f aca="false">12000000</f>
        <v>12000000</v>
      </c>
      <c r="E5" s="4" t="n">
        <f aca="false">12000000</f>
        <v>12000000</v>
      </c>
      <c r="F5" s="4" t="n">
        <f aca="false">12000000</f>
        <v>12000000</v>
      </c>
    </row>
    <row r="6" customFormat="false" ht="15" hidden="false" customHeight="false" outlineLevel="0" collapsed="false">
      <c r="A6" s="1" t="s">
        <v>20</v>
      </c>
      <c r="B6" s="4" t="n">
        <f aca="false">B4-B5</f>
        <v>42000000</v>
      </c>
      <c r="C6" s="4" t="n">
        <f aca="false">C4-C5</f>
        <v>46320000</v>
      </c>
      <c r="D6" s="4" t="n">
        <f aca="false">D4-D5</f>
        <v>50985600</v>
      </c>
      <c r="E6" s="4" t="n">
        <f aca="false">E4-E5</f>
        <v>56024448</v>
      </c>
      <c r="F6" s="4" t="n">
        <f aca="false">F4-F5</f>
        <v>61466403.84</v>
      </c>
    </row>
    <row r="7" customFormat="false" ht="15" hidden="false" customHeight="false" outlineLevel="0" collapsed="false">
      <c r="A7" s="1" t="s">
        <v>21</v>
      </c>
      <c r="B7" s="4" t="n">
        <f aca="false">'Sources and Uses'!B4</f>
        <v>250000000</v>
      </c>
      <c r="C7" s="4" t="n">
        <f aca="false">B17</f>
        <v>233975000</v>
      </c>
      <c r="D7" s="4" t="n">
        <f aca="false">C17</f>
        <v>214504687.5</v>
      </c>
      <c r="E7" s="4" t="n">
        <f aca="false">D17</f>
        <v>191187143.59375</v>
      </c>
      <c r="F7" s="4" t="n">
        <f aca="false">E17</f>
        <v>163580902.232422</v>
      </c>
    </row>
    <row r="8" customFormat="false" ht="15" hidden="false" customHeight="false" outlineLevel="0" collapsed="false">
      <c r="A8" s="1" t="s">
        <v>22</v>
      </c>
      <c r="B8" s="4" t="n">
        <f aca="false">0.07*B7</f>
        <v>17500000</v>
      </c>
      <c r="C8" s="4" t="n">
        <f aca="false">0.07*C7</f>
        <v>16378250</v>
      </c>
      <c r="D8" s="4" t="n">
        <f aca="false">0.07*D7</f>
        <v>15015328.125</v>
      </c>
      <c r="E8" s="4" t="n">
        <f aca="false">0.07*E7</f>
        <v>13383100.0515625</v>
      </c>
      <c r="F8" s="4" t="n">
        <f aca="false">0.07*F7</f>
        <v>11450663.1562695</v>
      </c>
    </row>
    <row r="9" customFormat="false" ht="15" hidden="false" customHeight="false" outlineLevel="0" collapsed="false">
      <c r="A9" s="1" t="s">
        <v>23</v>
      </c>
      <c r="B9" s="4" t="n">
        <f aca="false">5000000</f>
        <v>5000000</v>
      </c>
      <c r="C9" s="4" t="n">
        <f aca="false">5000000</f>
        <v>5000000</v>
      </c>
      <c r="D9" s="4" t="n">
        <f aca="false">5000000</f>
        <v>5000000</v>
      </c>
      <c r="E9" s="4" t="n">
        <f aca="false">5000000</f>
        <v>5000000</v>
      </c>
      <c r="F9" s="4" t="n">
        <f aca="false">5000000</f>
        <v>5000000</v>
      </c>
    </row>
    <row r="10" customFormat="false" ht="15" hidden="false" customHeight="false" outlineLevel="0" collapsed="false">
      <c r="A10" s="1" t="s">
        <v>24</v>
      </c>
      <c r="B10" s="4" t="n">
        <f aca="false">B6-B8-B9</f>
        <v>19500000</v>
      </c>
      <c r="C10" s="4" t="n">
        <f aca="false">C6-C8-C9</f>
        <v>24941750</v>
      </c>
      <c r="D10" s="4" t="n">
        <f aca="false">D6-D8-D9</f>
        <v>30970271.875</v>
      </c>
      <c r="E10" s="4" t="n">
        <f aca="false">E6-E8-E9</f>
        <v>37641347.9484375</v>
      </c>
      <c r="F10" s="4" t="n">
        <f aca="false">F6-F8-F9</f>
        <v>45015740.6837305</v>
      </c>
    </row>
    <row r="11" customFormat="false" ht="15" hidden="false" customHeight="false" outlineLevel="0" collapsed="false">
      <c r="A11" s="1" t="s">
        <v>25</v>
      </c>
      <c r="B11" s="4" t="n">
        <f aca="false">MAX(0,B10)*0.25</f>
        <v>4875000</v>
      </c>
      <c r="C11" s="4" t="n">
        <f aca="false">MAX(0,C10)*0.25</f>
        <v>6235437.5</v>
      </c>
      <c r="D11" s="4" t="n">
        <f aca="false">MAX(0,D10)*0.25</f>
        <v>7742567.96875</v>
      </c>
      <c r="E11" s="4" t="n">
        <f aca="false">MAX(0,E10)*0.25</f>
        <v>9410336.98710938</v>
      </c>
      <c r="F11" s="4" t="n">
        <f aca="false">MAX(0,F10)*0.25</f>
        <v>11253935.1709326</v>
      </c>
    </row>
    <row r="12" customFormat="false" ht="15" hidden="false" customHeight="false" outlineLevel="0" collapsed="false">
      <c r="A12" s="1" t="s">
        <v>26</v>
      </c>
      <c r="B12" s="4" t="n">
        <f aca="false">B10-B11</f>
        <v>14625000</v>
      </c>
      <c r="C12" s="4" t="n">
        <f aca="false">C10-C11</f>
        <v>18706312.5</v>
      </c>
      <c r="D12" s="4" t="n">
        <f aca="false">D10-D11</f>
        <v>23227703.90625</v>
      </c>
      <c r="E12" s="4" t="n">
        <f aca="false">E10-E11</f>
        <v>28231010.9613281</v>
      </c>
      <c r="F12" s="4" t="n">
        <f aca="false">F10-F11</f>
        <v>33761805.5127979</v>
      </c>
    </row>
    <row r="13" customFormat="false" ht="15" hidden="false" customHeight="false" outlineLevel="0" collapsed="false">
      <c r="A13" s="1" t="s">
        <v>27</v>
      </c>
      <c r="B13" s="4" t="n">
        <f aca="false">0.04*B3</f>
        <v>10600000</v>
      </c>
      <c r="C13" s="4" t="n">
        <f aca="false">0.04*C3</f>
        <v>11236000</v>
      </c>
      <c r="D13" s="4" t="n">
        <f aca="false">0.04*D3</f>
        <v>11910160</v>
      </c>
      <c r="E13" s="4" t="n">
        <f aca="false">0.04*E3</f>
        <v>12624769.6</v>
      </c>
      <c r="F13" s="4" t="n">
        <f aca="false">0.04*F3</f>
        <v>13382255.776</v>
      </c>
    </row>
    <row r="14" customFormat="false" ht="15" hidden="false" customHeight="false" outlineLevel="0" collapsed="false">
      <c r="A14" s="1" t="s">
        <v>28</v>
      </c>
      <c r="B14" s="4" t="n">
        <f aca="false">B12+B5-B13</f>
        <v>16025000</v>
      </c>
      <c r="C14" s="4" t="n">
        <f aca="false">C12+C5-C13</f>
        <v>19470312.5</v>
      </c>
      <c r="D14" s="4" t="n">
        <f aca="false">D12+D5-D13</f>
        <v>23317543.90625</v>
      </c>
      <c r="E14" s="4" t="n">
        <f aca="false">E12+E5-E13</f>
        <v>27606241.3613281</v>
      </c>
      <c r="F14" s="4" t="n">
        <f aca="false">F12+F5-F13</f>
        <v>32379549.7367979</v>
      </c>
    </row>
    <row r="15" customFormat="false" ht="15" hidden="false" customHeight="false" outlineLevel="0" collapsed="false">
      <c r="A15" s="1" t="s">
        <v>29</v>
      </c>
      <c r="B15" s="4" t="n">
        <f aca="false">2500000</f>
        <v>2500000</v>
      </c>
      <c r="C15" s="4" t="n">
        <f aca="false">2500000</f>
        <v>2500000</v>
      </c>
      <c r="D15" s="4" t="n">
        <f aca="false">2500000</f>
        <v>2500000</v>
      </c>
      <c r="E15" s="4" t="n">
        <f aca="false">2500000</f>
        <v>2500000</v>
      </c>
      <c r="F15" s="4" t="n">
        <f aca="false">2500000</f>
        <v>2500000</v>
      </c>
    </row>
    <row r="16" customFormat="false" ht="15" hidden="false" customHeight="false" outlineLevel="0" collapsed="false">
      <c r="A16" s="1" t="s">
        <v>30</v>
      </c>
      <c r="B16" s="4" t="n">
        <f aca="false">MAX(0,MIN(B14-B15,B7-B15))</f>
        <v>13525000</v>
      </c>
      <c r="C16" s="4" t="n">
        <f aca="false">MAX(0,MIN(C14-C15,C7-C15))</f>
        <v>16970312.5</v>
      </c>
      <c r="D16" s="4" t="n">
        <f aca="false">MAX(0,MIN(D14-D15,D7-D15))</f>
        <v>20817543.90625</v>
      </c>
      <c r="E16" s="4" t="n">
        <f aca="false">MAX(0,MIN(E14-E15,E7-E15))</f>
        <v>25106241.3613281</v>
      </c>
      <c r="F16" s="4" t="n">
        <f aca="false">MAX(0,MIN(F14-F15,F7-F15))</f>
        <v>29879549.7367979</v>
      </c>
    </row>
    <row r="17" customFormat="false" ht="15" hidden="false" customHeight="false" outlineLevel="0" collapsed="false">
      <c r="A17" s="3" t="s">
        <v>31</v>
      </c>
      <c r="B17" s="4" t="n">
        <f aca="false">B7-B15-B16</f>
        <v>233975000</v>
      </c>
      <c r="C17" s="4" t="n">
        <f aca="false">C7-C15-C16</f>
        <v>214504687.5</v>
      </c>
      <c r="D17" s="4" t="n">
        <f aca="false">D7-D15-D16</f>
        <v>191187143.59375</v>
      </c>
      <c r="E17" s="4" t="n">
        <f aca="false">E7-E15-E16</f>
        <v>163580902.232422</v>
      </c>
      <c r="F17" s="4" t="n">
        <f aca="false">F7-F15-F16</f>
        <v>131201352.495624</v>
      </c>
    </row>
    <row r="18" customFormat="false" ht="15" hidden="false" customHeight="false" outlineLevel="0" collapsed="false">
      <c r="A18" s="1" t="s">
        <v>32</v>
      </c>
      <c r="B18" s="4" t="n">
        <f aca="false">50000000</f>
        <v>50000000</v>
      </c>
      <c r="C18" s="4" t="n">
        <f aca="false">50000000</f>
        <v>50000000</v>
      </c>
      <c r="D18" s="4" t="n">
        <f aca="false">50000000</f>
        <v>50000000</v>
      </c>
      <c r="E18" s="4" t="n">
        <f aca="false">50000000</f>
        <v>50000000</v>
      </c>
      <c r="F18" s="4" t="n">
        <f aca="false">50000000</f>
        <v>50000000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2" t="s">
        <v>33</v>
      </c>
    </row>
    <row r="3" customFormat="false" ht="15" hidden="false" customHeight="false" outlineLevel="0" collapsed="false">
      <c r="A3" s="1" t="s">
        <v>34</v>
      </c>
      <c r="B3" s="6" t="n">
        <v>11</v>
      </c>
    </row>
    <row r="4" customFormat="false" ht="15" hidden="false" customHeight="false" outlineLevel="0" collapsed="false">
      <c r="A4" s="1" t="s">
        <v>35</v>
      </c>
      <c r="B4" s="7" t="n">
        <v>5</v>
      </c>
    </row>
    <row r="6" customFormat="false" ht="15" hidden="false" customHeight="false" outlineLevel="0" collapsed="false">
      <c r="A6" s="3" t="s">
        <v>36</v>
      </c>
      <c r="B6" s="4" t="n">
        <f aca="false">'Sources and Uses'!B6</f>
        <v>210000000</v>
      </c>
    </row>
    <row r="7" customFormat="false" ht="15" hidden="false" customHeight="false" outlineLevel="0" collapsed="false">
      <c r="A7" s="1" t="s">
        <v>37</v>
      </c>
      <c r="B7" s="4" t="n">
        <f aca="false">'Operating Model'!F4</f>
        <v>73466403.84</v>
      </c>
    </row>
    <row r="8" customFormat="false" ht="15" hidden="false" customHeight="false" outlineLevel="0" collapsed="false">
      <c r="A8" s="3" t="s">
        <v>38</v>
      </c>
      <c r="B8" s="4" t="n">
        <f aca="false">B3*B7</f>
        <v>808130442.24</v>
      </c>
    </row>
    <row r="9" customFormat="false" ht="15" hidden="false" customHeight="false" outlineLevel="0" collapsed="false">
      <c r="A9" s="1" t="s">
        <v>39</v>
      </c>
      <c r="B9" s="4" t="n">
        <f aca="false">'Operating Model'!F17</f>
        <v>131201352.495624</v>
      </c>
    </row>
    <row r="10" customFormat="false" ht="15" hidden="false" customHeight="false" outlineLevel="0" collapsed="false">
      <c r="A10" s="1" t="s">
        <v>40</v>
      </c>
      <c r="B10" s="4" t="n">
        <f aca="false">'Operating Model'!F18</f>
        <v>50000000</v>
      </c>
    </row>
    <row r="11" customFormat="false" ht="15" hidden="false" customHeight="false" outlineLevel="0" collapsed="false">
      <c r="A11" s="1" t="s">
        <v>41</v>
      </c>
      <c r="B11" s="4" t="n">
        <f aca="false">B9+B10</f>
        <v>181201352.495624</v>
      </c>
    </row>
    <row r="12" customFormat="false" ht="15" hidden="false" customHeight="false" outlineLevel="0" collapsed="false">
      <c r="A12" s="3" t="s">
        <v>42</v>
      </c>
      <c r="B12" s="4" t="n">
        <f aca="false">B8-B11</f>
        <v>626929089.744376</v>
      </c>
    </row>
    <row r="14" customFormat="false" ht="15" hidden="false" customHeight="false" outlineLevel="0" collapsed="false">
      <c r="A14" s="3" t="s">
        <v>43</v>
      </c>
      <c r="B14" s="8" t="n">
        <f aca="false">B12/B6</f>
        <v>2.98537661783036</v>
      </c>
    </row>
    <row r="15" customFormat="false" ht="15" hidden="false" customHeight="false" outlineLevel="0" collapsed="false">
      <c r="A15" s="3" t="s">
        <v>44</v>
      </c>
      <c r="B15" s="9" t="n">
        <f aca="false">(B12/B6)^(1/B4)-1</f>
        <v>0.244514111437046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2026-04-23T15:14:53Z</dcterms:created>
  <dc:creator>openpyxl</dc:creator>
  <dc:description/>
  <dc:language>en-US</dc:language>
  <cp:lastModifiedBy/>
  <dcterms:modified xsi:type="dcterms:W3CDTF">2026-04-23T15:14:53Z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