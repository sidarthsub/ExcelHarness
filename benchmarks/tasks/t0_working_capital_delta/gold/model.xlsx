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<sst xmlns="http://schemas.openxmlformats.org/spreadsheetml/2006/main" count="18" uniqueCount="18">
  <si>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Working capital cascade</t>
  </si>
  <si>
    <t xml:space="preserve">Revenue Y0</t>
  </si>
  <si>
    <t xml:space="preserve">Revenue Y1</t>
  </si>
  <si>
    <t xml:space="preserve">COGS % of rev</t>
  </si>
  <si>
    <t xml:space="preserve">DSO</t>
  </si>
  <si>
    <t xml:space="preserve">DPO</t>
  </si>
  <si>
    <t xml:space="preserve">DIO</t>
  </si>
  <si>
    <t xml:space="preserve">Answers:</t>
  </si>
  <si>
    <t xml:space="preserve">AR Y0</t>
  </si>
  <si>
    <t xml:space="preserve">AR Y1</t>
  </si>
  <si>
    <t xml:space="preserve">ΔAR</t>
  </si>
  <si>
    <t xml:space="preserve">AP Y0</t>
  </si>
  <si>
    <t xml:space="preserve">AP Y1</t>
  </si>
  <si>
    <t xml:space="preserve">ΔAP</t>
  </si>
  <si>
    <t xml:space="preserve">Inv Y0</t>
  </si>
  <si>
    <t xml:space="preserve">Inv Y1</t>
  </si>
  <si>
    <t xml:space="preserve">ΔInv</t>
  </si>
  <si>
    <t xml:space="preserve">Net WC cash impact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</si>
</sst>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"/>
    <numFmt numFmtId="168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0"/>
  </cols>
  <sheetData>
    <row r="1" customFormat="false" ht="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  <c r="B3" s="3" t="n">
        <v>80000000</v>
      </c>
    </row>
    <row r="4" customFormat="false" ht="15" hidden="false" customHeight="false" outlineLevel="0" collapsed="false">
      <c r="A4" s="1" t="s">
        <v>2</v>
      </c>
      <c r="B4" s="3" t="n">
        <v>100000000</v>
      </c>
    </row>
    <row r="5" customFormat="false" ht="15" hidden="false" customHeight="false" outlineLevel="0" collapsed="false">
      <c r="A5" s="1" t="s">
        <v>3</v>
      </c>
      <c r="B5" s="4" t="n">
        <v>0.3</v>
      </c>
    </row>
    <row r="6" customFormat="false" ht="15" hidden="false" customHeight="false" outlineLevel="0" collapsed="false">
      <c r="A6" s="1" t="s">
        <v>4</v>
      </c>
      <c r="B6" s="5" t="n">
        <v>45</v>
      </c>
    </row>
    <row r="7" customFormat="false" ht="15" hidden="false" customHeight="false" outlineLevel="0" collapsed="false">
      <c r="A7" s="1" t="s">
        <v>5</v>
      </c>
      <c r="B7" s="5" t="n">
        <v>60</v>
      </c>
    </row>
    <row r="8" customFormat="false" ht="15" hidden="false" customHeight="false" outlineLevel="0" collapsed="false">
      <c r="A8" s="1" t="s">
        <v>6</v>
      </c>
      <c r="B8" s="5" t="n">
        <v>30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1" t="s">
        <v>8</v>
      </c>
      <c r="B11" s="6" t="n">
        <f aca="false">B3*B6/365</f>
        <v>9863013.69863014</v>
      </c>
    </row>
    <row r="12" customFormat="false" ht="15" hidden="false" customHeight="false" outlineLevel="0" collapsed="false">
      <c r="A12" s="1" t="s">
        <v>9</v>
      </c>
      <c r="B12" s="6" t="n">
        <f aca="false">B4*B6/365</f>
        <v>12328767.1232877</v>
      </c>
    </row>
    <row r="13" customFormat="false" ht="15" hidden="false" customHeight="false" outlineLevel="0" collapsed="false">
      <c r="A13" s="1" t="s">
        <v>10</v>
      </c>
      <c r="B13" s="6" t="n">
        <f aca="false">B12-B11</f>
        <v>2465753.42465753</v>
      </c>
    </row>
    <row r="14" customFormat="false" ht="15" hidden="false" customHeight="false" outlineLevel="0" collapsed="false">
      <c r="A14" s="1" t="s">
        <v>11</v>
      </c>
      <c r="B14" s="6" t="n">
        <f aca="false">B3*B5*B7/365</f>
        <v>3945205.47945206</v>
      </c>
    </row>
    <row r="15" customFormat="false" ht="15" hidden="false" customHeight="false" outlineLevel="0" collapsed="false">
      <c r="A15" s="1" t="s">
        <v>12</v>
      </c>
      <c r="B15" s="6" t="n">
        <f aca="false">B4*B5*B7/365</f>
        <v>4931506.84931507</v>
      </c>
    </row>
    <row r="16" customFormat="false" ht="15" hidden="false" customHeight="false" outlineLevel="0" collapsed="false">
      <c r="A16" s="1" t="s">
        <v>13</v>
      </c>
      <c r="B16" s="6" t="n">
        <f aca="false">B15-B14</f>
        <v>986301.369863014</v>
      </c>
    </row>
    <row r="17" customFormat="false" ht="15" hidden="false" customHeight="false" outlineLevel="0" collapsed="false">
      <c r="A17" s="1" t="s">
        <v>14</v>
      </c>
      <c r="B17" s="6" t="n">
        <f aca="false">B3*B5*B8/365</f>
        <v>1972602.73972603</v>
      </c>
    </row>
    <row r="18" customFormat="false" ht="15" hidden="false" customHeight="false" outlineLevel="0" collapsed="false">
      <c r="A18" s="1" t="s">
        <v>15</v>
      </c>
      <c r="B18" s="6" t="n">
        <f aca="false">B4*B5*B8/365</f>
        <v>2465753.42465753</v>
      </c>
    </row>
    <row r="19" customFormat="false" ht="15" hidden="false" customHeight="false" outlineLevel="0" collapsed="false">
      <c r="A19" s="1" t="s">
        <v>16</v>
      </c>
      <c r="B19" s="6" t="n">
        <f aca="false">B18-B17</f>
        <v>493150.684931507</v>
      </c>
    </row>
    <row r="20" customFormat="false" ht="15" hidden="false" customHeight="false" outlineLevel="0" collapsed="false">
      <c r="A20" s="1" t="s">
        <v>17</v>
      </c>
      <c r="B20" s="6" t="n">
        <f aca="false">-B13+B16-B19</f>
        <v>-1972602.73972603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2026-04-23T14:50:38Z</dcterms:created>
  <dc:creator>openpyxl</dc:creator>
  <dc:description/>
  <dc:language>en-US</dc:language>
  <cp:lastModifiedBy/>
  <dcterms:modified xsi:type="dcterms:W3CDTF">2026-04-23T14:50:38Z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