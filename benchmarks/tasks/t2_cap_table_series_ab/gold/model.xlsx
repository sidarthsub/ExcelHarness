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  <sheet name="Series A" sheetId="2" state="visible" r:id="rId4"/>
    <sheet name="Series 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<sst xmlns="http://schemas.openxmlformats.org/spreadsheetml/2006/main" count="34" uniqueCount="26">
  <si>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Holder</t>
  </si>
  <si>
    <t xml:space="preserve">Class</t>
  </si>
  <si>
    <t xml:space="preserve">Shares</t>
  </si>
  <si>
    <t xml:space="preserve">Founder A</t>
  </si>
  <si>
    <t xml:space="preserve">Common</t>
  </si>
  <si>
    <t xml:space="preserve">Founder B</t>
  </si>
  <si>
    <t xml:space="preserve">Seed 1</t>
  </si>
  <si>
    <t xml:space="preserve">Preferred Seed</t>
  </si>
  <si>
    <t xml:space="preserve">Seed 2</t>
  </si>
  <si>
    <t xml:space="preserve">Options (granted)</t>
  </si>
  <si>
    <t xml:space="preserve">Options</t>
  </si>
  <si>
    <t xml:space="preserve">Options (unallocated)</t>
  </si>
  <si>
    <t xml:space="preserve">Total FD</t>
  </si>
  <si>
    <t xml:space="preserve">Series A</t>
  </si>
  <si>
    <t xml:space="preserve">Pre-FD (from Cap Table)</t>
  </si>
  <si>
    <t xml:space="preserve">Pre-money</t>
  </si>
  <si>
    <t xml:space="preserve">Round size</t>
  </si>
  <si>
    <t xml:space="preserve">Price per share</t>
  </si>
  <si>
    <t xml:space="preserve">New investor shares</t>
  </si>
  <si>
    <t xml:space="preserve">Option pool top-up</t>
  </si>
  <si>
    <t xml:space="preserve">Post-A FD</t>
  </si>
  <si>
    <t xml:space="preserve">Series B</t>
  </si>
  <si>
    <t xml:space="preserve">Pre-FD (from Series A)</t>
  </si>
  <si>
    <t xml:space="preserve">Target pool % post-B</t>
  </si>
  <si>
    <t xml:space="preserve">Pre-round unallocated</t>
  </si>
  <si>
    <t xml:space="preserve">Post-B FD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</si>
</sst>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0.0000"/>
    <numFmt numFmtId="168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3" t="n">
        <v>4000000</v>
      </c>
    </row>
    <row r="3" customFormat="false" ht="15" hidden="false" customHeight="false" outlineLevel="0" collapsed="false">
      <c r="A3" s="1" t="s">
        <v>5</v>
      </c>
      <c r="B3" s="1" t="s">
        <v>4</v>
      </c>
      <c r="C3" s="3" t="n">
        <v>3000000</v>
      </c>
    </row>
    <row r="4" customFormat="false" ht="15" hidden="false" customHeight="false" outlineLevel="0" collapsed="false">
      <c r="A4" s="1" t="s">
        <v>6</v>
      </c>
      <c r="B4" s="1" t="s">
        <v>7</v>
      </c>
      <c r="C4" s="3" t="n">
        <v>1500000</v>
      </c>
    </row>
    <row r="5" customFormat="false" ht="15" hidden="false" customHeight="false" outlineLevel="0" collapsed="false">
      <c r="A5" s="1" t="s">
        <v>8</v>
      </c>
      <c r="B5" s="1" t="s">
        <v>7</v>
      </c>
      <c r="C5" s="3" t="n">
        <v>1000000</v>
      </c>
    </row>
    <row r="6" customFormat="false" ht="15" hidden="false" customHeight="false" outlineLevel="0" collapsed="false">
      <c r="A6" s="1" t="s">
        <v>9</v>
      </c>
      <c r="B6" s="1" t="s">
        <v>10</v>
      </c>
      <c r="C6" s="3" t="n">
        <v>300000</v>
      </c>
    </row>
    <row r="7" customFormat="false" ht="15" hidden="false" customHeight="false" outlineLevel="0" collapsed="false">
      <c r="A7" s="1" t="s">
        <v>11</v>
      </c>
      <c r="B7" s="1" t="s">
        <v>10</v>
      </c>
      <c r="C7" s="3" t="n">
        <v>200000</v>
      </c>
    </row>
    <row r="8" customFormat="false" ht="15" hidden="false" customHeight="false" outlineLevel="0" collapsed="false">
      <c r="A8" s="4" t="s">
        <v>12</v>
      </c>
      <c r="C8" s="3" t="n">
        <f aca="false">SUM(C2:C7)</f>
        <v>10000000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5" t="s">
        <v>13</v>
      </c>
    </row>
    <row r="3" customFormat="false" ht="15" hidden="false" customHeight="false" outlineLevel="0" collapsed="false">
      <c r="A3" s="1" t="s">
        <v>14</v>
      </c>
      <c r="B3" s="3" t="n">
        <f aca="false">'Cap Table'!C8</f>
        <v>10000000</v>
      </c>
    </row>
    <row r="4" customFormat="false" ht="15" hidden="false" customHeight="false" outlineLevel="0" collapsed="false">
      <c r="A4" s="1" t="s">
        <v>15</v>
      </c>
      <c r="B4" s="6" t="n">
        <v>40000000</v>
      </c>
    </row>
    <row r="5" customFormat="false" ht="15" hidden="false" customHeight="false" outlineLevel="0" collapsed="false">
      <c r="A5" s="1" t="s">
        <v>16</v>
      </c>
      <c r="B5" s="6" t="n">
        <v>10000000</v>
      </c>
    </row>
    <row r="6" customFormat="false" ht="15" hidden="false" customHeight="false" outlineLevel="0" collapsed="false">
      <c r="A6" s="4" t="s">
        <v>17</v>
      </c>
      <c r="B6" s="7" t="n">
        <f aca="false">B4/B3</f>
        <v>4</v>
      </c>
    </row>
    <row r="7" customFormat="false" ht="15" hidden="false" customHeight="false" outlineLevel="0" collapsed="false">
      <c r="A7" s="4" t="s">
        <v>18</v>
      </c>
      <c r="B7" s="3" t="n">
        <f aca="false">B5/B6</f>
        <v>2500000</v>
      </c>
    </row>
    <row r="8" customFormat="false" ht="15" hidden="false" customHeight="false" outlineLevel="0" collapsed="false">
      <c r="A8" s="1" t="s">
        <v>19</v>
      </c>
      <c r="B8" s="3" t="n">
        <v>0</v>
      </c>
    </row>
    <row r="10" customFormat="false" ht="15" hidden="false" customHeight="false" outlineLevel="0" collapsed="false">
      <c r="A10" s="4" t="s">
        <v>20</v>
      </c>
      <c r="B10" s="3" t="n">
        <f aca="false">B3+B7+B8</f>
        <v>12500000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5" t="s">
        <v>21</v>
      </c>
    </row>
    <row r="3" customFormat="false" ht="15" hidden="false" customHeight="false" outlineLevel="0" collapsed="false">
      <c r="A3" s="1" t="s">
        <v>22</v>
      </c>
      <c r="B3" s="3" t="n">
        <f aca="false">'Series A'!B10</f>
        <v>12500000</v>
      </c>
    </row>
    <row r="4" customFormat="false" ht="15" hidden="false" customHeight="false" outlineLevel="0" collapsed="false">
      <c r="A4" s="1" t="s">
        <v>15</v>
      </c>
      <c r="B4" s="6" t="n">
        <v>100000000</v>
      </c>
    </row>
    <row r="5" customFormat="false" ht="15" hidden="false" customHeight="false" outlineLevel="0" collapsed="false">
      <c r="A5" s="1" t="s">
        <v>16</v>
      </c>
      <c r="B5" s="6" t="n">
        <v>25000000</v>
      </c>
    </row>
    <row r="6" customFormat="false" ht="15" hidden="false" customHeight="false" outlineLevel="0" collapsed="false">
      <c r="A6" s="4" t="s">
        <v>17</v>
      </c>
      <c r="B6" s="7" t="n">
        <f aca="false">B4/B3</f>
        <v>8</v>
      </c>
    </row>
    <row r="7" customFormat="false" ht="15" hidden="false" customHeight="false" outlineLevel="0" collapsed="false">
      <c r="A7" s="4" t="s">
        <v>18</v>
      </c>
      <c r="B7" s="3" t="n">
        <f aca="false">B5/B6</f>
        <v>3125000</v>
      </c>
    </row>
    <row r="8" customFormat="false" ht="15" hidden="false" customHeight="false" outlineLevel="0" collapsed="false">
      <c r="A8" s="1" t="s">
        <v>23</v>
      </c>
      <c r="B8" s="8" t="n">
        <v>0.1</v>
      </c>
    </row>
    <row r="9" customFormat="false" ht="15" hidden="false" customHeight="false" outlineLevel="0" collapsed="false">
      <c r="A9" s="1" t="s">
        <v>24</v>
      </c>
      <c r="B9" s="3" t="n">
        <f aca="false">'Cap Table'!C7</f>
        <v>200000</v>
      </c>
    </row>
    <row r="10" customFormat="false" ht="15" hidden="false" customHeight="false" outlineLevel="0" collapsed="false">
      <c r="A10" s="4" t="s">
        <v>19</v>
      </c>
      <c r="B10" s="3" t="n">
        <f aca="false">(B8*(B3+B7)-B9)/(1-B8)</f>
        <v>1513888.88888889</v>
      </c>
    </row>
    <row r="12" customFormat="false" ht="15" hidden="false" customHeight="false" outlineLevel="0" collapsed="false">
      <c r="A12" s="4" t="s">
        <v>25</v>
      </c>
      <c r="B12" s="3" t="n">
        <f aca="false">B3+B7+B10</f>
        <v>17138888.8888889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2026-04-23T15:12:10Z</dcterms:created>
  <dc:creator>openpyxl</dc:creator>
  <dc:description/>
  <dc:language>en-US</dc:language>
  <cp:lastModifiedBy/>
  <dcterms:modified xsi:type="dcterms:W3CDTF">2026-04-23T15:12:10Z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