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<sst xmlns="http://schemas.openxmlformats.org/spreadsheetml/2006/main" count="20" uniqueCount="20">
  <si>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NorthStar Robotics — Series A Inputs</t>
  </si>
  <si>
    <t xml:space="preserve">Round sizing</t>
  </si>
  <si>
    <t xml:space="preserve">Pre-money valuation</t>
  </si>
  <si>
    <t xml:space="preserve">Round size (new money)</t>
  </si>
  <si>
    <t xml:space="preserve">Post-money valuation</t>
  </si>
  <si>
    <t xml:space="preserve">Investor allocations</t>
  </si>
  <si>
    <t xml:space="preserve">Investor</t>
  </si>
  <si>
    <t xml:space="preserve">Amount ($)</t>
  </si>
  <si>
    <t xml:space="preserve">% of round</t>
  </si>
  <si>
    <t xml:space="preserve">Nimbus Capital</t>
  </si>
  <si>
    <t xml:space="preserve">Arc Ventures</t>
  </si>
  <si>
    <t xml:space="preserve">Orbit Partners</t>
  </si>
  <si>
    <t xml:space="preserve">Total</t>
  </si>
  <si>
    <t xml:space="preserve">Cap table mechanics</t>
  </si>
  <si>
    <t xml:space="preserve">Pre-round fully diluted shares</t>
  </si>
  <si>
    <t xml:space="preserve">Pre-round unallocated option pool</t>
  </si>
  <si>
    <t xml:space="preserve">Target option pool % (post-money)</t>
  </si>
  <si>
    <t xml:space="preserve">Preference terms</t>
  </si>
  <si>
    <t xml:space="preserve">Liquidation preference (x)</t>
  </si>
  <si>
    <t xml:space="preserve">Dividend rate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</si>
</sst>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#,##0"/>
    <numFmt numFmtId="168" formatCode="0.0\x"/>
    <numFmt numFmtId="169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  <col collapsed="false" customWidth="true" hidden="false" outlineLevel="0" max="3" min="3" style="1" width="18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1" t="s">
        <v>2</v>
      </c>
      <c r="B4" s="4" t="n">
        <v>75000000</v>
      </c>
    </row>
    <row r="5" customFormat="false" ht="15" hidden="false" customHeight="false" outlineLevel="0" collapsed="false">
      <c r="A5" s="1" t="s">
        <v>3</v>
      </c>
      <c r="B5" s="4" t="n">
        <v>25000000</v>
      </c>
    </row>
    <row r="6" customFormat="false" ht="15" hidden="false" customHeight="false" outlineLevel="0" collapsed="false">
      <c r="A6" s="1" t="s">
        <v>4</v>
      </c>
      <c r="B6" s="4" t="n">
        <f aca="false">B4+B5</f>
        <v>100000000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5" t="s">
        <v>6</v>
      </c>
      <c r="B9" s="5" t="s">
        <v>7</v>
      </c>
      <c r="C9" s="5" t="s">
        <v>8</v>
      </c>
    </row>
    <row r="10" customFormat="false" ht="15" hidden="false" customHeight="false" outlineLevel="0" collapsed="false">
      <c r="A10" s="1" t="s">
        <v>9</v>
      </c>
      <c r="B10" s="4" t="n">
        <v>15000000</v>
      </c>
      <c r="C10" s="6" t="n">
        <f aca="false">B10/$B$5</f>
        <v>0.6</v>
      </c>
    </row>
    <row r="11" customFormat="false" ht="15" hidden="false" customHeight="false" outlineLevel="0" collapsed="false">
      <c r="A11" s="1" t="s">
        <v>10</v>
      </c>
      <c r="B11" s="4" t="n">
        <v>6000000</v>
      </c>
      <c r="C11" s="6" t="n">
        <f aca="false">B11/$B$5</f>
        <v>0.24</v>
      </c>
    </row>
    <row r="12" customFormat="false" ht="15" hidden="false" customHeight="false" outlineLevel="0" collapsed="false">
      <c r="A12" s="1" t="s">
        <v>11</v>
      </c>
      <c r="B12" s="4" t="n">
        <v>4000000</v>
      </c>
      <c r="C12" s="6" t="n">
        <f aca="false">B12/$B$5</f>
        <v>0.16</v>
      </c>
    </row>
    <row r="13" customFormat="false" ht="15" hidden="false" customHeight="false" outlineLevel="0" collapsed="false">
      <c r="A13" s="5" t="s">
        <v>12</v>
      </c>
      <c r="B13" s="4" t="n">
        <f aca="false">SUM(B10:B12)</f>
        <v>25000000</v>
      </c>
      <c r="C13" s="6" t="n">
        <f aca="false">SUM(C10:C12)</f>
        <v>1</v>
      </c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1" t="s">
        <v>14</v>
      </c>
      <c r="B16" s="7" t="n">
        <v>8000000</v>
      </c>
    </row>
    <row r="17" customFormat="false" ht="15" hidden="false" customHeight="false" outlineLevel="0" collapsed="false">
      <c r="A17" s="1" t="s">
        <v>15</v>
      </c>
      <c r="B17" s="7" t="n">
        <v>250000</v>
      </c>
    </row>
    <row r="18" customFormat="false" ht="15" hidden="false" customHeight="false" outlineLevel="0" collapsed="false">
      <c r="A18" s="1" t="s">
        <v>16</v>
      </c>
      <c r="B18" s="6" t="n">
        <v>0.12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1" t="s">
        <v>18</v>
      </c>
      <c r="B21" s="8" t="n">
        <v>1</v>
      </c>
    </row>
    <row r="22" customFormat="false" ht="15" hidden="false" customHeight="false" outlineLevel="0" collapsed="false">
      <c r="A22" s="1" t="s">
        <v>19</v>
      </c>
      <c r="B22" s="9" t="n">
        <v>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2026-04-23T14:13:20Z</dcterms:created>
  <dc:creator>openpyxl</dc:creator>
  <dc:description/>
  <dc:language>en-US</dc:language>
  <cp:lastModifiedBy/>
  <dcterms:modified xsi:type="dcterms:W3CDTF">2026-04-23T14:13:20Z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