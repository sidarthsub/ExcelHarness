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Income Statement" sheetId="2" state="visible" r:id="rId4"/>
    <sheet name="Balance Sheet" sheetId="3" state="visible" r:id="rId5"/>
    <sheet name="Cash 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<sst xmlns="http://schemas.openxmlformats.org/spreadsheetml/2006/main" count="48" uniqueCount="45">
  <si>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Bluebird SaaS — Driver Inputs</t>
  </si>
  <si>
    <t xml:space="preserve">Revenue</t>
  </si>
  <si>
    <t xml:space="preserve">Revenue growth %</t>
  </si>
  <si>
    <t xml:space="preserve">COGS % of revenue</t>
  </si>
  <si>
    <t xml:space="preserve">OpEx % of revenue</t>
  </si>
  <si>
    <t xml:space="preserve">D&amp;A ($)</t>
  </si>
  <si>
    <t xml:space="preserve">CapEx ($)</t>
  </si>
  <si>
    <t xml:space="preserve">Interest rate on debt</t>
  </si>
  <si>
    <t xml:space="preserve">Tax rate</t>
  </si>
  <si>
    <t xml:space="preserve">Opening debt</t>
  </si>
  <si>
    <t xml:space="preserve">Common stock</t>
  </si>
  <si>
    <t xml:space="preserve">DSO (days)</t>
  </si>
  <si>
    <t xml:space="preserve">DPO (days)</t>
  </si>
  <si>
    <t xml:space="preserve">Opening cash (end 2026)</t>
  </si>
  <si>
    <t xml:space="preserve">Opening PP&amp;E (end 2026)</t>
  </si>
  <si>
    <t xml:space="preserve">Income Statement</t>
  </si>
  <si>
    <t xml:space="preserve">COGS</t>
  </si>
  <si>
    <t xml:space="preserve">Gross profit</t>
  </si>
  <si>
    <t xml:space="preserve">OpEx</t>
  </si>
  <si>
    <t xml:space="preserve">EBITDA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</si>
  <si>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</si>
  <si>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</si>
  <si>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</si>
  <si>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</si>
  <si>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</si>
  <si>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</si>
  <si>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Balance Sheet</t>
  </si>
  <si>
    <t xml:space="preserve">Cash</t>
  </si>
  <si>
    <t xml:space="preserve">A/R</t>
  </si>
  <si>
    <t xml:space="preserve">PP&amp;E (net)</t>
  </si>
  <si>
    <t xml:space="preserve">Total assets</t>
  </si>
  <si>
    <t xml:space="preserve">A/P</t>
  </si>
  <si>
    <t xml:space="preserve">Debt</t>
  </si>
  <si>
    <t xml:space="preserve">Retained earnings</t>
  </si>
  <si>
    <t xml:space="preserve">Total L+E</t>
  </si>
  <si>
    <t xml:space="preserve">Cash Flow</t>
  </si>
  <si>
    <t xml:space="preserve">+ D&amp;A</t>
  </si>
  <si>
    <t xml:space="preserve">− ΔA/R</t>
  </si>
  <si>
    <t xml:space="preserve">+ ΔA/P</t>
  </si>
  <si>
    <t xml:space="preserve">CF from operations</t>
  </si>
  <si>
    <t xml:space="preserve">CF from investing</t>
  </si>
  <si>
    <t xml:space="preserve">CF from financing</t>
  </si>
  <si>
    <t xml:space="preserve">Net change in cash</t>
  </si>
  <si>
    <t xml:space="preserve">Beginning cash</t>
  </si>
  <si>
    <t xml:space="preserve">Ending cash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</si>
</sst>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\$#,##0;&quot;($&quot;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4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B3" s="3" t="n">
        <v>2026</v>
      </c>
      <c r="C3" s="3" t="n">
        <v>2027</v>
      </c>
      <c r="D3" s="3" t="n">
        <v>2028</v>
      </c>
      <c r="E3" s="3" t="n">
        <v>2029</v>
      </c>
    </row>
    <row r="4" customFormat="false" ht="15" hidden="false" customHeight="false" outlineLevel="0" collapsed="false">
      <c r="A4" s="1" t="s">
        <v>1</v>
      </c>
      <c r="B4" s="4" t="n">
        <v>10000000</v>
      </c>
    </row>
    <row r="5" customFormat="false" ht="15" hidden="false" customHeight="false" outlineLevel="0" collapsed="false">
      <c r="A5" s="1" t="s">
        <v>2</v>
      </c>
      <c r="C5" s="5" t="n">
        <v>0.4</v>
      </c>
      <c r="D5" s="5" t="n">
        <v>0.35</v>
      </c>
      <c r="E5" s="5" t="n">
        <v>0.3</v>
      </c>
    </row>
    <row r="6" customFormat="false" ht="15" hidden="false" customHeight="false" outlineLevel="0" collapsed="false">
      <c r="A6" s="1" t="s">
        <v>3</v>
      </c>
      <c r="B6" s="5" t="n">
        <v>0.3</v>
      </c>
      <c r="C6" s="5" t="n">
        <v>0.3</v>
      </c>
      <c r="D6" s="5" t="n">
        <v>0.3</v>
      </c>
      <c r="E6" s="5" t="n">
        <v>0.3</v>
      </c>
    </row>
    <row r="7" customFormat="false" ht="15" hidden="false" customHeight="false" outlineLevel="0" collapsed="false">
      <c r="A7" s="1" t="s">
        <v>4</v>
      </c>
      <c r="B7" s="5" t="n">
        <v>0.6</v>
      </c>
      <c r="C7" s="5" t="n">
        <v>0.55</v>
      </c>
      <c r="D7" s="5" t="n">
        <v>0.5</v>
      </c>
      <c r="E7" s="5" t="n">
        <v>0.45</v>
      </c>
    </row>
    <row r="9" customFormat="false" ht="15" hidden="false" customHeight="false" outlineLevel="0" collapsed="false">
      <c r="A9" s="1" t="s">
        <v>5</v>
      </c>
      <c r="B9" s="4" t="n">
        <v>1000000</v>
      </c>
    </row>
    <row r="10" customFormat="false" ht="15" hidden="false" customHeight="false" outlineLevel="0" collapsed="false">
      <c r="A10" s="1" t="s">
        <v>6</v>
      </c>
      <c r="B10" s="4" t="n">
        <v>2000000</v>
      </c>
    </row>
    <row r="11" customFormat="false" ht="15" hidden="false" customHeight="false" outlineLevel="0" collapsed="false">
      <c r="A11" s="1" t="s">
        <v>7</v>
      </c>
      <c r="B11" s="5" t="n">
        <v>0.06</v>
      </c>
    </row>
    <row r="12" customFormat="false" ht="15" hidden="false" customHeight="false" outlineLevel="0" collapsed="false">
      <c r="A12" s="1" t="s">
        <v>8</v>
      </c>
      <c r="B12" s="5" t="n">
        <v>0.25</v>
      </c>
    </row>
    <row r="13" customFormat="false" ht="15" hidden="false" customHeight="false" outlineLevel="0" collapsed="false">
      <c r="A13" s="1" t="s">
        <v>9</v>
      </c>
      <c r="B13" s="4" t="n">
        <v>10000000</v>
      </c>
    </row>
    <row r="14" customFormat="false" ht="15" hidden="false" customHeight="false" outlineLevel="0" collapsed="false">
      <c r="A14" s="1" t="s">
        <v>10</v>
      </c>
      <c r="B14" s="4" t="n">
        <v>8000000</v>
      </c>
    </row>
    <row r="15" customFormat="false" ht="15" hidden="false" customHeight="false" outlineLevel="0" collapsed="false">
      <c r="A15" s="1" t="s">
        <v>11</v>
      </c>
      <c r="B15" s="6" t="n">
        <v>30</v>
      </c>
    </row>
    <row r="16" customFormat="false" ht="15" hidden="false" customHeight="false" outlineLevel="0" collapsed="false">
      <c r="A16" s="1" t="s">
        <v>12</v>
      </c>
      <c r="B16" s="6" t="n">
        <v>45</v>
      </c>
    </row>
    <row r="17" customFormat="false" ht="15" hidden="false" customHeight="false" outlineLevel="0" collapsed="false">
      <c r="A17" s="1" t="s">
        <v>13</v>
      </c>
      <c r="B17" s="4" t="n">
        <v>15000000</v>
      </c>
    </row>
    <row r="18" customFormat="false" ht="15" hidden="false" customHeight="false" outlineLevel="0" collapsed="false">
      <c r="A18" s="1" t="s">
        <v>14</v>
      </c>
      <c r="B18" s="4" t="n">
        <v>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6"/>
  </cols>
  <sheetData>
    <row r="1" customFormat="false" ht="16.15" hidden="false" customHeight="false" outlineLevel="0" collapsed="false">
      <c r="A1" s="2" t="s">
        <v>15</v>
      </c>
    </row>
    <row r="3" customFormat="false" ht="15" hidden="false" customHeight="false" outlineLevel="0" collapsed="false">
      <c r="B3" s="3" t="n">
        <v>2026</v>
      </c>
      <c r="C3" s="3" t="n">
        <v>2027</v>
      </c>
      <c r="D3" s="3" t="n">
        <v>2028</v>
      </c>
      <c r="E3" s="3" t="n">
        <v>2029</v>
      </c>
    </row>
    <row r="4" customFormat="false" ht="15" hidden="false" customHeight="false" outlineLevel="0" collapsed="false">
      <c r="A4" s="1" t="s">
        <v>1</v>
      </c>
      <c r="B4" s="7" t="n">
        <f aca="false">Inputs!B4</f>
        <v>10000000</v>
      </c>
      <c r="C4" s="7" t="n">
        <f aca="false">B4*(1+Inputs!C5)</f>
        <v>14000000</v>
      </c>
      <c r="D4" s="7" t="n">
        <f aca="false">C4*(1+Inputs!D5)</f>
        <v>18900000</v>
      </c>
      <c r="E4" s="7" t="n">
        <f aca="false">D4*(1+Inputs!E5)</f>
        <v>24570000</v>
      </c>
    </row>
    <row r="5" customFormat="false" ht="15" hidden="false" customHeight="false" outlineLevel="0" collapsed="false">
      <c r="A5" s="1" t="s">
        <v>16</v>
      </c>
      <c r="B5" s="7" t="n">
        <f aca="false">B4*Inputs!B6</f>
        <v>3000000</v>
      </c>
      <c r="C5" s="7" t="n">
        <f aca="false">C4*Inputs!C6</f>
        <v>4200000</v>
      </c>
      <c r="D5" s="7" t="n">
        <f aca="false">D4*Inputs!D6</f>
        <v>5670000</v>
      </c>
      <c r="E5" s="7" t="n">
        <f aca="false">E4*Inputs!E6</f>
        <v>7371000</v>
      </c>
    </row>
    <row r="6" customFormat="false" ht="15" hidden="false" customHeight="false" outlineLevel="0" collapsed="false">
      <c r="A6" s="8" t="s">
        <v>17</v>
      </c>
      <c r="B6" s="9" t="n">
        <f aca="false">B4-B5</f>
        <v>7000000</v>
      </c>
      <c r="C6" s="9" t="n">
        <f aca="false">C4-C5</f>
        <v>9800000</v>
      </c>
      <c r="D6" s="9" t="n">
        <f aca="false">D4-D5</f>
        <v>13230000</v>
      </c>
      <c r="E6" s="9" t="n">
        <f aca="false">E4-E5</f>
        <v>17199000</v>
      </c>
    </row>
    <row r="7" customFormat="false" ht="15" hidden="false" customHeight="false" outlineLevel="0" collapsed="false">
      <c r="A7" s="1" t="s">
        <v>18</v>
      </c>
      <c r="B7" s="7" t="n">
        <f aca="false">B4*Inputs!B7</f>
        <v>6000000</v>
      </c>
      <c r="C7" s="7" t="n">
        <f aca="false">C4*Inputs!C7</f>
        <v>7700000</v>
      </c>
      <c r="D7" s="7" t="n">
        <f aca="false">D4*Inputs!D7</f>
        <v>9450000</v>
      </c>
      <c r="E7" s="7" t="n">
        <f aca="false">E4*Inputs!E7</f>
        <v>11056500</v>
      </c>
    </row>
    <row r="8" customFormat="false" ht="15" hidden="false" customHeight="false" outlineLevel="0" collapsed="false">
      <c r="A8" s="8" t="s">
        <v>19</v>
      </c>
      <c r="B8" s="7" t="n">
        <f aca="false">B6-B7</f>
        <v>1000000</v>
      </c>
      <c r="C8" s="7" t="n">
        <f aca="false">C6-C7</f>
        <v>2100000</v>
      </c>
      <c r="D8" s="7" t="n">
        <f aca="false">D6-D7</f>
        <v>3780000</v>
      </c>
      <c r="E8" s="7" t="n">
        <f aca="false">E6-E7</f>
        <v>6142500</v>
      </c>
    </row>
    <row r="9" customFormat="false" ht="15" hidden="false" customHeight="false" outlineLevel="0" collapsed="false">
      <c r="A9" s="1" t="s">
        <v>20</v>
      </c>
      <c r="B9" s="7" t="n">
        <f aca="false">Inputs!B9</f>
        <v>1000000</v>
      </c>
      <c r="C9" s="7" t="n">
        <f aca="false">Inputs!B9</f>
        <v>1000000</v>
      </c>
      <c r="D9" s="7" t="n">
        <f aca="false">Inputs!B9</f>
        <v>1000000</v>
      </c>
      <c r="E9" s="7" t="n">
        <f aca="false">Inputs!B9</f>
        <v>1000000</v>
      </c>
    </row>
    <row r="10" customFormat="false" ht="15" hidden="false" customHeight="false" outlineLevel="0" collapsed="false">
      <c r="A10" s="8" t="s">
        <v>21</v>
      </c>
      <c r="B10" s="9" t="n">
        <f aca="false">B8-B9</f>
        <v>0</v>
      </c>
      <c r="C10" s="9" t="n">
        <f aca="false">C8-C9</f>
        <v>1100000</v>
      </c>
      <c r="D10" s="9" t="n">
        <f aca="false">D8-D9</f>
        <v>2780000</v>
      </c>
      <c r="E10" s="9" t="n">
        <f aca="false">E8-E9</f>
        <v>5142500</v>
      </c>
    </row>
    <row r="11" customFormat="false" ht="15" hidden="false" customHeight="false" outlineLevel="0" collapsed="false">
      <c r="A11" s="1" t="s">
        <v>22</v>
      </c>
      <c r="B11" s="7" t="n">
        <f aca="false">Inputs!B11*Inputs!B13</f>
        <v>600000</v>
      </c>
      <c r="C11" s="7" t="n">
        <f aca="false">Inputs!B11*Inputs!B13</f>
        <v>600000</v>
      </c>
      <c r="D11" s="7" t="n">
        <f aca="false">Inputs!B11*Inputs!B13</f>
        <v>600000</v>
      </c>
      <c r="E11" s="7" t="n">
        <f aca="false">Inputs!B11*Inputs!B13</f>
        <v>600000</v>
      </c>
    </row>
    <row r="12" customFormat="false" ht="15" hidden="false" customHeight="false" outlineLevel="0" collapsed="false">
      <c r="A12" s="8" t="s">
        <v>23</v>
      </c>
      <c r="B12" s="7" t="n">
        <f aca="false">B10-B11</f>
        <v>-600000</v>
      </c>
      <c r="C12" s="7" t="n">
        <f aca="false">C10-C11</f>
        <v>499999.999999999</v>
      </c>
      <c r="D12" s="7" t="n">
        <f aca="false">D10-D11</f>
        <v>2180000</v>
      </c>
      <c r="E12" s="7" t="n">
        <f aca="false">E10-E11</f>
        <v>4542500</v>
      </c>
    </row>
    <row r="13" customFormat="false" ht="15" hidden="false" customHeight="false" outlineLevel="0" collapsed="false">
      <c r="A13" s="1" t="s">
        <v>24</v>
      </c>
      <c r="B13" s="7" t="n">
        <f aca="false">Inputs!B12*MAX(0,B12)</f>
        <v>0</v>
      </c>
      <c r="C13" s="7" t="n">
        <f aca="false">Inputs!B12*MAX(0,C12)</f>
        <v>125000</v>
      </c>
      <c r="D13" s="7" t="n">
        <f aca="false">Inputs!B12*MAX(0,D12)</f>
        <v>545000</v>
      </c>
      <c r="E13" s="7" t="n">
        <f aca="false">Inputs!B12*MAX(0,E12)</f>
        <v>1135625</v>
      </c>
    </row>
    <row r="14" customFormat="false" ht="15" hidden="false" customHeight="false" outlineLevel="0" collapsed="false">
      <c r="A14" s="8" t="s">
        <v>25</v>
      </c>
      <c r="B14" s="9" t="n">
        <f aca="false">B12-B13</f>
        <v>-600000</v>
      </c>
      <c r="C14" s="9" t="n">
        <f aca="false">C12-C13</f>
        <v>374999.999999999</v>
      </c>
      <c r="D14" s="9" t="n">
        <f aca="false">D12-D13</f>
        <v>1635000</v>
      </c>
      <c r="E14" s="9" t="n">
        <f aca="false">E12-E13</f>
        <v>3406875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6"/>
  </cols>
  <sheetData>
    <row r="1" customFormat="false" ht="16.15" hidden="false" customHeight="false" outlineLevel="0" collapsed="false">
      <c r="A1" s="2" t="s">
        <v>26</v>
      </c>
    </row>
    <row r="3" customFormat="false" ht="15" hidden="false" customHeight="false" outlineLevel="0" collapsed="false">
      <c r="B3" s="3" t="n">
        <v>2026</v>
      </c>
      <c r="C3" s="3" t="n">
        <v>2027</v>
      </c>
      <c r="D3" s="3" t="n">
        <v>2028</v>
      </c>
      <c r="E3" s="3" t="n">
        <v>2029</v>
      </c>
    </row>
    <row r="4" customFormat="false" ht="15" hidden="false" customHeight="false" outlineLevel="0" collapsed="false">
      <c r="A4" s="1" t="s">
        <v>27</v>
      </c>
      <c r="B4" s="7" t="n">
        <f aca="false">Inputs!B17</f>
        <v>15000000</v>
      </c>
      <c r="C4" s="7" t="n">
        <f aca="false">B4+'Cash Flow'!C11</f>
        <v>14194178.0821918</v>
      </c>
      <c r="D4" s="7" t="n">
        <f aca="false">C4+'Cash Flow'!D11</f>
        <v>14607671.2328767</v>
      </c>
      <c r="E4" s="7" t="n">
        <f aca="false">D4+'Cash Flow'!E11</f>
        <v>16758231.1643836</v>
      </c>
    </row>
    <row r="5" customFormat="false" ht="15" hidden="false" customHeight="false" outlineLevel="0" collapsed="false">
      <c r="A5" s="1" t="s">
        <v>28</v>
      </c>
      <c r="B5" s="7" t="n">
        <f aca="false">'Income Statement'!B4*Inputs!B15/365</f>
        <v>821917.808219178</v>
      </c>
      <c r="C5" s="7" t="n">
        <f aca="false">'Income Statement'!C4*Inputs!B15/365</f>
        <v>1150684.93150685</v>
      </c>
      <c r="D5" s="7" t="n">
        <f aca="false">'Income Statement'!D4*Inputs!B15/365</f>
        <v>1553424.65753425</v>
      </c>
      <c r="E5" s="7" t="n">
        <f aca="false">'Income Statement'!E4*Inputs!B15/365</f>
        <v>2019452.05479452</v>
      </c>
    </row>
    <row r="6" customFormat="false" ht="15" hidden="false" customHeight="false" outlineLevel="0" collapsed="false">
      <c r="A6" s="1" t="s">
        <v>29</v>
      </c>
      <c r="B6" s="7" t="n">
        <f aca="false">Inputs!B18</f>
        <v>5000000</v>
      </c>
      <c r="C6" s="7" t="n">
        <f aca="false">B6+Inputs!B10-'Income Statement'!C9</f>
        <v>6000000</v>
      </c>
      <c r="D6" s="7" t="n">
        <f aca="false">C6+Inputs!B10-'Income Statement'!D9</f>
        <v>7000000</v>
      </c>
      <c r="E6" s="7" t="n">
        <f aca="false">D6+Inputs!B10-'Income Statement'!E9</f>
        <v>8000000</v>
      </c>
    </row>
    <row r="7" customFormat="false" ht="15" hidden="false" customHeight="false" outlineLevel="0" collapsed="false">
      <c r="A7" s="8" t="s">
        <v>30</v>
      </c>
      <c r="B7" s="9" t="n">
        <f aca="false">SUM(B4:B6)</f>
        <v>20821917.8082192</v>
      </c>
      <c r="C7" s="9" t="n">
        <f aca="false">SUM(C4:C6)</f>
        <v>21344863.0136986</v>
      </c>
      <c r="D7" s="9" t="n">
        <f aca="false">SUM(D4:D6)</f>
        <v>23161095.890411</v>
      </c>
      <c r="E7" s="9" t="n">
        <f aca="false">SUM(E4:E6)</f>
        <v>26777683.2191781</v>
      </c>
    </row>
    <row r="9" customFormat="false" ht="15" hidden="false" customHeight="false" outlineLevel="0" collapsed="false">
      <c r="A9" s="1" t="s">
        <v>31</v>
      </c>
      <c r="B9" s="7" t="n">
        <f aca="false">'Income Statement'!B5*Inputs!B16/365</f>
        <v>369863.01369863</v>
      </c>
      <c r="C9" s="7" t="n">
        <f aca="false">'Income Statement'!C5*Inputs!B16/365</f>
        <v>517808.219178082</v>
      </c>
      <c r="D9" s="7" t="n">
        <f aca="false">'Income Statement'!D5*Inputs!B16/365</f>
        <v>699041.095890411</v>
      </c>
      <c r="E9" s="7" t="n">
        <f aca="false">'Income Statement'!E5*Inputs!B16/365</f>
        <v>908753.424657534</v>
      </c>
    </row>
    <row r="10" customFormat="false" ht="15" hidden="false" customHeight="false" outlineLevel="0" collapsed="false">
      <c r="A10" s="1" t="s">
        <v>32</v>
      </c>
      <c r="B10" s="7" t="n">
        <f aca="false">Inputs!B13</f>
        <v>10000000</v>
      </c>
      <c r="C10" s="7" t="n">
        <f aca="false">Inputs!B13</f>
        <v>10000000</v>
      </c>
      <c r="D10" s="7" t="n">
        <f aca="false">Inputs!B13</f>
        <v>10000000</v>
      </c>
      <c r="E10" s="7" t="n">
        <f aca="false">Inputs!B13</f>
        <v>10000000</v>
      </c>
    </row>
    <row r="11" customFormat="false" ht="15" hidden="false" customHeight="false" outlineLevel="0" collapsed="false">
      <c r="A11" s="1" t="s">
        <v>10</v>
      </c>
      <c r="B11" s="7" t="n">
        <f aca="false">Inputs!B14</f>
        <v>8000000</v>
      </c>
      <c r="C11" s="7" t="n">
        <f aca="false">Inputs!B14</f>
        <v>8000000</v>
      </c>
      <c r="D11" s="7" t="n">
        <f aca="false">Inputs!B14</f>
        <v>8000000</v>
      </c>
      <c r="E11" s="7" t="n">
        <f aca="false">Inputs!B14</f>
        <v>8000000</v>
      </c>
    </row>
    <row r="12" customFormat="false" ht="15" hidden="false" customHeight="false" outlineLevel="0" collapsed="false">
      <c r="A12" s="1" t="s">
        <v>33</v>
      </c>
      <c r="B12" s="7" t="n">
        <f aca="false">(B4+B5+B6)-(B9+B10+B11)</f>
        <v>2452054.79452055</v>
      </c>
      <c r="C12" s="7" t="n">
        <f aca="false">B12+'Income Statement'!C14</f>
        <v>2827054.79452055</v>
      </c>
      <c r="D12" s="7" t="n">
        <f aca="false">C12+'Income Statement'!D14</f>
        <v>4462054.79452055</v>
      </c>
      <c r="E12" s="7" t="n">
        <f aca="false">D12+'Income Statement'!E14</f>
        <v>7868929.79452055</v>
      </c>
    </row>
    <row r="13" customFormat="false" ht="15" hidden="false" customHeight="false" outlineLevel="0" collapsed="false">
      <c r="A13" s="8" t="s">
        <v>34</v>
      </c>
      <c r="B13" s="9" t="n">
        <f aca="false">B9+SUM(B10:B12)</f>
        <v>20821917.8082192</v>
      </c>
      <c r="C13" s="9" t="n">
        <f aca="false">C9+SUM(C10:C12)</f>
        <v>21344863.0136986</v>
      </c>
      <c r="D13" s="9" t="n">
        <f aca="false">D9+SUM(D10:D12)</f>
        <v>23161095.890411</v>
      </c>
      <c r="E13" s="9" t="n">
        <f aca="false">E9+SUM(E10:E12)</f>
        <v>26777683.2191781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6"/>
  </cols>
  <sheetData>
    <row r="1" customFormat="false" ht="16.15" hidden="false" customHeight="false" outlineLevel="0" collapsed="false">
      <c r="A1" s="2" t="s">
        <v>35</v>
      </c>
    </row>
    <row r="3" customFormat="false" ht="15" hidden="false" customHeight="false" outlineLevel="0" collapsed="false">
      <c r="B3" s="3" t="n">
        <v>2026</v>
      </c>
      <c r="C3" s="3" t="n">
        <v>2027</v>
      </c>
      <c r="D3" s="3" t="n">
        <v>2028</v>
      </c>
      <c r="E3" s="3" t="n">
        <v>2029</v>
      </c>
    </row>
    <row r="4" customFormat="false" ht="15" hidden="false" customHeight="false" outlineLevel="0" collapsed="false">
      <c r="A4" s="1" t="s">
        <v>25</v>
      </c>
      <c r="B4" s="7" t="n">
        <f aca="false">'Income Statement'!B14</f>
        <v>-600000</v>
      </c>
      <c r="C4" s="7" t="n">
        <f aca="false">'Income Statement'!C14</f>
        <v>374999.999999999</v>
      </c>
      <c r="D4" s="7" t="n">
        <f aca="false">'Income Statement'!D14</f>
        <v>1635000</v>
      </c>
      <c r="E4" s="7" t="n">
        <f aca="false">'Income Statement'!E14</f>
        <v>3406875</v>
      </c>
    </row>
    <row r="5" customFormat="false" ht="15" hidden="false" customHeight="false" outlineLevel="0" collapsed="false">
      <c r="A5" s="1" t="s">
        <v>36</v>
      </c>
      <c r="B5" s="7" t="n">
        <f aca="false">'Income Statement'!B9</f>
        <v>1000000</v>
      </c>
      <c r="C5" s="7" t="n">
        <f aca="false">'Income Statement'!C9</f>
        <v>1000000</v>
      </c>
      <c r="D5" s="7" t="n">
        <f aca="false">'Income Statement'!D9</f>
        <v>1000000</v>
      </c>
      <c r="E5" s="7" t="n">
        <f aca="false">'Income Statement'!E9</f>
        <v>1000000</v>
      </c>
    </row>
    <row r="6" customFormat="false" ht="15" hidden="false" customHeight="false" outlineLevel="0" collapsed="false">
      <c r="A6" s="1" t="s">
        <v>37</v>
      </c>
      <c r="B6" s="7" t="n">
        <v>0</v>
      </c>
      <c r="C6" s="7" t="n">
        <f aca="false">-('Balance Sheet'!C5-'Balance Sheet'!B5)</f>
        <v>-328767.123287671</v>
      </c>
      <c r="D6" s="7" t="n">
        <f aca="false">-('Balance Sheet'!D5-'Balance Sheet'!C5)</f>
        <v>-402739.726027397</v>
      </c>
      <c r="E6" s="7" t="n">
        <f aca="false">-('Balance Sheet'!E5-'Balance Sheet'!D5)</f>
        <v>-466027.397260274</v>
      </c>
    </row>
    <row r="7" customFormat="false" ht="15" hidden="false" customHeight="false" outlineLevel="0" collapsed="false">
      <c r="A7" s="1" t="s">
        <v>38</v>
      </c>
      <c r="B7" s="7" t="n">
        <v>0</v>
      </c>
      <c r="C7" s="7" t="n">
        <f aca="false">'Balance Sheet'!C9-'Balance Sheet'!B9</f>
        <v>147945.205479452</v>
      </c>
      <c r="D7" s="7" t="n">
        <f aca="false">'Balance Sheet'!D9-'Balance Sheet'!C9</f>
        <v>181232.876712329</v>
      </c>
      <c r="E7" s="7" t="n">
        <f aca="false">'Balance Sheet'!E9-'Balance Sheet'!D9</f>
        <v>209712.328767123</v>
      </c>
    </row>
    <row r="8" customFormat="false" ht="15" hidden="false" customHeight="false" outlineLevel="0" collapsed="false">
      <c r="A8" s="8" t="s">
        <v>39</v>
      </c>
      <c r="B8" s="9" t="n">
        <f aca="false">SUM(B4:B7)</f>
        <v>400000</v>
      </c>
      <c r="C8" s="9" t="n">
        <f aca="false">SUM(C4:C7)</f>
        <v>1194178.08219178</v>
      </c>
      <c r="D8" s="9" t="n">
        <f aca="false">SUM(D4:D7)</f>
        <v>2413493.15068493</v>
      </c>
      <c r="E8" s="9" t="n">
        <f aca="false">SUM(E4:E7)</f>
        <v>4150559.93150685</v>
      </c>
    </row>
    <row r="9" customFormat="false" ht="15" hidden="false" customHeight="false" outlineLevel="0" collapsed="false">
      <c r="A9" s="1" t="s">
        <v>40</v>
      </c>
      <c r="B9" s="7" t="n">
        <v>0</v>
      </c>
      <c r="C9" s="7" t="n">
        <f aca="false">-Inputs!B10</f>
        <v>-2000000</v>
      </c>
      <c r="D9" s="7" t="n">
        <f aca="false">-Inputs!B10</f>
        <v>-2000000</v>
      </c>
      <c r="E9" s="7" t="n">
        <f aca="false">-Inputs!B10</f>
        <v>-2000000</v>
      </c>
    </row>
    <row r="10" customFormat="false" ht="15" hidden="false" customHeight="false" outlineLevel="0" collapsed="false">
      <c r="A10" s="1" t="s">
        <v>41</v>
      </c>
      <c r="B10" s="7" t="n">
        <v>0</v>
      </c>
      <c r="C10" s="7" t="n">
        <v>0</v>
      </c>
      <c r="D10" s="7" t="n">
        <v>0</v>
      </c>
      <c r="E10" s="7" t="n">
        <v>0</v>
      </c>
    </row>
    <row r="11" customFormat="false" ht="15" hidden="false" customHeight="false" outlineLevel="0" collapsed="false">
      <c r="A11" s="8" t="s">
        <v>42</v>
      </c>
      <c r="B11" s="9" t="n">
        <f aca="false">B8+B9+B10</f>
        <v>400000</v>
      </c>
      <c r="C11" s="9" t="n">
        <f aca="false">C8+C9+C10</f>
        <v>-805821.91780822</v>
      </c>
      <c r="D11" s="9" t="n">
        <f aca="false">D8+D9+D10</f>
        <v>413493.150684931</v>
      </c>
      <c r="E11" s="9" t="n">
        <f aca="false">E8+E9+E10</f>
        <v>2150559.93150685</v>
      </c>
    </row>
    <row r="12" customFormat="false" ht="15" hidden="false" customHeight="false" outlineLevel="0" collapsed="false">
      <c r="A12" s="1" t="s">
        <v>43</v>
      </c>
      <c r="B12" s="7" t="n">
        <v>0</v>
      </c>
      <c r="C12" s="7" t="n">
        <f aca="false">B13</f>
        <v>15000000</v>
      </c>
      <c r="D12" s="7" t="n">
        <f aca="false">C13</f>
        <v>14194178.0821918</v>
      </c>
      <c r="E12" s="7" t="n">
        <f aca="false">D13</f>
        <v>14607671.2328767</v>
      </c>
    </row>
    <row r="13" customFormat="false" ht="15" hidden="false" customHeight="false" outlineLevel="0" collapsed="false">
      <c r="A13" s="8" t="s">
        <v>44</v>
      </c>
      <c r="B13" s="9" t="n">
        <f aca="false">Inputs!B17</f>
        <v>15000000</v>
      </c>
      <c r="C13" s="9" t="n">
        <f aca="false">C12+C11</f>
        <v>14194178.0821918</v>
      </c>
      <c r="D13" s="9" t="n">
        <f aca="false">D12+D11</f>
        <v>14607671.2328767</v>
      </c>
      <c r="E13" s="9" t="n">
        <f aca="false">E12+E11</f>
        <v>16758231.1643836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2026-04-22T20:09:47Z</dcterms:created>
  <dc:creator>openpyxl</dc:creator>
  <dc:description/>
  <dc:language>en-US</dc:language>
  <cp:lastModifiedBy/>
  <dcterms:modified xsi:type="dcterms:W3CDTF">2026-04-22T20:09:47Z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