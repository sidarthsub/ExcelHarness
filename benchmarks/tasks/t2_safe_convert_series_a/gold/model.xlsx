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  <sheet name="SAFE Convert" sheetId="2" state="visible" r:id="rId4"/>
    <sheet name="Series 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<sst xmlns="http://schemas.openxmlformats.org/spreadsheetml/2006/main" count="41" uniqueCount="38">
  <si>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Holder</t>
  </si>
  <si>
    <t xml:space="preserve">Class</t>
  </si>
  <si>
    <t xml:space="preserve">Shares</t>
  </si>
  <si>
    <t xml:space="preserve">% FD</t>
  </si>
  <si>
    <t xml:space="preserve">Founder A</t>
  </si>
  <si>
    <t xml:space="preserve">Common</t>
  </si>
  <si>
    <t xml:space="preserve">Founder B</t>
  </si>
  <si>
    <t xml:space="preserve">Seed Investor 1</t>
  </si>
  <si>
    <t xml:space="preserve">Preferred Seed</t>
  </si>
  <si>
    <t xml:space="preserve">Seed Investor 2</t>
  </si>
  <si>
    <t xml:space="preserve">Option Pool (granted)</t>
  </si>
  <si>
    <t xml:space="preserve">Options (granted)</t>
  </si>
  <si>
    <t xml:space="preserve">Option Pool (unallocated)</t>
  </si>
  <si>
    <t xml:space="preserve">Options (unallocated)</t>
  </si>
  <si>
    <t xml:space="preserve">Total FD</t>
  </si>
  <si>
    <t xml:space="preserve">SAFE Conversion</t>
  </si>
  <si>
    <t xml:space="preserve">Harbor Fund</t>
  </si>
  <si>
    <t xml:space="preserve">Archer Angels</t>
  </si>
  <si>
    <t xml:space="preserve">Investment</t>
  </si>
  <si>
    <t xml:space="preserve">Valuation cap</t>
  </si>
  <si>
    <t xml:space="preserve">Discount</t>
  </si>
  <si>
    <t xml:space="preserve">Pre-round FD (from Cap Table)</t>
  </si>
  <si>
    <t xml:space="preserve">Headline price (from Series A)</t>
  </si>
  <si>
    <t xml:space="preserve">Cap price</t>
  </si>
  <si>
    <t xml:space="preserve">Discount price</t>
  </si>
  <si>
    <t xml:space="preserve">Conversion price</t>
  </si>
  <si>
    <t xml:space="preserve">Shares issued</t>
  </si>
  <si>
    <t xml:space="preserve">Total SAFE shares</t>
  </si>
  <si>
    <t xml:space="preserve">Series A — round mechanics</t>
  </si>
  <si>
    <t xml:space="preserve">Pre-money valuation</t>
  </si>
  <si>
    <t xml:space="preserve">Headline price per share</t>
  </si>
  <si>
    <t xml:space="preserve">Round size (new money)</t>
  </si>
  <si>
    <t xml:space="preserve">Option pool target (post-money)</t>
  </si>
  <si>
    <t xml:space="preserve">Pre-round unallocated pool</t>
  </si>
  <si>
    <t xml:space="preserve">SAFE shares (from SAFE Convert)</t>
  </si>
  <si>
    <t xml:space="preserve">New investor shares</t>
  </si>
  <si>
    <t xml:space="preserve">Option pool top-up</t>
  </si>
  <si>
    <t xml:space="preserve">Post-money fully diluted shares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</si>
</sst>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\$#,##0"/>
    <numFmt numFmtId="168" formatCode="0.0%"/>
    <numFmt numFmtId="169" formatCode="\$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3" t="n">
        <v>4000000</v>
      </c>
      <c r="D2" s="4" t="n">
        <f aca="false">C2/$C$8</f>
        <v>0.380952380952381</v>
      </c>
    </row>
    <row r="3" customFormat="false" ht="15" hidden="false" customHeight="false" outlineLevel="0" collapsed="false">
      <c r="A3" s="1" t="s">
        <v>6</v>
      </c>
      <c r="B3" s="1" t="s">
        <v>5</v>
      </c>
      <c r="C3" s="3" t="n">
        <v>3000000</v>
      </c>
      <c r="D3" s="4" t="n">
        <f aca="false">C3/$C$8</f>
        <v>0.285714285714286</v>
      </c>
    </row>
    <row r="4" customFormat="false" ht="15" hidden="false" customHeight="false" outlineLevel="0" collapsed="false">
      <c r="A4" s="1" t="s">
        <v>7</v>
      </c>
      <c r="B4" s="1" t="s">
        <v>8</v>
      </c>
      <c r="C4" s="3" t="n">
        <v>1500000</v>
      </c>
      <c r="D4" s="4" t="n">
        <f aca="false">C4/$C$8</f>
        <v>0.142857142857143</v>
      </c>
    </row>
    <row r="5" customFormat="false" ht="15" hidden="false" customHeight="false" outlineLevel="0" collapsed="false">
      <c r="A5" s="1" t="s">
        <v>9</v>
      </c>
      <c r="B5" s="1" t="s">
        <v>8</v>
      </c>
      <c r="C5" s="3" t="n">
        <v>1000000</v>
      </c>
      <c r="D5" s="4" t="n">
        <f aca="false">C5/$C$8</f>
        <v>0.0952380952380952</v>
      </c>
    </row>
    <row r="6" customFormat="false" ht="15" hidden="false" customHeight="false" outlineLevel="0" collapsed="false">
      <c r="A6" s="1" t="s">
        <v>10</v>
      </c>
      <c r="B6" s="1" t="s">
        <v>11</v>
      </c>
      <c r="C6" s="3" t="n">
        <v>500000</v>
      </c>
      <c r="D6" s="4" t="n">
        <f aca="false">C6/$C$8</f>
        <v>0.0476190476190476</v>
      </c>
    </row>
    <row r="7" customFormat="false" ht="15" hidden="false" customHeight="false" outlineLevel="0" collapsed="false">
      <c r="A7" s="1" t="s">
        <v>12</v>
      </c>
      <c r="B7" s="1" t="s">
        <v>13</v>
      </c>
      <c r="C7" s="3" t="n">
        <v>500000</v>
      </c>
      <c r="D7" s="4" t="n">
        <f aca="false">C7/$C$8</f>
        <v>0.0476190476190476</v>
      </c>
    </row>
    <row r="8" customFormat="false" ht="15" hidden="false" customHeight="false" outlineLevel="0" collapsed="false">
      <c r="A8" s="5" t="s">
        <v>14</v>
      </c>
      <c r="C8" s="3" t="n">
        <f aca="false">SUM(C2:C7)</f>
        <v>10500000</v>
      </c>
      <c r="D8" s="4" t="n">
        <f aca="false">SUM(D2:D7)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</cols>
  <sheetData>
    <row r="1" customFormat="false" ht="16.15" hidden="false" customHeight="false" outlineLevel="0" collapsed="false">
      <c r="A1" s="6" t="s">
        <v>15</v>
      </c>
    </row>
    <row r="3" customFormat="false" ht="15" hidden="false" customHeight="false" outlineLevel="0" collapsed="false">
      <c r="B3" s="5" t="s">
        <v>16</v>
      </c>
      <c r="C3" s="5" t="s">
        <v>17</v>
      </c>
    </row>
    <row r="4" customFormat="false" ht="15" hidden="false" customHeight="false" outlineLevel="0" collapsed="false">
      <c r="A4" s="1" t="s">
        <v>18</v>
      </c>
      <c r="B4" s="7" t="n">
        <v>2000000</v>
      </c>
      <c r="C4" s="7" t="n">
        <v>1500000</v>
      </c>
    </row>
    <row r="5" customFormat="false" ht="15" hidden="false" customHeight="false" outlineLevel="0" collapsed="false">
      <c r="A5" s="1" t="s">
        <v>19</v>
      </c>
      <c r="B5" s="7" t="n">
        <v>20000000</v>
      </c>
      <c r="C5" s="7" t="n">
        <v>25000000</v>
      </c>
    </row>
    <row r="6" customFormat="false" ht="15" hidden="false" customHeight="false" outlineLevel="0" collapsed="false">
      <c r="A6" s="1" t="s">
        <v>20</v>
      </c>
      <c r="B6" s="8" t="n">
        <v>0</v>
      </c>
      <c r="C6" s="8" t="n">
        <v>0.2</v>
      </c>
    </row>
    <row r="7" customFormat="false" ht="15" hidden="false" customHeight="false" outlineLevel="0" collapsed="false">
      <c r="A7" s="1" t="s">
        <v>21</v>
      </c>
      <c r="B7" s="3" t="n">
        <f aca="false">'Cap Table'!C8</f>
        <v>10500000</v>
      </c>
      <c r="C7" s="3" t="n">
        <f aca="false">'Cap Table'!C8</f>
        <v>10500000</v>
      </c>
    </row>
    <row r="8" customFormat="false" ht="15" hidden="false" customHeight="false" outlineLevel="0" collapsed="false">
      <c r="A8" s="1" t="s">
        <v>22</v>
      </c>
      <c r="B8" s="9" t="n">
        <f aca="false">'Series A'!B5</f>
        <v>3.80952380952381</v>
      </c>
      <c r="C8" s="9" t="n">
        <f aca="false">'Series A'!B5</f>
        <v>3.80952380952381</v>
      </c>
    </row>
    <row r="9" customFormat="false" ht="15" hidden="false" customHeight="false" outlineLevel="0" collapsed="false">
      <c r="A9" s="1" t="s">
        <v>23</v>
      </c>
      <c r="B9" s="9" t="n">
        <f aca="false">B5/B7</f>
        <v>1.9047619047619</v>
      </c>
      <c r="C9" s="9" t="n">
        <f aca="false">C5/C7</f>
        <v>2.38095238095238</v>
      </c>
    </row>
    <row r="10" customFormat="false" ht="15" hidden="false" customHeight="false" outlineLevel="0" collapsed="false">
      <c r="A10" s="1" t="s">
        <v>24</v>
      </c>
      <c r="B10" s="9" t="n">
        <f aca="false">(1-B6)*B8</f>
        <v>3.80952380952381</v>
      </c>
      <c r="C10" s="9" t="n">
        <f aca="false">(1-C6)*C8</f>
        <v>3.04761904761905</v>
      </c>
    </row>
    <row r="11" customFormat="false" ht="15" hidden="false" customHeight="false" outlineLevel="0" collapsed="false">
      <c r="A11" s="5" t="s">
        <v>25</v>
      </c>
      <c r="B11" s="9" t="n">
        <f aca="false">MIN(B9,B10)</f>
        <v>1.9047619047619</v>
      </c>
      <c r="C11" s="9" t="n">
        <f aca="false">MIN(C9,C10)</f>
        <v>2.38095238095238</v>
      </c>
    </row>
    <row r="12" customFormat="false" ht="15" hidden="false" customHeight="false" outlineLevel="0" collapsed="false">
      <c r="A12" s="5" t="s">
        <v>26</v>
      </c>
      <c r="B12" s="3" t="n">
        <f aca="false">B4/B11</f>
        <v>1050000</v>
      </c>
      <c r="C12" s="3" t="n">
        <f aca="false">C4/C11</f>
        <v>630000</v>
      </c>
    </row>
    <row r="14" customFormat="false" ht="15" hidden="false" customHeight="false" outlineLevel="0" collapsed="false">
      <c r="A14" s="5" t="s">
        <v>27</v>
      </c>
      <c r="B14" s="3" t="n">
        <f aca="false">B12+C12</f>
        <v>1680000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</cols>
  <sheetData>
    <row r="1" customFormat="false" ht="16.15" hidden="false" customHeight="false" outlineLevel="0" collapsed="false">
      <c r="A1" s="6" t="s">
        <v>28</v>
      </c>
    </row>
    <row r="3" customFormat="false" ht="15" hidden="false" customHeight="false" outlineLevel="0" collapsed="false">
      <c r="A3" s="1" t="s">
        <v>29</v>
      </c>
      <c r="B3" s="7" t="n">
        <v>40000000</v>
      </c>
    </row>
    <row r="4" customFormat="false" ht="15" hidden="false" customHeight="false" outlineLevel="0" collapsed="false">
      <c r="A4" s="1" t="s">
        <v>21</v>
      </c>
      <c r="B4" s="3" t="n">
        <f aca="false">'Cap Table'!C8</f>
        <v>10500000</v>
      </c>
    </row>
    <row r="5" customFormat="false" ht="15" hidden="false" customHeight="false" outlineLevel="0" collapsed="false">
      <c r="A5" s="5" t="s">
        <v>30</v>
      </c>
      <c r="B5" s="9" t="n">
        <f aca="false">B3/B4</f>
        <v>3.80952380952381</v>
      </c>
    </row>
    <row r="6" customFormat="false" ht="15" hidden="false" customHeight="false" outlineLevel="0" collapsed="false">
      <c r="A6" s="1" t="s">
        <v>31</v>
      </c>
      <c r="B6" s="7" t="n">
        <v>15000000</v>
      </c>
    </row>
    <row r="7" customFormat="false" ht="15" hidden="false" customHeight="false" outlineLevel="0" collapsed="false">
      <c r="A7" s="1" t="s">
        <v>32</v>
      </c>
      <c r="B7" s="8" t="n">
        <v>0.1</v>
      </c>
    </row>
    <row r="8" customFormat="false" ht="15" hidden="false" customHeight="false" outlineLevel="0" collapsed="false">
      <c r="A8" s="1" t="s">
        <v>33</v>
      </c>
      <c r="B8" s="3" t="n">
        <v>500000</v>
      </c>
    </row>
    <row r="11" customFormat="false" ht="15" hidden="false" customHeight="false" outlineLevel="0" collapsed="false">
      <c r="A11" s="1" t="s">
        <v>34</v>
      </c>
      <c r="B11" s="3" t="n">
        <f aca="false">'SAFE Convert'!B14</f>
        <v>1680000</v>
      </c>
    </row>
    <row r="12" customFormat="false" ht="15" hidden="false" customHeight="false" outlineLevel="0" collapsed="false">
      <c r="A12" s="1" t="s">
        <v>35</v>
      </c>
      <c r="B12" s="3" t="n">
        <f aca="false">B6/B5</f>
        <v>3937500</v>
      </c>
    </row>
    <row r="13" customFormat="false" ht="15" hidden="false" customHeight="false" outlineLevel="0" collapsed="false">
      <c r="A13" s="5" t="s">
        <v>36</v>
      </c>
      <c r="B13" s="3" t="n">
        <f aca="false">(B7*(B4+B11+B12)-B8)/(1-B7)</f>
        <v>1235277.77777778</v>
      </c>
    </row>
    <row r="14" customFormat="false" ht="15" hidden="false" customHeight="false" outlineLevel="0" collapsed="false">
      <c r="A14" s="5" t="s">
        <v>37</v>
      </c>
      <c r="B14" s="3" t="n">
        <f aca="false">B4+B11+B12+B13</f>
        <v>17352777.7777778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2026-04-23T14:15:59Z</dcterms:created>
  <dc:creator>openpyxl</dc:creator>
  <dc:description/>
  <dc:language>en-US</dc:language>
  <cp:lastModifiedBy/>
  <dcterms:modified xsi:type="dcterms:W3CDTF">2026-04-23T14:15:59Z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