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<sst xmlns="http://schemas.openxmlformats.org/spreadsheetml/2006/main" count="11" uniqueCount="11">
  <si>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SAFE Conversion Price</t>
  </si>
  <si>
    <t xml:space="preserve">SAFE investment</t>
  </si>
  <si>
    <t xml:space="preserve">Valuation cap</t>
  </si>
  <si>
    <t xml:space="preserve">Discount (decimal)</t>
  </si>
  <si>
    <t xml:space="preserve">Pre-round FD</t>
  </si>
  <si>
    <t xml:space="preserve">Round pre-money</t>
  </si>
  <si>
    <t xml:space="preserve">Headline price</t>
  </si>
  <si>
    <t xml:space="preserve">Cap price</t>
  </si>
  <si>
    <t xml:space="preserve">Discount price</t>
  </si>
  <si>
    <t xml:space="preserve">Conversion price</t>
  </si>
  <si>
    <t xml:space="preserve">Shares issued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</si>
</sst>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#,##0"/>
    <numFmt numFmtId="168" formatCode="\$#,##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3000000</v>
      </c>
    </row>
    <row r="4" customFormat="false" ht="15" hidden="false" customHeight="false" outlineLevel="0" collapsed="false">
      <c r="A4" s="1" t="s">
        <v>2</v>
      </c>
      <c r="B4" s="3" t="n">
        <v>15000000</v>
      </c>
    </row>
    <row r="5" customFormat="false" ht="15" hidden="false" customHeight="false" outlineLevel="0" collapsed="false">
      <c r="A5" s="1" t="s">
        <v>3</v>
      </c>
      <c r="B5" s="4" t="n">
        <v>0.2</v>
      </c>
    </row>
    <row r="6" customFormat="false" ht="15" hidden="false" customHeight="false" outlineLevel="0" collapsed="false">
      <c r="A6" s="1" t="s">
        <v>4</v>
      </c>
      <c r="B6" s="5" t="n">
        <v>5000000</v>
      </c>
    </row>
    <row r="7" customFormat="false" ht="15" hidden="false" customHeight="false" outlineLevel="0" collapsed="false">
      <c r="A7" s="1" t="s">
        <v>5</v>
      </c>
      <c r="B7" s="3" t="n">
        <v>20000000</v>
      </c>
    </row>
    <row r="10" customFormat="false" ht="15" hidden="false" customHeight="false" outlineLevel="0" collapsed="false">
      <c r="A10" s="1" t="s">
        <v>6</v>
      </c>
      <c r="B10" s="6" t="n">
        <f aca="false">B7/B6</f>
        <v>4</v>
      </c>
    </row>
    <row r="11" customFormat="false" ht="15" hidden="false" customHeight="false" outlineLevel="0" collapsed="false">
      <c r="A11" s="1" t="s">
        <v>7</v>
      </c>
      <c r="B11" s="6" t="n">
        <f aca="false">B4/B6</f>
        <v>3</v>
      </c>
    </row>
    <row r="12" customFormat="false" ht="15" hidden="false" customHeight="false" outlineLevel="0" collapsed="false">
      <c r="A12" s="1" t="s">
        <v>8</v>
      </c>
      <c r="B12" s="6" t="n">
        <f aca="false">(1-B5)*B10</f>
        <v>3.2</v>
      </c>
    </row>
    <row r="13" customFormat="false" ht="15" hidden="false" customHeight="false" outlineLevel="0" collapsed="false">
      <c r="A13" s="1" t="s">
        <v>9</v>
      </c>
      <c r="B13" s="6" t="n">
        <f aca="false">MIN(B11,B12)</f>
        <v>3</v>
      </c>
    </row>
    <row r="14" customFormat="false" ht="15" hidden="false" customHeight="false" outlineLevel="0" collapsed="false">
      <c r="A14" s="1" t="s">
        <v>10</v>
      </c>
      <c r="B14" s="5" t="n">
        <f aca="false">B3/B13</f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2026-04-23T14:41:04Z</dcterms:created>
  <dc:creator>openpyxl</dc:creator>
  <dc:description/>
  <dc:language>en-US</dc:language>
  <cp:lastModifiedBy/>
  <dcterms:modified xsi:type="dcterms:W3CDTF">2026-04-23T14:41:04Z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