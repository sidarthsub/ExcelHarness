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enue Buil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<sst xmlns="http://schemas.openxmlformats.org/spreadsheetml/2006/main" count="22" uniqueCount="21">
  <si>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Revenue Build</t>
  </si>
  <si>
    <t xml:space="preserve">Month</t>
  </si>
  <si>
    <t xml:space="preserve">Seasonality %</t>
  </si>
  <si>
    <t xml:space="preserve">Units</t>
  </si>
  <si>
    <t xml:space="preserve">Price</t>
  </si>
  <si>
    <t xml:space="preserve">Revenue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</si>
  <si>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</si>
  <si>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</si>
  <si>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</si>
  <si>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</si>
  <si>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</si>
  <si>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</si>
  <si>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</si>
  <si>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</si>
  <si>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</si>
  <si>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</si>
  <si>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</si>
  <si>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</si>
  <si>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</si>
  <si>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Parameters</t>
  </si>
  <si>
    <t xml:space="preserve">Annual units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</si>
</sst>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"/>
    <numFmt numFmtId="167" formatCode="\$#,##0.00"/>
    <numFmt numFmtId="168" formatCode="\$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6"/>
  </cols>
  <sheetData>
    <row r="1" customFormat="false" ht="16.1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1" t="s">
        <v>6</v>
      </c>
      <c r="B4" s="4" t="n">
        <v>0.05</v>
      </c>
      <c r="C4" s="5" t="n">
        <f aca="false">$B$18*B4</f>
        <v>6000</v>
      </c>
      <c r="D4" s="6" t="n">
        <f aca="false">$B$19</f>
        <v>50</v>
      </c>
      <c r="E4" s="7" t="n">
        <f aca="false">C4*D4</f>
        <v>300000</v>
      </c>
    </row>
    <row r="5" customFormat="false" ht="15" hidden="false" customHeight="false" outlineLevel="0" collapsed="false">
      <c r="A5" s="1" t="s">
        <v>7</v>
      </c>
      <c r="B5" s="4" t="n">
        <v>0.05</v>
      </c>
      <c r="C5" s="5" t="n">
        <f aca="false">$B$18*B5</f>
        <v>6000</v>
      </c>
      <c r="D5" s="6" t="n">
        <f aca="false">$B$19</f>
        <v>50</v>
      </c>
      <c r="E5" s="7" t="n">
        <f aca="false">C5*D5</f>
        <v>300000</v>
      </c>
    </row>
    <row r="6" customFormat="false" ht="15" hidden="false" customHeight="false" outlineLevel="0" collapsed="false">
      <c r="A6" s="1" t="s">
        <v>8</v>
      </c>
      <c r="B6" s="4" t="n">
        <v>0.07</v>
      </c>
      <c r="C6" s="5" t="n">
        <f aca="false">$B$18*B6</f>
        <v>8400</v>
      </c>
      <c r="D6" s="6" t="n">
        <f aca="false">$B$19</f>
        <v>50</v>
      </c>
      <c r="E6" s="7" t="n">
        <f aca="false">C6*D6</f>
        <v>420000</v>
      </c>
    </row>
    <row r="7" customFormat="false" ht="15" hidden="false" customHeight="false" outlineLevel="0" collapsed="false">
      <c r="A7" s="1" t="s">
        <v>9</v>
      </c>
      <c r="B7" s="4" t="n">
        <v>0.08</v>
      </c>
      <c r="C7" s="5" t="n">
        <f aca="false">$B$18*B7</f>
        <v>9600</v>
      </c>
      <c r="D7" s="6" t="n">
        <f aca="false">$B$19</f>
        <v>50</v>
      </c>
      <c r="E7" s="7" t="n">
        <f aca="false">C7*D7</f>
        <v>480000</v>
      </c>
    </row>
    <row r="8" customFormat="false" ht="15" hidden="false" customHeight="false" outlineLevel="0" collapsed="false">
      <c r="A8" s="1" t="s">
        <v>10</v>
      </c>
      <c r="B8" s="4" t="n">
        <v>0.08</v>
      </c>
      <c r="C8" s="5" t="n">
        <f aca="false">$B$18*B8</f>
        <v>9600</v>
      </c>
      <c r="D8" s="6" t="n">
        <f aca="false">$B$19</f>
        <v>50</v>
      </c>
      <c r="E8" s="7" t="n">
        <f aca="false">C8*D8</f>
        <v>480000</v>
      </c>
    </row>
    <row r="9" customFormat="false" ht="15" hidden="false" customHeight="false" outlineLevel="0" collapsed="false">
      <c r="A9" s="1" t="s">
        <v>11</v>
      </c>
      <c r="B9" s="4" t="n">
        <v>0.09</v>
      </c>
      <c r="C9" s="5" t="n">
        <f aca="false">$B$18*B9</f>
        <v>10800</v>
      </c>
      <c r="D9" s="6" t="n">
        <f aca="false">$B$19</f>
        <v>50</v>
      </c>
      <c r="E9" s="7" t="n">
        <f aca="false">C9*D9</f>
        <v>540000</v>
      </c>
    </row>
    <row r="10" customFormat="false" ht="15" hidden="false" customHeight="false" outlineLevel="0" collapsed="false">
      <c r="A10" s="1" t="s">
        <v>12</v>
      </c>
      <c r="B10" s="4" t="n">
        <v>0.1</v>
      </c>
      <c r="C10" s="5" t="n">
        <f aca="false">$B$18*B10</f>
        <v>12000</v>
      </c>
      <c r="D10" s="6" t="n">
        <f aca="false">$B$19</f>
        <v>50</v>
      </c>
      <c r="E10" s="7" t="n">
        <f aca="false">C10*D10</f>
        <v>600000</v>
      </c>
    </row>
    <row r="11" customFormat="false" ht="15" hidden="false" customHeight="false" outlineLevel="0" collapsed="false">
      <c r="A11" s="1" t="s">
        <v>13</v>
      </c>
      <c r="B11" s="4" t="n">
        <v>0.1</v>
      </c>
      <c r="C11" s="5" t="n">
        <f aca="false">$B$18*B11</f>
        <v>12000</v>
      </c>
      <c r="D11" s="6" t="n">
        <f aca="false">$B$19</f>
        <v>50</v>
      </c>
      <c r="E11" s="7" t="n">
        <f aca="false">C11*D11</f>
        <v>600000</v>
      </c>
    </row>
    <row r="12" customFormat="false" ht="15" hidden="false" customHeight="false" outlineLevel="0" collapsed="false">
      <c r="A12" s="1" t="s">
        <v>14</v>
      </c>
      <c r="B12" s="4" t="n">
        <v>0.09</v>
      </c>
      <c r="C12" s="5" t="n">
        <f aca="false">$B$18*B12</f>
        <v>10800</v>
      </c>
      <c r="D12" s="6" t="n">
        <f aca="false">$B$19</f>
        <v>50</v>
      </c>
      <c r="E12" s="7" t="n">
        <f aca="false">C12*D12</f>
        <v>540000</v>
      </c>
    </row>
    <row r="13" customFormat="false" ht="15" hidden="false" customHeight="false" outlineLevel="0" collapsed="false">
      <c r="A13" s="1" t="s">
        <v>15</v>
      </c>
      <c r="B13" s="4" t="n">
        <v>0.1</v>
      </c>
      <c r="C13" s="5" t="n">
        <f aca="false">$B$18*B13</f>
        <v>12000</v>
      </c>
      <c r="D13" s="6" t="n">
        <f aca="false">$B$19</f>
        <v>50</v>
      </c>
      <c r="E13" s="7" t="n">
        <f aca="false">C13*D13</f>
        <v>600000</v>
      </c>
    </row>
    <row r="14" customFormat="false" ht="15" hidden="false" customHeight="false" outlineLevel="0" collapsed="false">
      <c r="A14" s="1" t="s">
        <v>16</v>
      </c>
      <c r="B14" s="4" t="n">
        <v>0.11</v>
      </c>
      <c r="C14" s="5" t="n">
        <f aca="false">$B$18*B14</f>
        <v>13200</v>
      </c>
      <c r="D14" s="6" t="n">
        <f aca="false">$B$19</f>
        <v>50</v>
      </c>
      <c r="E14" s="7" t="n">
        <f aca="false">C14*D14</f>
        <v>660000</v>
      </c>
    </row>
    <row r="15" customFormat="false" ht="15" hidden="false" customHeight="false" outlineLevel="0" collapsed="false">
      <c r="A15" s="1" t="s">
        <v>17</v>
      </c>
      <c r="B15" s="4" t="n">
        <v>0.08</v>
      </c>
      <c r="C15" s="5" t="n">
        <f aca="false">$B$18*B15</f>
        <v>9600</v>
      </c>
      <c r="D15" s="6" t="n">
        <f aca="false">$B$19</f>
        <v>50</v>
      </c>
      <c r="E15" s="7" t="n">
        <f aca="false">C15*D15</f>
        <v>480000</v>
      </c>
    </row>
    <row r="16" customFormat="false" ht="15" hidden="false" customHeight="false" outlineLevel="0" collapsed="false">
      <c r="A16" s="8" t="s">
        <v>18</v>
      </c>
      <c r="B16" s="4" t="n">
        <f aca="false">SUM(B4:B15)</f>
        <v>1</v>
      </c>
      <c r="C16" s="5" t="n">
        <f aca="false">SUM(C4:C15)</f>
        <v>120000</v>
      </c>
      <c r="D16" s="6" t="n">
        <f aca="false">E16/C16</f>
        <v>50</v>
      </c>
      <c r="E16" s="7" t="n">
        <f aca="false">SUM(E4:E15)</f>
        <v>6000000</v>
      </c>
    </row>
    <row r="17" customFormat="false" ht="15" hidden="false" customHeight="false" outlineLevel="0" collapsed="false">
      <c r="A17" s="3" t="s">
        <v>19</v>
      </c>
    </row>
    <row r="18" customFormat="false" ht="15" hidden="false" customHeight="false" outlineLevel="0" collapsed="false">
      <c r="A18" s="1" t="s">
        <v>20</v>
      </c>
      <c r="B18" s="5" t="n">
        <v>120000</v>
      </c>
    </row>
    <row r="19" customFormat="false" ht="15" hidden="false" customHeight="false" outlineLevel="0" collapsed="false">
      <c r="A19" s="1" t="s">
        <v>4</v>
      </c>
      <c r="B19" s="6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2026-04-23T15:07:54Z</dcterms:created>
  <dc:creator>openpyxl</dc:creator>
  <dc:description/>
  <dc:language>en-US</dc:language>
  <cp:lastModifiedBy/>
  <dcterms:modified xsi:type="dcterms:W3CDTF">2026-04-23T15:07:54Z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