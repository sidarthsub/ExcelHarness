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Cap Table" sheetId="1" state="visible" r:id="rId3"/>
    <sheet name="Returns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<sst xmlns="http://schemas.openxmlformats.org/spreadsheetml/2006/main" count="22" uniqueCount="15">
  <si>
    <t xml:space="preserve">Holder</t>
  </si>
  <si>
    <t xml:space="preserve">Shares</t>
  </si>
  <si>
    <t xml:space="preserve">Founder A</t>
  </si>
  <si>
    <t xml:space="preserve">Founder B</t>
  </si>
  <si>
    <t xml:space="preserve">Seed Investors</t>
  </si>
  <si>
    <t xml:space="preserve">Series A Investors</t>
  </si>
  <si>
    <t xml:space="preserve">Options</t>
  </si>
  <si>
    <t xml:space="preserve">Returns Analysis</t>
  </si>
  <si>
    <t xml:space="preserve">% FD</t>
  </si>
  <si>
    <t xml:space="preserve">$100M</t>
  </si>
  <si>
    <t xml:space="preserve">$250M</t>
  </si>
  <si>
    <t xml:space="preserve">$500M</t>
  </si>
  <si>
    <t xml:space="preserve">$1B</t>
  </si>
  <si>
    <t xml:space="preserve">$2B</t>
  </si>
  <si>
    <t xml:space="preserve">Totals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</si>
</sst>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n">
        <v>4000000</v>
      </c>
    </row>
    <row r="3" customFormat="false" ht="15" hidden="false" customHeight="false" outlineLevel="0" collapsed="false">
      <c r="A3" s="1" t="s">
        <v>3</v>
      </c>
      <c r="B3" s="3" t="n">
        <v>3000000</v>
      </c>
    </row>
    <row r="4" customFormat="false" ht="15" hidden="false" customHeight="false" outlineLevel="0" collapsed="false">
      <c r="A4" s="1" t="s">
        <v>4</v>
      </c>
      <c r="B4" s="3" t="n">
        <v>2000000</v>
      </c>
    </row>
    <row r="5" customFormat="false" ht="15" hidden="false" customHeight="false" outlineLevel="0" collapsed="false">
      <c r="A5" s="1" t="s">
        <v>5</v>
      </c>
      <c r="B5" s="3" t="n">
        <v>1500000</v>
      </c>
    </row>
    <row r="6" customFormat="false" ht="15" hidden="false" customHeight="false" outlineLevel="0" collapsed="false">
      <c r="A6" s="1" t="s">
        <v>6</v>
      </c>
      <c r="B6" s="3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6"/>
  </cols>
  <sheetData>
    <row r="1" customFormat="false" ht="16.15" hidden="false" customHeight="false" outlineLevel="0" collapsed="false">
      <c r="A1" s="4" t="s">
        <v>7</v>
      </c>
    </row>
    <row r="3" customFormat="false" ht="15" hidden="false" customHeight="false" outlineLevel="0" collapsed="false">
      <c r="A3" s="5" t="s">
        <v>0</v>
      </c>
      <c r="B3" s="5" t="s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</row>
    <row r="4" customFormat="false" ht="15" hidden="false" customHeight="false" outlineLevel="0" collapsed="false">
      <c r="A4" s="1" t="s">
        <v>2</v>
      </c>
      <c r="B4" s="3" t="n">
        <f aca="false">'Cap Table'!B2</f>
        <v>4000000</v>
      </c>
      <c r="C4" s="6" t="n">
        <f aca="false">B4/$B$9</f>
        <v>0.363636363636364</v>
      </c>
      <c r="D4" s="7" t="n">
        <f aca="false">B4*100000000/$B$9</f>
        <v>36363636.3636364</v>
      </c>
      <c r="E4" s="7" t="n">
        <f aca="false">B4*250000000/$B$9</f>
        <v>90909090.9090909</v>
      </c>
      <c r="F4" s="7" t="n">
        <f aca="false">B4*500000000/$B$9</f>
        <v>181818181.818182</v>
      </c>
      <c r="G4" s="7" t="n">
        <f aca="false">B4*1000000000/$B$9</f>
        <v>363636363.636364</v>
      </c>
      <c r="H4" s="7" t="n">
        <f aca="false">B4*2000000000/$B$9</f>
        <v>727272727.272727</v>
      </c>
    </row>
    <row r="5" customFormat="false" ht="15" hidden="false" customHeight="false" outlineLevel="0" collapsed="false">
      <c r="A5" s="1" t="s">
        <v>3</v>
      </c>
      <c r="B5" s="3" t="n">
        <f aca="false">'Cap Table'!B3</f>
        <v>3000000</v>
      </c>
      <c r="C5" s="6" t="n">
        <f aca="false">B5/$B$9</f>
        <v>0.272727272727273</v>
      </c>
      <c r="D5" s="7" t="n">
        <f aca="false">B5*100000000/$B$9</f>
        <v>27272727.2727273</v>
      </c>
      <c r="E5" s="7" t="n">
        <f aca="false">B5*250000000/$B$9</f>
        <v>68181818.1818182</v>
      </c>
      <c r="F5" s="7" t="n">
        <f aca="false">B5*500000000/$B$9</f>
        <v>136363636.363636</v>
      </c>
      <c r="G5" s="7" t="n">
        <f aca="false">B5*1000000000/$B$9</f>
        <v>272727272.727273</v>
      </c>
      <c r="H5" s="7" t="n">
        <f aca="false">B5*2000000000/$B$9</f>
        <v>545454545.454546</v>
      </c>
    </row>
    <row r="6" customFormat="false" ht="15" hidden="false" customHeight="false" outlineLevel="0" collapsed="false">
      <c r="A6" s="1" t="s">
        <v>4</v>
      </c>
      <c r="B6" s="3" t="n">
        <f aca="false">'Cap Table'!B4</f>
        <v>2000000</v>
      </c>
      <c r="C6" s="6" t="n">
        <f aca="false">B6/$B$9</f>
        <v>0.181818181818182</v>
      </c>
      <c r="D6" s="7" t="n">
        <f aca="false">B6*100000000/$B$9</f>
        <v>18181818.1818182</v>
      </c>
      <c r="E6" s="7" t="n">
        <f aca="false">B6*250000000/$B$9</f>
        <v>45454545.4545455</v>
      </c>
      <c r="F6" s="7" t="n">
        <f aca="false">B6*500000000/$B$9</f>
        <v>90909090.9090909</v>
      </c>
      <c r="G6" s="7" t="n">
        <f aca="false">B6*1000000000/$B$9</f>
        <v>181818181.818182</v>
      </c>
      <c r="H6" s="7" t="n">
        <f aca="false">B6*2000000000/$B$9</f>
        <v>363636363.636364</v>
      </c>
    </row>
    <row r="7" customFormat="false" ht="15" hidden="false" customHeight="false" outlineLevel="0" collapsed="false">
      <c r="A7" s="1" t="s">
        <v>5</v>
      </c>
      <c r="B7" s="3" t="n">
        <f aca="false">'Cap Table'!B5</f>
        <v>1500000</v>
      </c>
      <c r="C7" s="6" t="n">
        <f aca="false">B7/$B$9</f>
        <v>0.136363636363636</v>
      </c>
      <c r="D7" s="7" t="n">
        <f aca="false">B7*100000000/$B$9</f>
        <v>13636363.6363636</v>
      </c>
      <c r="E7" s="7" t="n">
        <f aca="false">B7*250000000/$B$9</f>
        <v>34090909.0909091</v>
      </c>
      <c r="F7" s="7" t="n">
        <f aca="false">B7*500000000/$B$9</f>
        <v>68181818.1818182</v>
      </c>
      <c r="G7" s="7" t="n">
        <f aca="false">B7*1000000000/$B$9</f>
        <v>136363636.363636</v>
      </c>
      <c r="H7" s="7" t="n">
        <f aca="false">B7*2000000000/$B$9</f>
        <v>272727272.727273</v>
      </c>
    </row>
    <row r="8" customFormat="false" ht="15" hidden="false" customHeight="false" outlineLevel="0" collapsed="false">
      <c r="A8" s="1" t="s">
        <v>6</v>
      </c>
      <c r="B8" s="3" t="n">
        <f aca="false">'Cap Table'!B6</f>
        <v>500000</v>
      </c>
      <c r="C8" s="6" t="n">
        <f aca="false">B8/$B$9</f>
        <v>0.0454545454545455</v>
      </c>
      <c r="D8" s="7" t="n">
        <f aca="false">B8*100000000/$B$9</f>
        <v>4545454.54545455</v>
      </c>
      <c r="E8" s="7" t="n">
        <f aca="false">B8*250000000/$B$9</f>
        <v>11363636.3636364</v>
      </c>
      <c r="F8" s="7" t="n">
        <f aca="false">B8*500000000/$B$9</f>
        <v>22727272.7272727</v>
      </c>
      <c r="G8" s="7" t="n">
        <f aca="false">B8*1000000000/$B$9</f>
        <v>45454545.4545455</v>
      </c>
      <c r="H8" s="7" t="n">
        <f aca="false">B8*2000000000/$B$9</f>
        <v>90909090.9090909</v>
      </c>
    </row>
    <row r="9" customFormat="false" ht="15" hidden="false" customHeight="false" outlineLevel="0" collapsed="false">
      <c r="A9" s="8" t="s">
        <v>14</v>
      </c>
      <c r="B9" s="9" t="n">
        <f aca="false">SUM(B4:B8)</f>
        <v>11000000</v>
      </c>
      <c r="C9" s="10" t="n">
        <f aca="false">SUM(C4:C8)</f>
        <v>1</v>
      </c>
      <c r="D9" s="11" t="n">
        <f aca="false">SUM(D4:D8)</f>
        <v>100000000</v>
      </c>
      <c r="E9" s="11" t="n">
        <f aca="false">SUM(E4:E8)</f>
        <v>250000000</v>
      </c>
      <c r="F9" s="11" t="n">
        <f aca="false">SUM(F4:F8)</f>
        <v>500000000</v>
      </c>
      <c r="G9" s="11" t="n">
        <f aca="false">SUM(G4:G8)</f>
        <v>1000000000</v>
      </c>
      <c r="H9" s="11" t="n">
        <f aca="false">SUM(H4:H8)</f>
        <v>2000000000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2026-04-23T15:06:59Z</dcterms:created>
  <dc:creator>openpyxl</dc:creator>
  <dc:description/>
  <dc:language>en-US</dc:language>
  <cp:lastModifiedBy/>
  <dcterms:modified xsi:type="dcterms:W3CDTF">2026-04-23T15:06:59Z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