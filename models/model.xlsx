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 Cap Table" sheetId="1" state="visible" r:id="rId1"/>
    <sheet xmlns:r="http://schemas.openxmlformats.org/officeDocument/2006/relationships" name="SK Series A" sheetId="2" state="visible" r:id="rId2"/>
    <sheet xmlns:r="http://schemas.openxmlformats.org/officeDocument/2006/relationships" name="SK Series B" sheetId="3" state="visible" r:id="rId3"/>
  </sheets>
  <definedNames/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0.0%_);\(0.0%\);0.0%_);@_)"/>
    <numFmt numFmtId="168" formatCode="_-[$$-409]* #,##0.0000_-;_-[$$-409]* \(#,##0.0000\)_-;_-[$$-409]* &quot;-&quot;??;_-@_-"/>
    <numFmt numFmtId="169" formatCode="_-[$$-409]* #,##0_-;_-[$$-409]* \(#,##0\)_-;_-[$$-409]* &quot;-&quot;??;_-@_-"/>
    <numFmt numFmtId="170" formatCode="&quot;$&quot;#,##0_);\(&quot;$&quot;#,##0\)"/>
  </numFmts>
  <fonts count="17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Garamond"/>
      <b val="1"/>
      <sz val="12"/>
    </font>
    <font>
      <name val="Garamond"/>
      <b val="1"/>
      <sz val="10"/>
    </font>
    <font>
      <name val="Garamond"/>
      <sz val="9"/>
    </font>
    <font>
      <name val="Garamond"/>
      <b val="1"/>
      <sz val="10"/>
      <u val="single"/>
    </font>
    <font>
      <name val="Garamond"/>
      <sz val="10"/>
    </font>
    <font>
      <name val="Garamond"/>
      <color rgb="FF008000"/>
      <sz val="10"/>
    </font>
    <font>
      <name val="Garamond"/>
      <color rgb="FF0000FF"/>
      <sz val="10"/>
    </font>
    <font>
      <name val="Garamond"/>
      <b val="1"/>
      <color rgb="00000000"/>
      <sz val="12"/>
    </font>
    <font>
      <name val="Garamond"/>
      <b val="1"/>
      <color rgb="00000000"/>
      <sz val="10"/>
    </font>
    <font>
      <name val="Garamond"/>
      <b val="1"/>
      <color rgb="00000000"/>
      <sz val="10"/>
      <u val="single"/>
    </font>
    <font>
      <name val="Garamond"/>
      <color rgb="00008000"/>
      <sz val="10"/>
    </font>
    <font>
      <name val="Garamond"/>
      <b val="1"/>
      <color rgb="00008000"/>
      <sz val="10"/>
    </font>
    <font>
      <name val="Garamond"/>
      <color rgb="00000000"/>
      <sz val="10"/>
    </font>
    <font>
      <name val="Garamond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 style="medium"/>
      <top style="medium"/>
      <bottom/>
    </border>
    <border>
      <left style="medium"/>
      <right style="medium"/>
      <top/>
      <bottom/>
    </border>
    <border>
      <left style="medium"/>
      <right style="medium"/>
      <top/>
      <bottom style="medium"/>
    </border>
    <border>
      <top style="thin"/>
    </border>
    <border>
      <top style="thin"/>
      <bottom style="thin"/>
    </border>
    <border>
      <left style="medium"/>
      <right style="medium"/>
      <top style="medium"/>
      <bottom style="medium"/>
    </border>
    <border>
      <bottom style="medium"/>
    </border>
    <border>
      <left style="medium"/>
      <top style="thin"/>
    </border>
    <border>
      <left style="medium"/>
      <right style="medium"/>
      <top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0" borderId="1" pivotButton="0" quotePrefix="0" xfId="0"/>
    <xf numFmtId="10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right"/>
    </xf>
    <xf numFmtId="1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Continuous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4" pivotButton="0" quotePrefix="0" xfId="0"/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6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37" fontId="8" fillId="0" borderId="0" applyAlignment="1" pivotButton="0" quotePrefix="0" xfId="0">
      <alignment horizontal="center"/>
    </xf>
    <xf numFmtId="37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center"/>
    </xf>
    <xf numFmtId="0" fontId="0" fillId="0" borderId="14" pivotButton="0" quotePrefix="0" xfId="0"/>
    <xf numFmtId="0" fontId="4" fillId="0" borderId="18" applyAlignment="1" pivotButton="0" quotePrefix="0" xfId="0">
      <alignment horizontal="left"/>
    </xf>
    <xf numFmtId="37" fontId="4" fillId="0" borderId="14" applyAlignment="1" pivotButton="0" quotePrefix="0" xfId="0">
      <alignment horizontal="right"/>
    </xf>
    <xf numFmtId="166" fontId="4" fillId="0" borderId="14" applyAlignment="1" pivotButton="0" quotePrefix="0" xfId="0">
      <alignment horizontal="center"/>
    </xf>
    <xf numFmtId="0" fontId="0" fillId="0" borderId="5" pivotButton="0" quotePrefix="0" xfId="0"/>
    <xf numFmtId="165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5" fontId="9" fillId="0" borderId="0" applyAlignment="1" pivotButton="0" quotePrefix="0" xfId="0">
      <alignment horizontal="center"/>
    </xf>
    <xf numFmtId="0" fontId="0" fillId="0" borderId="15" pivotButton="0" quotePrefix="0" xfId="0"/>
    <xf numFmtId="0" fontId="4" fillId="0" borderId="15" applyAlignment="1" pivotButton="0" quotePrefix="0" xfId="0">
      <alignment horizontal="left"/>
    </xf>
    <xf numFmtId="37" fontId="4" fillId="0" borderId="15" applyAlignment="1" pivotButton="0" quotePrefix="0" xfId="0">
      <alignment horizontal="right"/>
    </xf>
    <xf numFmtId="165" fontId="4" fillId="0" borderId="15" applyAlignment="1" pivotButton="0" quotePrefix="0" xfId="0">
      <alignment horizontal="right"/>
    </xf>
    <xf numFmtId="166" fontId="4" fillId="0" borderId="15" applyAlignment="1" pivotButton="0" quotePrefix="0" xfId="0">
      <alignment horizontal="center"/>
    </xf>
    <xf numFmtId="168" fontId="8" fillId="0" borderId="16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0" fillId="0" borderId="17" pivotButton="0" quotePrefix="0" xfId="0"/>
    <xf numFmtId="0" fontId="7" fillId="0" borderId="17" applyAlignment="1" pivotButton="0" quotePrefix="0" xfId="0">
      <alignment horizontal="left"/>
    </xf>
    <xf numFmtId="169" fontId="7" fillId="0" borderId="17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5" fontId="9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0" fontId="15" fillId="0" borderId="0" pivotButton="0" quotePrefix="0" xfId="0"/>
    <xf numFmtId="0" fontId="10" fillId="0" borderId="0" applyAlignment="1" pivotButton="0" quotePrefix="0" xfId="0">
      <alignment horizontal="centerContinuous"/>
    </xf>
    <xf numFmtId="0" fontId="15" fillId="0" borderId="0" applyAlignment="1" pivotButton="0" quotePrefix="0" xfId="0">
      <alignment horizontal="centerContinuous"/>
    </xf>
    <xf numFmtId="0" fontId="11" fillId="0" borderId="19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5" fillId="0" borderId="23" pivotButton="0" quotePrefix="0" xfId="0"/>
    <xf numFmtId="0" fontId="15" fillId="0" borderId="19" pivotButton="0" quotePrefix="0" xfId="0"/>
    <xf numFmtId="0" fontId="11" fillId="0" borderId="20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37" fontId="13" fillId="0" borderId="0" pivotButton="0" quotePrefix="0" xfId="0"/>
    <xf numFmtId="170" fontId="13" fillId="0" borderId="0" pivotButton="0" quotePrefix="0" xfId="0"/>
    <xf numFmtId="167" fontId="13" fillId="0" borderId="0" pivotButton="0" quotePrefix="0" xfId="0"/>
    <xf numFmtId="0" fontId="14" fillId="0" borderId="0" pivotButton="0" quotePrefix="0" xfId="0"/>
    <xf numFmtId="37" fontId="14" fillId="0" borderId="14" pivotButton="0" quotePrefix="0" xfId="0"/>
    <xf numFmtId="170" fontId="14" fillId="0" borderId="14" pivotButton="0" quotePrefix="0" xfId="0"/>
    <xf numFmtId="167" fontId="14" fillId="0" borderId="14" pivotButton="0" quotePrefix="0" xfId="0"/>
    <xf numFmtId="170" fontId="16" fillId="0" borderId="0" pivotButton="0" quotePrefix="0" xfId="0"/>
    <xf numFmtId="0" fontId="11" fillId="0" borderId="0" pivotButton="0" quotePrefix="0" xfId="0"/>
    <xf numFmtId="37" fontId="14" fillId="0" borderId="15" pivotButton="0" quotePrefix="0" xfId="0"/>
    <xf numFmtId="170" fontId="14" fillId="0" borderId="15" pivotButton="0" quotePrefix="0" xfId="0"/>
    <xf numFmtId="167" fontId="14" fillId="0" borderId="15" pivotButton="0" quotePrefix="0" xfId="0"/>
    <xf numFmtId="168" fontId="13" fillId="0" borderId="16" pivotButton="0" quotePrefix="0" xfId="0"/>
    <xf numFmtId="0" fontId="15" fillId="0" borderId="17" pivotButton="0" quotePrefix="0" xfId="0"/>
    <xf numFmtId="170" fontId="13" fillId="0" borderId="17" pivotButton="0" quotePrefix="0" xfId="0"/>
    <xf numFmtId="166" fontId="13" fillId="0" borderId="0" pivotButton="0" quotePrefix="0" xfId="0"/>
    <xf numFmtId="166" fontId="16" fillId="0" borderId="0" pivotButton="0" quotePrefix="0" xfId="0"/>
    <xf numFmtId="37" fontId="1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6.33" customWidth="1" min="1" max="1"/>
    <col width="15.5" customWidth="1" min="2" max="2"/>
    <col width="19.83" customWidth="1" min="3" max="3"/>
    <col width="14.5" customWidth="1" min="4" max="4"/>
    <col width="11.66" customWidth="1" min="5" max="5"/>
    <col width="18.16" customWidth="1" min="6" max="6"/>
    <col width="17.5" customWidth="1" min="7" max="7"/>
    <col width="15.66" customWidth="1" min="8" max="8"/>
  </cols>
  <sheetData>
    <row r="1">
      <c r="A1" s="1" t="inlineStr">
        <is>
          <t>Shareholder</t>
        </is>
      </c>
      <c r="B1" s="1" t="inlineStr">
        <is>
          <t>Common Stock</t>
        </is>
      </c>
      <c r="C1" s="1" t="inlineStr">
        <is>
          <t>SAFE Amount</t>
        </is>
      </c>
      <c r="D1" s="1" t="inlineStr">
        <is>
          <t>Total Issued</t>
        </is>
      </c>
      <c r="E1" s="1" t="inlineStr">
        <is>
          <t>% Issued</t>
        </is>
      </c>
      <c r="F1" s="1" t="inlineStr">
        <is>
          <t>Options</t>
        </is>
      </c>
      <c r="G1" s="1" t="inlineStr">
        <is>
          <t>Total FDB</t>
        </is>
      </c>
      <c r="H1" s="1" t="inlineStr">
        <is>
          <t>% FDB</t>
        </is>
      </c>
    </row>
    <row r="2">
      <c r="A2" s="2" t="inlineStr">
        <is>
          <t>Brian Hazzard</t>
        </is>
      </c>
      <c r="B2" s="3" t="n">
        <v>3600000</v>
      </c>
      <c r="C2" s="4" t="n"/>
      <c r="D2" s="3">
        <f>B2</f>
        <v/>
      </c>
      <c r="E2" s="5">
        <f>D2/$D$37</f>
        <v/>
      </c>
      <c r="F2" s="4" t="n"/>
      <c r="G2" s="3">
        <f>D2+F2</f>
        <v/>
      </c>
      <c r="H2" s="5">
        <f>G2/$G$37</f>
        <v/>
      </c>
    </row>
    <row r="3">
      <c r="A3" s="2" t="inlineStr">
        <is>
          <t>David Wolpoff</t>
        </is>
      </c>
      <c r="B3" s="3" t="n">
        <v>3600000</v>
      </c>
      <c r="C3" s="4" t="n"/>
      <c r="D3" s="3">
        <f>B3</f>
        <v/>
      </c>
      <c r="E3" s="5">
        <f>D3/$D$37</f>
        <v/>
      </c>
      <c r="F3" s="4" t="n"/>
      <c r="G3" s="3">
        <f>D3+F3</f>
        <v/>
      </c>
      <c r="H3" s="5">
        <f>G3/$G$37</f>
        <v/>
      </c>
    </row>
    <row r="4">
      <c r="A4" s="2" t="inlineStr">
        <is>
          <t>Ian Lee</t>
        </is>
      </c>
      <c r="B4" s="3" t="n">
        <v>222187</v>
      </c>
      <c r="C4" s="4" t="n"/>
      <c r="D4" s="3">
        <f>B4</f>
        <v/>
      </c>
      <c r="E4" s="5">
        <f>D4/$D$37</f>
        <v/>
      </c>
      <c r="F4" s="4" t="n"/>
      <c r="G4" s="3">
        <f>D4+F4</f>
        <v/>
      </c>
      <c r="H4" s="5">
        <f>G4/$G$37</f>
        <v/>
      </c>
    </row>
    <row r="5">
      <c r="A5" s="2" t="inlineStr">
        <is>
          <t>Kyle Haugsness</t>
        </is>
      </c>
      <c r="B5" s="3" t="n">
        <v>592500</v>
      </c>
      <c r="C5" s="4" t="n"/>
      <c r="D5" s="3">
        <f>B5</f>
        <v/>
      </c>
      <c r="E5" s="5">
        <f>D5/$D$37</f>
        <v/>
      </c>
      <c r="F5" s="4" t="n"/>
      <c r="G5" s="3">
        <f>D5+F5</f>
        <v/>
      </c>
      <c r="H5" s="5">
        <f>G5/$G$37</f>
        <v/>
      </c>
    </row>
    <row r="6">
      <c r="A6" s="2" t="inlineStr">
        <is>
          <t>Paul Riegle</t>
        </is>
      </c>
      <c r="B6" s="3" t="n">
        <v>592500</v>
      </c>
      <c r="C6" s="4" t="n"/>
      <c r="D6" s="3">
        <f>B6</f>
        <v/>
      </c>
      <c r="E6" s="5">
        <f>D6/$D$37</f>
        <v/>
      </c>
      <c r="F6" s="4" t="n"/>
      <c r="G6" s="3">
        <f>D6+F6</f>
        <v/>
      </c>
      <c r="H6" s="5">
        <f>G6/$G$37</f>
        <v/>
      </c>
    </row>
    <row r="7">
      <c r="A7" s="2" t="inlineStr">
        <is>
          <t>Chris Butts</t>
        </is>
      </c>
      <c r="B7" s="3" t="n">
        <v>112400</v>
      </c>
      <c r="C7" s="6" t="n">
        <v>25000</v>
      </c>
      <c r="D7" s="3">
        <f>B7</f>
        <v/>
      </c>
      <c r="E7" s="5">
        <f>D7/$D$37</f>
        <v/>
      </c>
      <c r="F7" s="4" t="n"/>
      <c r="G7" s="3">
        <f>D7+F7</f>
        <v/>
      </c>
      <c r="H7" s="5">
        <f>G7/$G$37</f>
        <v/>
      </c>
    </row>
    <row r="8">
      <c r="A8" s="2" t="inlineStr">
        <is>
          <t>Maurice Granfield</t>
        </is>
      </c>
      <c r="B8" s="3" t="n">
        <v>9000</v>
      </c>
      <c r="C8" s="6" t="n">
        <v>25000</v>
      </c>
      <c r="D8" s="3">
        <f>B8</f>
        <v/>
      </c>
      <c r="E8" s="5">
        <f>D8/$D$37</f>
        <v/>
      </c>
      <c r="F8" s="4" t="n"/>
      <c r="G8" s="3">
        <f>D8+F8</f>
        <v/>
      </c>
      <c r="H8" s="5">
        <f>G8/$G$37</f>
        <v/>
      </c>
    </row>
    <row r="9">
      <c r="A9" s="2" t="inlineStr">
        <is>
          <t>Pawan Lakshmanan</t>
        </is>
      </c>
      <c r="B9" s="3" t="n">
        <v>95000</v>
      </c>
      <c r="C9" s="4" t="n"/>
      <c r="D9" s="3">
        <f>B9</f>
        <v/>
      </c>
      <c r="E9" s="5">
        <f>D9/$D$37</f>
        <v/>
      </c>
      <c r="F9" s="4" t="n"/>
      <c r="G9" s="3">
        <f>D9+F9</f>
        <v/>
      </c>
      <c r="H9" s="5">
        <f>G9/$G$37</f>
        <v/>
      </c>
    </row>
    <row r="10">
      <c r="A10" s="2" t="inlineStr">
        <is>
          <t>Eric McIntyre</t>
        </is>
      </c>
      <c r="B10" s="3" t="n">
        <v>285000</v>
      </c>
      <c r="C10" s="4" t="n"/>
      <c r="D10" s="3">
        <f>B10</f>
        <v/>
      </c>
      <c r="E10" s="5">
        <f>D10/$D$37</f>
        <v/>
      </c>
      <c r="F10" s="4" t="n"/>
      <c r="G10" s="3">
        <f>D10+F10</f>
        <v/>
      </c>
      <c r="H10" s="5">
        <f>G10/$G$37</f>
        <v/>
      </c>
    </row>
    <row r="11">
      <c r="A11" s="2" t="inlineStr">
        <is>
          <t>Patrick Heath</t>
        </is>
      </c>
      <c r="B11" s="3" t="n">
        <v>50000</v>
      </c>
      <c r="C11" s="4" t="n"/>
      <c r="D11" s="3">
        <f>B11</f>
        <v/>
      </c>
      <c r="E11" s="5">
        <f>D11/$D$37</f>
        <v/>
      </c>
      <c r="F11" s="4" t="n"/>
      <c r="G11" s="3">
        <f>D11+F11</f>
        <v/>
      </c>
      <c r="H11" s="5">
        <f>G11/$G$37</f>
        <v/>
      </c>
    </row>
    <row r="12">
      <c r="A12" s="2" t="inlineStr">
        <is>
          <t>Chris Lord</t>
        </is>
      </c>
      <c r="B12" s="3" t="n">
        <v>285000</v>
      </c>
      <c r="C12" s="4" t="n"/>
      <c r="D12" s="3">
        <f>B12</f>
        <v/>
      </c>
      <c r="E12" s="5">
        <f>D12/$D$37</f>
        <v/>
      </c>
      <c r="F12" s="4" t="n"/>
      <c r="G12" s="3">
        <f>D12+F12</f>
        <v/>
      </c>
      <c r="H12" s="5">
        <f>G12/$G$37</f>
        <v/>
      </c>
    </row>
    <row r="13">
      <c r="A13" s="2" t="inlineStr">
        <is>
          <t>Bradly Matheson</t>
        </is>
      </c>
      <c r="B13" s="3" t="n">
        <v>12395</v>
      </c>
      <c r="C13" s="4" t="n"/>
      <c r="D13" s="3">
        <f>B13</f>
        <v/>
      </c>
      <c r="E13" s="5">
        <f>D13/$D$37</f>
        <v/>
      </c>
      <c r="F13" s="4" t="n"/>
      <c r="G13" s="3">
        <f>D13+F13</f>
        <v/>
      </c>
      <c r="H13" s="5">
        <f>G13/$G$37</f>
        <v/>
      </c>
    </row>
    <row r="14">
      <c r="A14" s="2" t="inlineStr">
        <is>
          <t>Cole  Proctor</t>
        </is>
      </c>
      <c r="B14" s="3" t="n">
        <v>8333</v>
      </c>
      <c r="C14" s="4" t="n"/>
      <c r="D14" s="3">
        <f>B14</f>
        <v/>
      </c>
      <c r="E14" s="5">
        <f>D14/$D$37</f>
        <v/>
      </c>
      <c r="F14" s="4" t="n"/>
      <c r="G14" s="3">
        <f>D14+F14</f>
        <v/>
      </c>
      <c r="H14" s="5">
        <f>G14/$G$37</f>
        <v/>
      </c>
    </row>
    <row r="15">
      <c r="A15" s="2" t="inlineStr">
        <is>
          <t>Accomplice Founder Fund, L.P.</t>
        </is>
      </c>
      <c r="B15" s="4" t="n"/>
      <c r="C15" s="6" t="n">
        <v>137170.75</v>
      </c>
      <c r="D15" s="3">
        <f>B15</f>
        <v/>
      </c>
      <c r="E15" s="5">
        <f>D15/$D$37</f>
        <v/>
      </c>
      <c r="F15" s="4" t="n"/>
      <c r="G15" s="3">
        <f>D15+F15</f>
        <v/>
      </c>
      <c r="H15" s="5">
        <f>G15/$G$37</f>
        <v/>
      </c>
    </row>
    <row r="16">
      <c r="A16" s="2" t="inlineStr">
        <is>
          <t>Accomplice Fund IV, L.P</t>
        </is>
      </c>
      <c r="B16" s="4" t="n"/>
      <c r="C16" s="6" t="n">
        <v>3846829.25</v>
      </c>
      <c r="D16" s="3">
        <f>B16</f>
        <v/>
      </c>
      <c r="E16" s="5">
        <f>D16/$D$37</f>
        <v/>
      </c>
      <c r="F16" s="4" t="n"/>
      <c r="G16" s="3">
        <f>D16+F16</f>
        <v/>
      </c>
      <c r="H16" s="5">
        <f>G16/$G$37</f>
        <v/>
      </c>
    </row>
    <row r="17">
      <c r="A17" s="2" t="inlineStr">
        <is>
          <t>Amir Bagherzadeh</t>
        </is>
      </c>
      <c r="B17" s="4" t="n"/>
      <c r="C17" s="6" t="n">
        <v>16566</v>
      </c>
      <c r="D17" s="3">
        <f>B17</f>
        <v/>
      </c>
      <c r="E17" s="5">
        <f>D17/$D$37</f>
        <v/>
      </c>
      <c r="F17" s="4" t="n"/>
      <c r="G17" s="3">
        <f>D17+F17</f>
        <v/>
      </c>
      <c r="H17" s="5">
        <f>G17/$G$37</f>
        <v/>
      </c>
    </row>
    <row r="18">
      <c r="A18" s="2" t="inlineStr">
        <is>
          <t>Elizabeth A. Donaghey Irrevocable Trust 2016</t>
        </is>
      </c>
      <c r="B18" s="4" t="n"/>
      <c r="C18" s="6" t="n">
        <v>250000</v>
      </c>
      <c r="D18" s="3">
        <f>B18</f>
        <v/>
      </c>
      <c r="E18" s="5">
        <f>D18/$D$37</f>
        <v/>
      </c>
      <c r="F18" s="4" t="n"/>
      <c r="G18" s="3">
        <f>D18+F18</f>
        <v/>
      </c>
      <c r="H18" s="5">
        <f>G18/$G$37</f>
        <v/>
      </c>
    </row>
    <row r="19">
      <c r="A19" s="2" t="inlineStr">
        <is>
          <t>Gunderson Partners</t>
        </is>
      </c>
      <c r="B19" s="4" t="n"/>
      <c r="C19" s="6" t="n">
        <v>100000</v>
      </c>
      <c r="D19" s="3">
        <f>B19</f>
        <v/>
      </c>
      <c r="E19" s="5">
        <f>D19/$D$37</f>
        <v/>
      </c>
      <c r="F19" s="4" t="n"/>
      <c r="G19" s="3">
        <f>D19+F19</f>
        <v/>
      </c>
      <c r="H19" s="5">
        <f>G19/$G$37</f>
        <v/>
      </c>
    </row>
    <row r="20">
      <c r="A20" s="2" t="inlineStr">
        <is>
          <t>Joe Arcadi</t>
        </is>
      </c>
      <c r="B20" s="4" t="n"/>
      <c r="C20" s="6" t="n">
        <v>300000</v>
      </c>
      <c r="D20" s="3">
        <f>B20</f>
        <v/>
      </c>
      <c r="E20" s="5">
        <f>D20/$D$37</f>
        <v/>
      </c>
      <c r="F20" s="4" t="n"/>
      <c r="G20" s="3">
        <f>D20+F20</f>
        <v/>
      </c>
      <c r="H20" s="5">
        <f>G20/$G$37</f>
        <v/>
      </c>
    </row>
    <row r="21">
      <c r="A21" s="2" t="inlineStr">
        <is>
          <t>Kamal Ravikant Capital, LP - E4</t>
        </is>
      </c>
      <c r="B21" s="4" t="n"/>
      <c r="C21" s="6" t="n">
        <v>37500</v>
      </c>
      <c r="D21" s="3">
        <f>B21</f>
        <v/>
      </c>
      <c r="E21" s="5">
        <f>D21/$D$37</f>
        <v/>
      </c>
      <c r="F21" s="4" t="n"/>
      <c r="G21" s="3">
        <f>D21+F21</f>
        <v/>
      </c>
      <c r="H21" s="5">
        <f>G21/$G$37</f>
        <v/>
      </c>
    </row>
    <row r="22">
      <c r="A22" s="2" t="inlineStr">
        <is>
          <t>Maria Cirino</t>
        </is>
      </c>
      <c r="B22" s="4" t="n"/>
      <c r="C22" s="6" t="n">
        <v>250000</v>
      </c>
      <c r="D22" s="3">
        <f>B22</f>
        <v/>
      </c>
      <c r="E22" s="5">
        <f>D22/$D$37</f>
        <v/>
      </c>
      <c r="F22" s="4" t="n"/>
      <c r="G22" s="3">
        <f>D22+F22</f>
        <v/>
      </c>
      <c r="H22" s="5">
        <f>G22/$G$37</f>
        <v/>
      </c>
    </row>
    <row r="23">
      <c r="A23" s="2" t="inlineStr">
        <is>
          <t>Mike Viscuso</t>
        </is>
      </c>
      <c r="B23" s="4" t="n"/>
      <c r="C23" s="6" t="n">
        <v>100000</v>
      </c>
      <c r="D23" s="3">
        <f>B23</f>
        <v/>
      </c>
      <c r="E23" s="5">
        <f>D23/$D$37</f>
        <v/>
      </c>
      <c r="F23" s="4" t="n"/>
      <c r="G23" s="3">
        <f>D23+F23</f>
        <v/>
      </c>
      <c r="H23" s="5">
        <f>G23/$G$37</f>
        <v/>
      </c>
    </row>
    <row r="24">
      <c r="A24" s="2" t="inlineStr">
        <is>
          <t>Mozart Holdings, LLC</t>
        </is>
      </c>
      <c r="B24" s="4" t="n"/>
      <c r="C24" s="6" t="n">
        <v>41164</v>
      </c>
      <c r="D24" s="3">
        <f>B24</f>
        <v/>
      </c>
      <c r="E24" s="5">
        <f>D24/$D$37</f>
        <v/>
      </c>
      <c r="F24" s="4" t="n"/>
      <c r="G24" s="3">
        <f>D24+F24</f>
        <v/>
      </c>
      <c r="H24" s="5">
        <f>G24/$G$37</f>
        <v/>
      </c>
    </row>
    <row r="25">
      <c r="A25" s="2" t="inlineStr">
        <is>
          <t>Orcinus Generational Irrevocable Trust - 2024</t>
        </is>
      </c>
      <c r="B25" s="4" t="n"/>
      <c r="C25" s="6" t="n">
        <v>2328778</v>
      </c>
      <c r="D25" s="3">
        <f>B25</f>
        <v/>
      </c>
      <c r="E25" s="5">
        <f>D25/$D$37</f>
        <v/>
      </c>
      <c r="F25" s="4" t="n"/>
      <c r="G25" s="3">
        <f>D25+F25</f>
        <v/>
      </c>
      <c r="H25" s="5">
        <f>G25/$G$37</f>
        <v/>
      </c>
    </row>
    <row r="26">
      <c r="A26" s="2" t="inlineStr">
        <is>
          <t>Owl Rock Capital III, LLC</t>
        </is>
      </c>
      <c r="B26" s="4" t="n"/>
      <c r="C26" s="6" t="n">
        <v>1506000</v>
      </c>
      <c r="D26" s="3">
        <f>B26</f>
        <v/>
      </c>
      <c r="E26" s="5">
        <f>D26/$D$37</f>
        <v/>
      </c>
      <c r="F26" s="4" t="n"/>
      <c r="G26" s="3">
        <f>D26+F26</f>
        <v/>
      </c>
      <c r="H26" s="5">
        <f>G26/$G$37</f>
        <v/>
      </c>
    </row>
    <row r="27">
      <c r="A27" s="2" t="inlineStr">
        <is>
          <t>Ralph Folz</t>
        </is>
      </c>
      <c r="B27" s="4" t="n"/>
      <c r="C27" s="6" t="n">
        <v>50000</v>
      </c>
      <c r="D27" s="3">
        <f>B27</f>
        <v/>
      </c>
      <c r="E27" s="5">
        <f>D27/$D$37</f>
        <v/>
      </c>
      <c r="F27" s="4" t="n"/>
      <c r="G27" s="3">
        <f>D27+F27</f>
        <v/>
      </c>
      <c r="H27" s="5">
        <f>G27/$G$37</f>
        <v/>
      </c>
    </row>
    <row r="28">
      <c r="A28" s="2" t="inlineStr">
        <is>
          <t>Ravikant Capital, LP - F3</t>
        </is>
      </c>
      <c r="B28" s="4" t="n"/>
      <c r="C28" s="6" t="n">
        <v>212500</v>
      </c>
      <c r="D28" s="3">
        <f>B28</f>
        <v/>
      </c>
      <c r="E28" s="5">
        <f>D28/$D$37</f>
        <v/>
      </c>
      <c r="F28" s="4" t="n"/>
      <c r="G28" s="3">
        <f>D28+F28</f>
        <v/>
      </c>
      <c r="H28" s="5">
        <f>G28/$G$37</f>
        <v/>
      </c>
    </row>
    <row r="29">
      <c r="A29" s="2" t="inlineStr">
        <is>
          <t>Sean Leach</t>
        </is>
      </c>
      <c r="B29" s="4" t="n"/>
      <c r="C29" s="6" t="n">
        <v>25000</v>
      </c>
      <c r="D29" s="3">
        <f>B29</f>
        <v/>
      </c>
      <c r="E29" s="5">
        <f>D29/$D$37</f>
        <v/>
      </c>
      <c r="F29" s="4" t="n"/>
      <c r="G29" s="3">
        <f>D29+F29</f>
        <v/>
      </c>
      <c r="H29" s="5">
        <f>G29/$G$37</f>
        <v/>
      </c>
    </row>
    <row r="30">
      <c r="A30" s="2" t="inlineStr">
        <is>
          <t>The Francis V. Castellucci Trust - 2020</t>
        </is>
      </c>
      <c r="B30" s="4" t="n"/>
      <c r="C30" s="6" t="n">
        <v>61746</v>
      </c>
      <c r="D30" s="3">
        <f>B30</f>
        <v/>
      </c>
      <c r="E30" s="5">
        <f>D30/$D$37</f>
        <v/>
      </c>
      <c r="F30" s="4" t="n"/>
      <c r="G30" s="3">
        <f>D30+F30</f>
        <v/>
      </c>
      <c r="H30" s="5">
        <f>G30/$G$37</f>
        <v/>
      </c>
    </row>
    <row r="31">
      <c r="A31" s="2" t="inlineStr">
        <is>
          <t>The Patrick M. Morley 1999 Trust,</t>
        </is>
      </c>
      <c r="B31" s="4" t="n"/>
      <c r="C31" s="6" t="n">
        <v>100000</v>
      </c>
      <c r="D31" s="3">
        <f>B31</f>
        <v/>
      </c>
      <c r="E31" s="5">
        <f>D31/$D$37</f>
        <v/>
      </c>
      <c r="F31" s="4" t="n"/>
      <c r="G31" s="3">
        <f>D31+F31</f>
        <v/>
      </c>
      <c r="H31" s="5">
        <f>G31/$G$37</f>
        <v/>
      </c>
    </row>
    <row r="32">
      <c r="A32" s="2" t="inlineStr">
        <is>
          <t>Tom Barsi</t>
        </is>
      </c>
      <c r="B32" s="4" t="n"/>
      <c r="C32" s="6" t="n">
        <v>100000</v>
      </c>
      <c r="D32" s="3">
        <f>B32</f>
        <v/>
      </c>
      <c r="E32" s="5">
        <f>D32/$D$37</f>
        <v/>
      </c>
      <c r="F32" s="4" t="n"/>
      <c r="G32" s="3">
        <f>D32+F32</f>
        <v/>
      </c>
      <c r="H32" s="5">
        <f>G32/$G$37</f>
        <v/>
      </c>
    </row>
    <row r="33">
      <c r="A33" s="2" t="inlineStr">
        <is>
          <t>Travis MacInnes</t>
        </is>
      </c>
      <c r="B33" s="4" t="n"/>
      <c r="C33" s="6" t="n">
        <v>61746</v>
      </c>
      <c r="D33" s="3">
        <f>B33</f>
        <v/>
      </c>
      <c r="E33" s="5">
        <f>D33/$D$37</f>
        <v/>
      </c>
      <c r="F33" s="4" t="n"/>
      <c r="G33" s="3">
        <f>D33+F33</f>
        <v/>
      </c>
      <c r="H33" s="5">
        <f>G33/$G$37</f>
        <v/>
      </c>
    </row>
    <row r="34">
      <c r="A34" s="2" t="inlineStr">
        <is>
          <t>UWS West End Family Trust</t>
        </is>
      </c>
      <c r="B34" s="4" t="n"/>
      <c r="C34" s="6" t="n">
        <v>250000</v>
      </c>
      <c r="D34" s="3">
        <f>B34</f>
        <v/>
      </c>
      <c r="E34" s="5">
        <f>D34/$D$37</f>
        <v/>
      </c>
      <c r="F34" s="4" t="n"/>
      <c r="G34" s="3">
        <f>D34+F34</f>
        <v/>
      </c>
      <c r="H34" s="5">
        <f>G34/$G$37</f>
        <v/>
      </c>
    </row>
    <row r="35">
      <c r="A35" s="7" t="inlineStr">
        <is>
          <t>Allocated/Promised ESOP</t>
        </is>
      </c>
      <c r="B35" s="4" t="n"/>
      <c r="C35" s="4" t="n"/>
      <c r="D35" s="3">
        <f>B35+C35</f>
        <v/>
      </c>
      <c r="E35" s="5">
        <f>D35/$D$37</f>
        <v/>
      </c>
      <c r="F35" s="3">
        <f>B42</f>
        <v/>
      </c>
      <c r="G35" s="3">
        <f>D35+F35</f>
        <v/>
      </c>
      <c r="H35" s="5">
        <f>G35/$G$37</f>
        <v/>
      </c>
    </row>
    <row r="36">
      <c r="A36" s="7" t="inlineStr">
        <is>
          <t>Unallocated ESOP</t>
        </is>
      </c>
      <c r="B36" s="4" t="n"/>
      <c r="C36" s="4" t="n"/>
      <c r="D36" s="3">
        <f>B36+C36</f>
        <v/>
      </c>
      <c r="E36" s="5">
        <f>D36/$D$37</f>
        <v/>
      </c>
      <c r="F36" s="3">
        <f>B41</f>
        <v/>
      </c>
      <c r="G36" s="3">
        <f>D36+F36</f>
        <v/>
      </c>
      <c r="H36" s="5">
        <f>G36/$G$37</f>
        <v/>
      </c>
    </row>
    <row r="37">
      <c r="A37" s="8" t="inlineStr">
        <is>
          <t>Total:</t>
        </is>
      </c>
      <c r="B37" s="9">
        <f>SUM(B2:B36)</f>
        <v/>
      </c>
      <c r="C37" s="9">
        <f>SUM(C2:C36)</f>
        <v/>
      </c>
      <c r="D37" s="9">
        <f>SUM(D2:D36)</f>
        <v/>
      </c>
      <c r="E37" s="10">
        <f>SUM(E2:E36)</f>
        <v/>
      </c>
      <c r="F37" s="9">
        <f>SUM(F2:F36)</f>
        <v/>
      </c>
      <c r="G37" s="9">
        <f>SUM(G2:G36)</f>
        <v/>
      </c>
      <c r="H37" s="10">
        <f>SUM(H2:H36)</f>
        <v/>
      </c>
    </row>
    <row r="39">
      <c r="A39" s="11" t="inlineStr">
        <is>
          <t>ESOP</t>
        </is>
      </c>
    </row>
    <row r="40">
      <c r="A40" s="12" t="inlineStr">
        <is>
          <t>Total Pool:</t>
        </is>
      </c>
      <c r="B40" s="13" t="n">
        <v>275948</v>
      </c>
    </row>
    <row r="41">
      <c r="A41" s="12" t="inlineStr">
        <is>
          <t xml:space="preserve">Unallocated: </t>
        </is>
      </c>
      <c r="B41" s="13">
        <f>B40-B42</f>
        <v/>
      </c>
    </row>
    <row r="42">
      <c r="A42" s="12" t="inlineStr">
        <is>
          <t xml:space="preserve">Allocated: </t>
        </is>
      </c>
      <c r="B42" s="13" t="n">
        <v>210843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.5" customWidth="1" min="2" max="2"/>
    <col width="11.5" customWidth="1" min="3" max="3"/>
    <col width="14.16" customWidth="1" min="4" max="4"/>
    <col width="13.5" customWidth="1" min="5" max="5"/>
    <col width="0.5" customWidth="1" min="6" max="6"/>
    <col width="11" customWidth="1" min="7" max="7"/>
    <col width="0.5" customWidth="1" min="8" max="8"/>
    <col width="14.16" customWidth="1" min="9" max="9"/>
    <col width="13.5" customWidth="1" min="10" max="10"/>
    <col width="0.5" customWidth="1" min="11" max="11"/>
    <col width="11" customWidth="1" min="12" max="12"/>
    <col width="0.5" customWidth="1" min="13" max="13"/>
    <col width="11.5" customWidth="1" min="14" max="14"/>
    <col width="7.5" customWidth="1" min="15" max="15"/>
    <col width="6.5" customWidth="1" min="16" max="16"/>
    <col width="11.5" customWidth="1" min="17" max="17"/>
  </cols>
  <sheetData>
    <row r="2" ht="16" customHeight="1">
      <c r="B2" s="14" t="inlineStr">
        <is>
          <t>SIDEKICK &amp; TEN ELEVEN SERIES A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</row>
    <row r="3" ht="17" customHeight="1"/>
    <row r="4">
      <c r="C4" s="15" t="inlineStr">
        <is>
          <t>Common</t>
        </is>
      </c>
      <c r="D4" s="16" t="inlineStr">
        <is>
          <t>SAFE</t>
        </is>
      </c>
      <c r="E4" s="17" t="n"/>
      <c r="G4" s="18" t="inlineStr">
        <is>
          <t>Option</t>
        </is>
      </c>
      <c r="I4" s="15" t="inlineStr">
        <is>
          <t>Series A</t>
        </is>
      </c>
      <c r="J4" s="17" t="n"/>
      <c r="L4" s="18" t="inlineStr">
        <is>
          <t>Option</t>
        </is>
      </c>
      <c r="N4" s="15" t="inlineStr">
        <is>
          <t>Total Capitalization</t>
        </is>
      </c>
      <c r="O4" s="17" t="n"/>
    </row>
    <row r="5">
      <c r="C5" s="19" t="inlineStr">
        <is>
          <t># of</t>
        </is>
      </c>
      <c r="D5" s="20" t="inlineStr">
        <is>
          <t>$</t>
        </is>
      </c>
      <c r="E5" s="21" t="inlineStr">
        <is>
          <t>Converted</t>
        </is>
      </c>
      <c r="G5" s="22" t="inlineStr">
        <is>
          <t>Pool +</t>
        </is>
      </c>
      <c r="I5" s="19" t="inlineStr">
        <is>
          <t>$</t>
        </is>
      </c>
      <c r="J5" s="21" t="inlineStr">
        <is>
          <t>Preferred</t>
        </is>
      </c>
      <c r="L5" s="22" t="inlineStr">
        <is>
          <t>Pool +</t>
        </is>
      </c>
      <c r="N5" s="19" t="inlineStr">
        <is>
          <t>Total FD</t>
        </is>
      </c>
      <c r="O5" s="21" t="inlineStr">
        <is>
          <t>%</t>
        </is>
      </c>
      <c r="Q5" s="18" t="inlineStr">
        <is>
          <t>%</t>
        </is>
      </c>
    </row>
    <row r="6">
      <c r="B6" s="23" t="inlineStr"/>
      <c r="C6" s="24" t="inlineStr">
        <is>
          <t>Shares</t>
        </is>
      </c>
      <c r="D6" s="25" t="inlineStr">
        <is>
          <t xml:space="preserve"> Invested</t>
        </is>
      </c>
      <c r="E6" s="26" t="inlineStr">
        <is>
          <t>Shares</t>
        </is>
      </c>
      <c r="G6" s="27" t="inlineStr">
        <is>
          <t>Pre SAFE</t>
        </is>
      </c>
      <c r="I6" s="24" t="inlineStr">
        <is>
          <t xml:space="preserve"> Invested</t>
        </is>
      </c>
      <c r="J6" s="26" t="inlineStr">
        <is>
          <t>Shares</t>
        </is>
      </c>
      <c r="L6" s="27" t="inlineStr">
        <is>
          <t>Pre A</t>
        </is>
      </c>
      <c r="N6" s="24" t="inlineStr">
        <is>
          <t>Shares</t>
        </is>
      </c>
      <c r="O6" s="26" t="inlineStr">
        <is>
          <t>FD</t>
        </is>
      </c>
      <c r="Q6" s="27" t="inlineStr">
        <is>
          <t>Preferred</t>
        </is>
      </c>
    </row>
    <row r="7">
      <c r="B7" s="28" t="inlineStr">
        <is>
          <t>Common Stock and Options:</t>
        </is>
      </c>
    </row>
    <row r="8">
      <c r="B8" s="29">
        <f>'SK Cap Table'!A2</f>
        <v/>
      </c>
      <c r="C8" s="30">
        <f>'SK Cap Table'!B2</f>
        <v/>
      </c>
      <c r="N8" s="31">
        <f>C8+E8+G8+J8+L8</f>
        <v/>
      </c>
      <c r="O8" s="32">
        <f>N8/$N$50</f>
        <v/>
      </c>
    </row>
    <row r="9">
      <c r="B9" s="29">
        <f>'SK Cap Table'!A3</f>
        <v/>
      </c>
      <c r="C9" s="30">
        <f>'SK Cap Table'!B3</f>
        <v/>
      </c>
      <c r="N9" s="31">
        <f>C9+E9+G9+J9+L9</f>
        <v/>
      </c>
      <c r="O9" s="32">
        <f>N9/$N$50</f>
        <v/>
      </c>
    </row>
    <row r="10">
      <c r="B10" s="29">
        <f>'SK Cap Table'!A4</f>
        <v/>
      </c>
      <c r="C10" s="30">
        <f>'SK Cap Table'!B4</f>
        <v/>
      </c>
      <c r="N10" s="31">
        <f>C10+E10+G10+J10+L10</f>
        <v/>
      </c>
      <c r="O10" s="32">
        <f>N10/$N$50</f>
        <v/>
      </c>
    </row>
    <row r="11">
      <c r="B11" s="29">
        <f>'SK Cap Table'!A5</f>
        <v/>
      </c>
      <c r="C11" s="30">
        <f>'SK Cap Table'!B5</f>
        <v/>
      </c>
      <c r="N11" s="31">
        <f>C11+E11+G11+J11+L11</f>
        <v/>
      </c>
      <c r="O11" s="32">
        <f>N11/$N$50</f>
        <v/>
      </c>
    </row>
    <row r="12">
      <c r="B12" s="29">
        <f>'SK Cap Table'!A6</f>
        <v/>
      </c>
      <c r="C12" s="30">
        <f>'SK Cap Table'!B6</f>
        <v/>
      </c>
      <c r="N12" s="31">
        <f>C12+E12+G12+J12+L12</f>
        <v/>
      </c>
      <c r="O12" s="32">
        <f>N12/$N$50</f>
        <v/>
      </c>
    </row>
    <row r="13">
      <c r="B13" s="29">
        <f>'SK Cap Table'!A7</f>
        <v/>
      </c>
      <c r="C13" s="30">
        <f>'SK Cap Table'!B7</f>
        <v/>
      </c>
      <c r="N13" s="31">
        <f>C13+E13+G13+J13+L13</f>
        <v/>
      </c>
      <c r="O13" s="32">
        <f>N13/$N$50</f>
        <v/>
      </c>
    </row>
    <row r="14">
      <c r="B14" s="29">
        <f>'SK Cap Table'!A8</f>
        <v/>
      </c>
      <c r="C14" s="30">
        <f>'SK Cap Table'!B8</f>
        <v/>
      </c>
      <c r="N14" s="31">
        <f>C14+E14+G14+J14+L14</f>
        <v/>
      </c>
      <c r="O14" s="32">
        <f>N14/$N$50</f>
        <v/>
      </c>
    </row>
    <row r="15">
      <c r="B15" s="29">
        <f>'SK Cap Table'!A9</f>
        <v/>
      </c>
      <c r="C15" s="30">
        <f>'SK Cap Table'!B9</f>
        <v/>
      </c>
      <c r="N15" s="31">
        <f>C15+E15+G15+J15+L15</f>
        <v/>
      </c>
      <c r="O15" s="32">
        <f>N15/$N$50</f>
        <v/>
      </c>
    </row>
    <row r="16">
      <c r="B16" s="29">
        <f>'SK Cap Table'!A10</f>
        <v/>
      </c>
      <c r="C16" s="30">
        <f>'SK Cap Table'!B10</f>
        <v/>
      </c>
      <c r="N16" s="31">
        <f>C16+E16+G16+J16+L16</f>
        <v/>
      </c>
      <c r="O16" s="32">
        <f>N16/$N$50</f>
        <v/>
      </c>
    </row>
    <row r="17">
      <c r="B17" s="29">
        <f>'SK Cap Table'!A11</f>
        <v/>
      </c>
      <c r="C17" s="30">
        <f>'SK Cap Table'!B11</f>
        <v/>
      </c>
      <c r="N17" s="31">
        <f>C17+E17+G17+J17+L17</f>
        <v/>
      </c>
      <c r="O17" s="32">
        <f>N17/$N$50</f>
        <v/>
      </c>
    </row>
    <row r="18">
      <c r="B18" s="29">
        <f>'SK Cap Table'!A12</f>
        <v/>
      </c>
      <c r="C18" s="30">
        <f>'SK Cap Table'!B12</f>
        <v/>
      </c>
      <c r="N18" s="31">
        <f>C18+E18+G18+J18+L18</f>
        <v/>
      </c>
      <c r="O18" s="32">
        <f>N18/$N$50</f>
        <v/>
      </c>
    </row>
    <row r="19">
      <c r="B19" s="29">
        <f>'SK Cap Table'!A13</f>
        <v/>
      </c>
      <c r="C19" s="30">
        <f>'SK Cap Table'!B13</f>
        <v/>
      </c>
      <c r="N19" s="31">
        <f>C19+E19+G19+J19+L19</f>
        <v/>
      </c>
      <c r="O19" s="32">
        <f>N19/$N$50</f>
        <v/>
      </c>
    </row>
    <row r="20">
      <c r="B20" s="29">
        <f>'SK Cap Table'!A14</f>
        <v/>
      </c>
      <c r="C20" s="30">
        <f>'SK Cap Table'!B14</f>
        <v/>
      </c>
      <c r="N20" s="31">
        <f>C20+E20+G20+J20+L20</f>
        <v/>
      </c>
      <c r="O20" s="32">
        <f>N20/$N$50</f>
        <v/>
      </c>
    </row>
    <row r="21">
      <c r="B21" s="29" t="inlineStr">
        <is>
          <t>ESOP Issued &amp; Outstanding</t>
        </is>
      </c>
      <c r="C21" s="30">
        <f>'SK Cap Table'!F35</f>
        <v/>
      </c>
      <c r="N21" s="31">
        <f>C21+E21+G21+J21+L21</f>
        <v/>
      </c>
      <c r="O21" s="32">
        <f>N21/$N$50</f>
        <v/>
      </c>
    </row>
    <row r="22">
      <c r="B22" s="29" t="inlineStr">
        <is>
          <t>ESOP Available</t>
        </is>
      </c>
      <c r="G22" s="30">
        <f>'SK Cap Table'!F36</f>
        <v/>
      </c>
      <c r="L22" s="30">
        <f>MAX(ROUND(0.10*$N$50-C21-G22,0),0)</f>
        <v/>
      </c>
      <c r="N22" s="31">
        <f>C22+E22+G22+J22+L22</f>
        <v/>
      </c>
      <c r="O22" s="32">
        <f>N22/$N$50</f>
        <v/>
      </c>
    </row>
    <row r="23">
      <c r="A23" s="33" t="n"/>
      <c r="B23" s="34" t="inlineStr">
        <is>
          <t>Total Common</t>
        </is>
      </c>
      <c r="C23" s="35">
        <f>SUM(C8:C22)</f>
        <v/>
      </c>
      <c r="D23" s="35">
        <f>SUM(D8:D22)</f>
        <v/>
      </c>
      <c r="E23" s="35">
        <f>SUM(E8:E22)</f>
        <v/>
      </c>
      <c r="F23" s="33" t="n"/>
      <c r="G23" s="35">
        <f>SUM(G8:G22)</f>
        <v/>
      </c>
      <c r="H23" s="33" t="n"/>
      <c r="I23" s="35">
        <f>SUM(I8:I22)</f>
        <v/>
      </c>
      <c r="J23" s="35">
        <f>SUM(J8:J22)</f>
        <v/>
      </c>
      <c r="K23" s="33" t="n"/>
      <c r="L23" s="35">
        <f>SUM(L8:L22)</f>
        <v/>
      </c>
      <c r="M23" s="33" t="n"/>
      <c r="N23" s="35">
        <f>SUM(N8:N22)</f>
        <v/>
      </c>
      <c r="O23" s="36">
        <f>N23/$N$50</f>
        <v/>
      </c>
      <c r="P23" s="33" t="n"/>
      <c r="Q23" s="33" t="n"/>
    </row>
    <row r="24">
      <c r="B24" s="37" t="n"/>
    </row>
    <row r="25">
      <c r="B25" s="28" t="inlineStr">
        <is>
          <t>Preferred Rounds</t>
        </is>
      </c>
    </row>
    <row r="26">
      <c r="B26" s="29">
        <f>'SK Cap Table'!A15</f>
        <v/>
      </c>
      <c r="D26" s="38">
        <f>'SK Cap Table'!C15</f>
        <v/>
      </c>
      <c r="E26" s="30">
        <f>ROUND(D26/$E$52,0)</f>
        <v/>
      </c>
      <c r="N26" s="31">
        <f>C26+E26+G26+J26+L26</f>
        <v/>
      </c>
      <c r="O26" s="32">
        <f>N26/$N$50</f>
        <v/>
      </c>
      <c r="Q26" s="39">
        <f>(E26+J26)/($E$50+$J$50)</f>
        <v/>
      </c>
    </row>
    <row r="27">
      <c r="B27" s="40">
        <f>'SK Cap Table'!A16</f>
        <v/>
      </c>
      <c r="D27" s="38">
        <f>'SK Cap Table'!C16</f>
        <v/>
      </c>
      <c r="E27" s="30">
        <f>ROUND(D27/$E$52,0)</f>
        <v/>
      </c>
      <c r="N27" s="31">
        <f>C27+E27+G27+J27+L27</f>
        <v/>
      </c>
      <c r="O27" s="32">
        <f>N27/$N$50</f>
        <v/>
      </c>
      <c r="Q27" s="39">
        <f>(E27+J27)/($E$50+$J$50)</f>
        <v/>
      </c>
    </row>
    <row r="28">
      <c r="B28" s="40">
        <f>'SK Cap Table'!A17</f>
        <v/>
      </c>
      <c r="D28" s="38">
        <f>'SK Cap Table'!C17</f>
        <v/>
      </c>
      <c r="E28" s="30">
        <f>ROUND(D28/$E$52,0)</f>
        <v/>
      </c>
      <c r="N28" s="31">
        <f>C28+E28+G28+J28+L28</f>
        <v/>
      </c>
      <c r="O28" s="32">
        <f>N28/$N$50</f>
        <v/>
      </c>
      <c r="Q28" s="39">
        <f>(E28+J28)/($E$50+$J$50)</f>
        <v/>
      </c>
    </row>
    <row r="29">
      <c r="B29" s="40">
        <f>'SK Cap Table'!A18</f>
        <v/>
      </c>
      <c r="D29" s="38">
        <f>'SK Cap Table'!C18</f>
        <v/>
      </c>
      <c r="E29" s="30">
        <f>ROUND(D29/$E$52,0)</f>
        <v/>
      </c>
      <c r="N29" s="31">
        <f>C29+E29+G29+J29+L29</f>
        <v/>
      </c>
      <c r="O29" s="32">
        <f>N29/$N$50</f>
        <v/>
      </c>
      <c r="Q29" s="39">
        <f>(E29+J29)/($E$50+$J$50)</f>
        <v/>
      </c>
    </row>
    <row r="30">
      <c r="B30" s="40">
        <f>'SK Cap Table'!A19</f>
        <v/>
      </c>
      <c r="D30" s="38">
        <f>'SK Cap Table'!C19</f>
        <v/>
      </c>
      <c r="E30" s="30">
        <f>ROUND(D30/$E$52,0)</f>
        <v/>
      </c>
      <c r="N30" s="31">
        <f>C30+E30+G30+J30+L30</f>
        <v/>
      </c>
      <c r="O30" s="32">
        <f>N30/$N$50</f>
        <v/>
      </c>
      <c r="Q30" s="39">
        <f>(E30+J30)/($E$50+$J$50)</f>
        <v/>
      </c>
    </row>
    <row r="31">
      <c r="B31" s="40">
        <f>'SK Cap Table'!A20</f>
        <v/>
      </c>
      <c r="D31" s="38">
        <f>'SK Cap Table'!C20</f>
        <v/>
      </c>
      <c r="E31" s="30">
        <f>ROUND(D31/$E$52,0)</f>
        <v/>
      </c>
      <c r="N31" s="31">
        <f>C31+E31+G31+J31+L31</f>
        <v/>
      </c>
      <c r="O31" s="32">
        <f>N31/$N$50</f>
        <v/>
      </c>
      <c r="Q31" s="39">
        <f>(E31+J31)/($E$50+$J$50)</f>
        <v/>
      </c>
    </row>
    <row r="32">
      <c r="B32" s="40">
        <f>'SK Cap Table'!A21</f>
        <v/>
      </c>
      <c r="D32" s="38">
        <f>'SK Cap Table'!C21</f>
        <v/>
      </c>
      <c r="E32" s="30">
        <f>ROUND(D32/$E$52,0)</f>
        <v/>
      </c>
      <c r="N32" s="31">
        <f>C32+E32+G32+J32+L32</f>
        <v/>
      </c>
      <c r="O32" s="32">
        <f>N32/$N$50</f>
        <v/>
      </c>
      <c r="Q32" s="39">
        <f>(E32+J32)/($E$50+$J$50)</f>
        <v/>
      </c>
    </row>
    <row r="33">
      <c r="B33" s="40">
        <f>'SK Cap Table'!A22</f>
        <v/>
      </c>
      <c r="D33" s="38">
        <f>'SK Cap Table'!C22</f>
        <v/>
      </c>
      <c r="E33" s="30">
        <f>ROUND(D33/$E$52,0)</f>
        <v/>
      </c>
      <c r="N33" s="31">
        <f>C33+E33+G33+J33+L33</f>
        <v/>
      </c>
      <c r="O33" s="32">
        <f>N33/$N$50</f>
        <v/>
      </c>
      <c r="Q33" s="39">
        <f>(E33+J33)/($E$50+$J$50)</f>
        <v/>
      </c>
    </row>
    <row r="34">
      <c r="B34" s="40">
        <f>'SK Cap Table'!A23</f>
        <v/>
      </c>
      <c r="D34" s="38">
        <f>'SK Cap Table'!C23</f>
        <v/>
      </c>
      <c r="E34" s="30">
        <f>ROUND(D34/$E$52,0)</f>
        <v/>
      </c>
      <c r="N34" s="31">
        <f>C34+E34+G34+J34+L34</f>
        <v/>
      </c>
      <c r="O34" s="32">
        <f>N34/$N$50</f>
        <v/>
      </c>
      <c r="Q34" s="39">
        <f>(E34+J34)/($E$50+$J$50)</f>
        <v/>
      </c>
    </row>
    <row r="35">
      <c r="B35" s="40">
        <f>'SK Cap Table'!A24</f>
        <v/>
      </c>
      <c r="D35" s="38">
        <f>'SK Cap Table'!C24</f>
        <v/>
      </c>
      <c r="E35" s="30">
        <f>ROUND(D35/$E$52,0)</f>
        <v/>
      </c>
      <c r="N35" s="31">
        <f>C35+E35+G35+J35+L35</f>
        <v/>
      </c>
      <c r="O35" s="32">
        <f>N35/$N$50</f>
        <v/>
      </c>
      <c r="Q35" s="39">
        <f>(E35+J35)/($E$50+$J$50)</f>
        <v/>
      </c>
    </row>
    <row r="36">
      <c r="B36" s="40">
        <f>'SK Cap Table'!A25</f>
        <v/>
      </c>
      <c r="D36" s="38">
        <f>'SK Cap Table'!C25</f>
        <v/>
      </c>
      <c r="E36" s="30">
        <f>ROUND(D36/$E$52,0)</f>
        <v/>
      </c>
      <c r="N36" s="31">
        <f>C36+E36+G36+J36+L36</f>
        <v/>
      </c>
      <c r="O36" s="32">
        <f>N36/$N$50</f>
        <v/>
      </c>
      <c r="Q36" s="39">
        <f>(E36+J36)/($E$50+$J$50)</f>
        <v/>
      </c>
    </row>
    <row r="37">
      <c r="B37" s="40">
        <f>'SK Cap Table'!A26</f>
        <v/>
      </c>
      <c r="D37" s="38">
        <f>'SK Cap Table'!C26</f>
        <v/>
      </c>
      <c r="E37" s="30">
        <f>ROUND(D37/$E$52,0)</f>
        <v/>
      </c>
      <c r="N37" s="31">
        <f>C37+E37+G37+J37+L37</f>
        <v/>
      </c>
      <c r="O37" s="32">
        <f>N37/$N$50</f>
        <v/>
      </c>
      <c r="Q37" s="39">
        <f>(E37+J37)/($E$50+$J$50)</f>
        <v/>
      </c>
    </row>
    <row r="38">
      <c r="B38" s="40">
        <f>'SK Cap Table'!A27</f>
        <v/>
      </c>
      <c r="D38" s="38">
        <f>'SK Cap Table'!C27</f>
        <v/>
      </c>
      <c r="E38" s="30">
        <f>ROUND(D38/$E$52,0)</f>
        <v/>
      </c>
      <c r="N38" s="31">
        <f>C38+E38+G38+J38+L38</f>
        <v/>
      </c>
      <c r="O38" s="32">
        <f>N38/$N$50</f>
        <v/>
      </c>
      <c r="Q38" s="39">
        <f>(E38+J38)/($E$50+$J$50)</f>
        <v/>
      </c>
    </row>
    <row r="39">
      <c r="B39" s="40">
        <f>'SK Cap Table'!A28</f>
        <v/>
      </c>
      <c r="D39" s="38">
        <f>'SK Cap Table'!C28</f>
        <v/>
      </c>
      <c r="E39" s="30">
        <f>ROUND(D39/$E$52,0)</f>
        <v/>
      </c>
      <c r="N39" s="31">
        <f>C39+E39+G39+J39+L39</f>
        <v/>
      </c>
      <c r="O39" s="32">
        <f>N39/$N$50</f>
        <v/>
      </c>
      <c r="Q39" s="39">
        <f>(E39+J39)/($E$50+$J$50)</f>
        <v/>
      </c>
    </row>
    <row r="40">
      <c r="B40" s="40">
        <f>'SK Cap Table'!A29</f>
        <v/>
      </c>
      <c r="D40" s="38">
        <f>'SK Cap Table'!C29</f>
        <v/>
      </c>
      <c r="E40" s="30">
        <f>ROUND(D40/$E$52,0)</f>
        <v/>
      </c>
      <c r="N40" s="31">
        <f>C40+E40+G40+J40+L40</f>
        <v/>
      </c>
      <c r="O40" s="32">
        <f>N40/$N$50</f>
        <v/>
      </c>
      <c r="Q40" s="39">
        <f>(E40+J40)/($E$50+$J$50)</f>
        <v/>
      </c>
    </row>
    <row r="41">
      <c r="B41" s="40">
        <f>'SK Cap Table'!A30</f>
        <v/>
      </c>
      <c r="D41" s="38">
        <f>'SK Cap Table'!C30</f>
        <v/>
      </c>
      <c r="E41" s="30">
        <f>ROUND(D41/$E$52,0)</f>
        <v/>
      </c>
      <c r="N41" s="31">
        <f>C41+E41+G41+J41+L41</f>
        <v/>
      </c>
      <c r="O41" s="32">
        <f>N41/$N$50</f>
        <v/>
      </c>
      <c r="Q41" s="39">
        <f>(E41+J41)/($E$50+$J$50)</f>
        <v/>
      </c>
    </row>
    <row r="42">
      <c r="B42" s="40">
        <f>'SK Cap Table'!A31</f>
        <v/>
      </c>
      <c r="D42" s="38">
        <f>'SK Cap Table'!C31</f>
        <v/>
      </c>
      <c r="E42" s="30">
        <f>ROUND(D42/$E$52,0)</f>
        <v/>
      </c>
      <c r="N42" s="31">
        <f>C42+E42+G42+J42+L42</f>
        <v/>
      </c>
      <c r="O42" s="32">
        <f>N42/$N$50</f>
        <v/>
      </c>
      <c r="Q42" s="39">
        <f>(E42+J42)/($E$50+$J$50)</f>
        <v/>
      </c>
    </row>
    <row r="43">
      <c r="B43" s="40">
        <f>'SK Cap Table'!A32</f>
        <v/>
      </c>
      <c r="D43" s="38">
        <f>'SK Cap Table'!C32</f>
        <v/>
      </c>
      <c r="E43" s="30">
        <f>ROUND(D43/$E$52,0)</f>
        <v/>
      </c>
      <c r="N43" s="31">
        <f>C43+E43+G43+J43+L43</f>
        <v/>
      </c>
      <c r="O43" s="32">
        <f>N43/$N$50</f>
        <v/>
      </c>
      <c r="Q43" s="39">
        <f>(E43+J43)/($E$50+$J$50)</f>
        <v/>
      </c>
    </row>
    <row r="44">
      <c r="B44" s="40">
        <f>'SK Cap Table'!A33</f>
        <v/>
      </c>
      <c r="D44" s="38">
        <f>'SK Cap Table'!C33</f>
        <v/>
      </c>
      <c r="E44" s="30">
        <f>ROUND(D44/$E$52,0)</f>
        <v/>
      </c>
      <c r="N44" s="31">
        <f>C44+E44+G44+J44+L44</f>
        <v/>
      </c>
      <c r="O44" s="32">
        <f>N44/$N$50</f>
        <v/>
      </c>
      <c r="Q44" s="39">
        <f>(E44+J44)/($E$50+$J$50)</f>
        <v/>
      </c>
    </row>
    <row r="45">
      <c r="B45" s="40">
        <f>'SK Cap Table'!A34</f>
        <v/>
      </c>
      <c r="D45" s="38">
        <f>'SK Cap Table'!C34</f>
        <v/>
      </c>
      <c r="E45" s="30">
        <f>ROUND(D45/$E$52,0)</f>
        <v/>
      </c>
      <c r="N45" s="31">
        <f>C45+E45+G45+J45+L45</f>
        <v/>
      </c>
      <c r="O45" s="32">
        <f>N45/$N$50</f>
        <v/>
      </c>
      <c r="Q45" s="39">
        <f>(E45+J45)/($E$50+$J$50)</f>
        <v/>
      </c>
    </row>
    <row r="46">
      <c r="B46" s="40" t="inlineStr">
        <is>
          <t>Ten Eleven</t>
        </is>
      </c>
      <c r="I46" s="41" t="n">
        <v>12000000</v>
      </c>
      <c r="J46" s="30">
        <f>ROUND($I$46/$J$52,0)</f>
        <v/>
      </c>
      <c r="N46" s="31">
        <f>C46+E46+G46+J46+L46</f>
        <v/>
      </c>
      <c r="O46" s="32">
        <f>N46/$N$50</f>
        <v/>
      </c>
      <c r="Q46" s="39">
        <f>(E46+J46)/($E$50+$J$50)</f>
        <v/>
      </c>
    </row>
    <row r="47">
      <c r="B47" s="40" t="inlineStr">
        <is>
          <t>Accomplice</t>
        </is>
      </c>
      <c r="I47" s="41" t="n">
        <v>5000000</v>
      </c>
      <c r="J47" s="30">
        <f>ROUND($I$47/$J$52,0)</f>
        <v/>
      </c>
      <c r="N47" s="31">
        <f>C47+E47+G47+J47+L47</f>
        <v/>
      </c>
      <c r="O47" s="32">
        <f>N47/$N$50</f>
        <v/>
      </c>
      <c r="Q47" s="39">
        <f>(E47+J47)/($E$50+$J$50)</f>
        <v/>
      </c>
    </row>
    <row r="48">
      <c r="B48" s="40" t="inlineStr">
        <is>
          <t>Other Series A Investors</t>
        </is>
      </c>
      <c r="I48" s="41" t="n">
        <v>3000000</v>
      </c>
      <c r="J48" s="30">
        <f>ROUND($I$48/$J$52,0)</f>
        <v/>
      </c>
      <c r="N48" s="31">
        <f>C48+E48+G48+J48+L48</f>
        <v/>
      </c>
      <c r="O48" s="32">
        <f>N48/$N$50</f>
        <v/>
      </c>
      <c r="Q48" s="39">
        <f>(E48+J48)/($E$50+$J$50)</f>
        <v/>
      </c>
    </row>
    <row r="50">
      <c r="A50" s="42" t="n"/>
      <c r="B50" s="43" t="inlineStr">
        <is>
          <t>Totals</t>
        </is>
      </c>
      <c r="C50" s="44">
        <f>C23+SUM(C26:C48)</f>
        <v/>
      </c>
      <c r="D50" s="45">
        <f>SUM(D8:D49)</f>
        <v/>
      </c>
      <c r="E50" s="44">
        <f>SUM(E8:E49)</f>
        <v/>
      </c>
      <c r="F50" s="42" t="n"/>
      <c r="G50" s="44">
        <f>SUM(G8:G49)</f>
        <v/>
      </c>
      <c r="H50" s="42" t="n"/>
      <c r="I50" s="45">
        <f>SUM(I8:I49)</f>
        <v/>
      </c>
      <c r="J50" s="44">
        <f>SUM(J8:J49)</f>
        <v/>
      </c>
      <c r="K50" s="42" t="n"/>
      <c r="L50" s="44">
        <f>SUM(L8:L49)</f>
        <v/>
      </c>
      <c r="M50" s="42" t="n"/>
      <c r="N50" s="44">
        <f>N23+SUM(N26:N48)</f>
        <v/>
      </c>
      <c r="O50" s="46">
        <f>SUM(O8:O49)</f>
        <v/>
      </c>
      <c r="P50" s="42" t="n"/>
      <c r="Q50" s="42" t="n"/>
    </row>
    <row r="52">
      <c r="B52" s="40" t="inlineStr">
        <is>
          <t>Price per Share</t>
        </is>
      </c>
      <c r="E52" s="47">
        <f>$C$64/($N$50-$J$50-$L$50)</f>
        <v/>
      </c>
      <c r="J52" s="47">
        <f>$J$54/$N$50</f>
        <v/>
      </c>
    </row>
    <row r="53">
      <c r="B53" s="40" t="inlineStr">
        <is>
          <t>Pre-Money Valuation</t>
        </is>
      </c>
      <c r="J53" s="48" t="n">
        <v>60000000</v>
      </c>
    </row>
    <row r="54">
      <c r="A54" s="49" t="n"/>
      <c r="B54" s="50" t="inlineStr">
        <is>
          <t>Post-Money Valuation</t>
        </is>
      </c>
      <c r="C54" s="49" t="n"/>
      <c r="D54" s="49" t="n"/>
      <c r="E54" s="49" t="n"/>
      <c r="F54" s="49" t="n"/>
      <c r="G54" s="49" t="n"/>
      <c r="H54" s="49" t="n"/>
      <c r="I54" s="49" t="n"/>
      <c r="J54" s="51">
        <f>$J$53+$I$50</f>
        <v/>
      </c>
      <c r="K54" s="49" t="n"/>
      <c r="L54" s="49" t="n"/>
      <c r="M54" s="49" t="n"/>
      <c r="N54" s="49" t="n"/>
      <c r="O54" s="49" t="n"/>
      <c r="P54" s="49" t="n"/>
      <c r="Q54" s="49" t="n"/>
    </row>
    <row r="56">
      <c r="B56" s="40" t="inlineStr">
        <is>
          <t>Checks</t>
        </is>
      </c>
      <c r="N56" s="31">
        <f>$N$50-(C50+E50+G50+J50+L50)</f>
        <v/>
      </c>
    </row>
    <row r="60">
      <c r="B60" s="52" t="inlineStr">
        <is>
          <t>Series A Assumptions</t>
        </is>
      </c>
    </row>
    <row r="61">
      <c r="B61" s="40" t="inlineStr">
        <is>
          <t>Round Size</t>
        </is>
      </c>
      <c r="C61" s="53" t="n">
        <v>20000000</v>
      </c>
    </row>
    <row r="62">
      <c r="B62" s="40" t="inlineStr">
        <is>
          <t>Round Ownership</t>
        </is>
      </c>
      <c r="C62" s="54">
        <f>$C$61/$J$54</f>
        <v/>
      </c>
    </row>
    <row r="63">
      <c r="B63" s="40" t="inlineStr">
        <is>
          <t>Option Pool Expansion</t>
        </is>
      </c>
      <c r="C63" s="54">
        <f>0.10-((C21+G22)/$N$50)</f>
        <v/>
      </c>
    </row>
    <row r="64">
      <c r="B64" s="40" t="inlineStr">
        <is>
          <t>SAFE Valuation Cap</t>
        </is>
      </c>
      <c r="C64" s="53" t="n">
        <v>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.5" customWidth="1" min="2" max="2"/>
    <col width="11.5" customWidth="1" min="3" max="3"/>
    <col width="14.16" customWidth="1" min="4" max="4"/>
    <col width="13.5" customWidth="1" min="5" max="5"/>
    <col width="0.5" customWidth="1" min="6" max="6"/>
    <col width="11" customWidth="1" min="7" max="7"/>
    <col width="0.5" customWidth="1" min="8" max="8"/>
    <col width="14.16" customWidth="1" min="9" max="9"/>
    <col width="13.5" customWidth="1" min="10" max="10"/>
    <col width="0.5" customWidth="1" min="11" max="11"/>
    <col width="11" customWidth="1" min="12" max="12"/>
    <col width="0.5" customWidth="1" min="13" max="13"/>
    <col width="14.16" customWidth="1" min="14" max="14"/>
    <col width="14" customWidth="1" min="15" max="15"/>
    <col width="0.5" customWidth="1" min="16" max="16"/>
    <col width="11" customWidth="1" min="17" max="17"/>
    <col width="0.5" customWidth="1" min="18" max="18"/>
    <col width="11.5" customWidth="1" min="19" max="19"/>
    <col width="7.5" customWidth="1" min="20" max="20"/>
    <col width="6.5" customWidth="1" min="21" max="21"/>
    <col width="11.5" customWidth="1" min="22" max="22"/>
  </cols>
  <sheetData>
    <row r="1">
      <c r="A1" s="55" t="n"/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</row>
    <row r="2" ht="16" customHeight="1">
      <c r="A2" s="55" t="n"/>
      <c r="B2" s="56" t="inlineStr">
        <is>
          <t>SIDEKICK &amp; TEN ELEVEN SERIES B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5" t="n"/>
      <c r="V2" s="55" t="n"/>
    </row>
    <row r="3" ht="17" customHeight="1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</row>
    <row r="4">
      <c r="A4" s="55" t="n"/>
      <c r="B4" s="55" t="n"/>
      <c r="C4" s="58" t="inlineStr">
        <is>
          <t>Common</t>
        </is>
      </c>
      <c r="D4" s="59" t="inlineStr">
        <is>
          <t>SAFE</t>
        </is>
      </c>
      <c r="E4" s="60" t="n"/>
      <c r="F4" s="55" t="n"/>
      <c r="G4" s="58" t="inlineStr">
        <is>
          <t>Option</t>
        </is>
      </c>
      <c r="H4" s="55" t="n"/>
      <c r="I4" s="59" t="inlineStr">
        <is>
          <t>Series A</t>
        </is>
      </c>
      <c r="J4" s="60" t="n"/>
      <c r="K4" s="55" t="n"/>
      <c r="L4" s="58" t="inlineStr">
        <is>
          <t>Option</t>
        </is>
      </c>
      <c r="M4" s="55" t="n"/>
      <c r="N4" s="59" t="inlineStr">
        <is>
          <t>Series B</t>
        </is>
      </c>
      <c r="O4" s="60" t="n"/>
      <c r="P4" s="55" t="n"/>
      <c r="Q4" s="58" t="inlineStr">
        <is>
          <t>Option</t>
        </is>
      </c>
      <c r="R4" s="55" t="n"/>
      <c r="S4" s="59" t="inlineStr">
        <is>
          <t>Total Capitalization</t>
        </is>
      </c>
      <c r="T4" s="60" t="n"/>
      <c r="U4" s="55" t="n"/>
      <c r="V4" s="61" t="n"/>
    </row>
    <row r="5">
      <c r="A5" s="55" t="n"/>
      <c r="B5" s="55" t="n"/>
      <c r="C5" s="62" t="inlineStr">
        <is>
          <t># of</t>
        </is>
      </c>
      <c r="D5" s="63" t="inlineStr">
        <is>
          <t>$</t>
        </is>
      </c>
      <c r="E5" s="64" t="inlineStr">
        <is>
          <t>Converted</t>
        </is>
      </c>
      <c r="F5" s="55" t="n"/>
      <c r="G5" s="62" t="inlineStr">
        <is>
          <t>Pool +</t>
        </is>
      </c>
      <c r="H5" s="55" t="n"/>
      <c r="I5" s="63" t="inlineStr">
        <is>
          <t>$</t>
        </is>
      </c>
      <c r="J5" s="64" t="inlineStr">
        <is>
          <t>Preferred</t>
        </is>
      </c>
      <c r="K5" s="55" t="n"/>
      <c r="L5" s="62" t="inlineStr">
        <is>
          <t>Pool +</t>
        </is>
      </c>
      <c r="M5" s="55" t="n"/>
      <c r="N5" s="63" t="inlineStr">
        <is>
          <t>$</t>
        </is>
      </c>
      <c r="O5" s="64" t="inlineStr">
        <is>
          <t>Preferred</t>
        </is>
      </c>
      <c r="P5" s="55" t="n"/>
      <c r="Q5" s="62" t="inlineStr">
        <is>
          <t>Pool +</t>
        </is>
      </c>
      <c r="R5" s="55" t="n"/>
      <c r="S5" s="63" t="inlineStr">
        <is>
          <t>Total FD</t>
        </is>
      </c>
      <c r="T5" s="64" t="inlineStr">
        <is>
          <t>%</t>
        </is>
      </c>
      <c r="U5" s="55" t="n"/>
      <c r="V5" s="62" t="inlineStr">
        <is>
          <t>%</t>
        </is>
      </c>
    </row>
    <row r="6">
      <c r="A6" s="55" t="n"/>
      <c r="B6" s="55" t="n"/>
      <c r="C6" s="65" t="inlineStr">
        <is>
          <t>Shares</t>
        </is>
      </c>
      <c r="D6" s="66" t="inlineStr">
        <is>
          <t xml:space="preserve"> Invested</t>
        </is>
      </c>
      <c r="E6" s="67" t="inlineStr">
        <is>
          <t>Shares</t>
        </is>
      </c>
      <c r="F6" s="55" t="n"/>
      <c r="G6" s="65" t="inlineStr">
        <is>
          <t>Pre SAFE</t>
        </is>
      </c>
      <c r="H6" s="55" t="n"/>
      <c r="I6" s="66" t="inlineStr">
        <is>
          <t xml:space="preserve"> Invested</t>
        </is>
      </c>
      <c r="J6" s="67" t="inlineStr">
        <is>
          <t>Shares</t>
        </is>
      </c>
      <c r="K6" s="55" t="n"/>
      <c r="L6" s="65" t="inlineStr">
        <is>
          <t>Pre A</t>
        </is>
      </c>
      <c r="M6" s="55" t="n"/>
      <c r="N6" s="66" t="inlineStr">
        <is>
          <t xml:space="preserve"> Invested</t>
        </is>
      </c>
      <c r="O6" s="67" t="inlineStr">
        <is>
          <t>Shares</t>
        </is>
      </c>
      <c r="P6" s="55" t="n"/>
      <c r="Q6" s="65" t="inlineStr">
        <is>
          <t>Pre B</t>
        </is>
      </c>
      <c r="R6" s="55" t="n"/>
      <c r="S6" s="66" t="inlineStr">
        <is>
          <t>Shares</t>
        </is>
      </c>
      <c r="T6" s="67" t="inlineStr">
        <is>
          <t>FD</t>
        </is>
      </c>
      <c r="U6" s="55" t="n"/>
      <c r="V6" s="65" t="inlineStr">
        <is>
          <t>Preferred</t>
        </is>
      </c>
    </row>
    <row r="7">
      <c r="A7" s="55" t="n"/>
      <c r="B7" s="68" t="inlineStr">
        <is>
          <t>Common Stock and Options: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</row>
    <row r="8">
      <c r="A8" s="55" t="n"/>
      <c r="B8" s="69">
        <f>+'SK Series A'!B8</f>
        <v/>
      </c>
      <c r="C8" s="70">
        <f>+'SK Series A'!C8</f>
        <v/>
      </c>
      <c r="D8" s="71">
        <f>+'SK Series A'!D8</f>
        <v/>
      </c>
      <c r="E8" s="70">
        <f>+'SK Series A'!E8</f>
        <v/>
      </c>
      <c r="F8" s="55" t="n"/>
      <c r="G8" s="70">
        <f>+'SK Series A'!G8</f>
        <v/>
      </c>
      <c r="H8" s="55" t="n"/>
      <c r="I8" s="71">
        <f>+'SK Series A'!I8</f>
        <v/>
      </c>
      <c r="J8" s="70">
        <f>+'SK Series A'!J8</f>
        <v/>
      </c>
      <c r="K8" s="55" t="n"/>
      <c r="L8" s="70">
        <f>+'SK Series A'!L8</f>
        <v/>
      </c>
      <c r="M8" s="55" t="n"/>
      <c r="N8" s="55" t="n"/>
      <c r="O8" s="55" t="n"/>
      <c r="P8" s="55" t="n"/>
      <c r="Q8" s="55" t="n"/>
      <c r="R8" s="55" t="n"/>
      <c r="S8" s="70">
        <f>C8+E8+G8+J8+L8+O8+Q8</f>
        <v/>
      </c>
      <c r="T8" s="72">
        <f>S8/$S$51</f>
        <v/>
      </c>
      <c r="U8" s="55" t="n"/>
      <c r="V8" s="72">
        <f>IFERROR((E8+J8+O8)/($E$51+$J$51+$O$51),0)</f>
        <v/>
      </c>
    </row>
    <row r="9">
      <c r="A9" s="55" t="n"/>
      <c r="B9" s="69">
        <f>+'SK Series A'!B9</f>
        <v/>
      </c>
      <c r="C9" s="70">
        <f>+'SK Series A'!C9</f>
        <v/>
      </c>
      <c r="D9" s="71">
        <f>+'SK Series A'!D9</f>
        <v/>
      </c>
      <c r="E9" s="70">
        <f>+'SK Series A'!E9</f>
        <v/>
      </c>
      <c r="F9" s="55" t="n"/>
      <c r="G9" s="70">
        <f>+'SK Series A'!G9</f>
        <v/>
      </c>
      <c r="H9" s="55" t="n"/>
      <c r="I9" s="71">
        <f>+'SK Series A'!I9</f>
        <v/>
      </c>
      <c r="J9" s="70">
        <f>+'SK Series A'!J9</f>
        <v/>
      </c>
      <c r="K9" s="55" t="n"/>
      <c r="L9" s="70">
        <f>+'SK Series A'!L9</f>
        <v/>
      </c>
      <c r="M9" s="55" t="n"/>
      <c r="N9" s="55" t="n"/>
      <c r="O9" s="55" t="n"/>
      <c r="P9" s="55" t="n"/>
      <c r="Q9" s="55" t="n"/>
      <c r="R9" s="55" t="n"/>
      <c r="S9" s="70">
        <f>C9+E9+G9+J9+L9+O9+Q9</f>
        <v/>
      </c>
      <c r="T9" s="72">
        <f>S9/$S$51</f>
        <v/>
      </c>
      <c r="U9" s="55" t="n"/>
      <c r="V9" s="72">
        <f>IFERROR((E9+J9+O9)/($E$51+$J$51+$O$51),0)</f>
        <v/>
      </c>
    </row>
    <row r="10">
      <c r="A10" s="55" t="n"/>
      <c r="B10" s="69">
        <f>+'SK Series A'!B10</f>
        <v/>
      </c>
      <c r="C10" s="70">
        <f>+'SK Series A'!C10</f>
        <v/>
      </c>
      <c r="D10" s="71">
        <f>+'SK Series A'!D10</f>
        <v/>
      </c>
      <c r="E10" s="70">
        <f>+'SK Series A'!E10</f>
        <v/>
      </c>
      <c r="F10" s="55" t="n"/>
      <c r="G10" s="70">
        <f>+'SK Series A'!G10</f>
        <v/>
      </c>
      <c r="H10" s="55" t="n"/>
      <c r="I10" s="71">
        <f>+'SK Series A'!I10</f>
        <v/>
      </c>
      <c r="J10" s="70">
        <f>+'SK Series A'!J10</f>
        <v/>
      </c>
      <c r="K10" s="55" t="n"/>
      <c r="L10" s="70">
        <f>+'SK Series A'!L10</f>
        <v/>
      </c>
      <c r="M10" s="55" t="n"/>
      <c r="N10" s="55" t="n"/>
      <c r="O10" s="55" t="n"/>
      <c r="P10" s="55" t="n"/>
      <c r="Q10" s="55" t="n"/>
      <c r="R10" s="55" t="n"/>
      <c r="S10" s="70">
        <f>C10+E10+G10+J10+L10+O10+Q10</f>
        <v/>
      </c>
      <c r="T10" s="72">
        <f>S10/$S$51</f>
        <v/>
      </c>
      <c r="U10" s="55" t="n"/>
      <c r="V10" s="72">
        <f>IFERROR((E10+J10+O10)/($E$51+$J$51+$O$51),0)</f>
        <v/>
      </c>
    </row>
    <row r="11">
      <c r="A11" s="55" t="n"/>
      <c r="B11" s="69">
        <f>+'SK Series A'!B11</f>
        <v/>
      </c>
      <c r="C11" s="70">
        <f>+'SK Series A'!C11</f>
        <v/>
      </c>
      <c r="D11" s="71">
        <f>+'SK Series A'!D11</f>
        <v/>
      </c>
      <c r="E11" s="70">
        <f>+'SK Series A'!E11</f>
        <v/>
      </c>
      <c r="F11" s="55" t="n"/>
      <c r="G11" s="70">
        <f>+'SK Series A'!G11</f>
        <v/>
      </c>
      <c r="H11" s="55" t="n"/>
      <c r="I11" s="71">
        <f>+'SK Series A'!I11</f>
        <v/>
      </c>
      <c r="J11" s="70">
        <f>+'SK Series A'!J11</f>
        <v/>
      </c>
      <c r="K11" s="55" t="n"/>
      <c r="L11" s="70">
        <f>+'SK Series A'!L11</f>
        <v/>
      </c>
      <c r="M11" s="55" t="n"/>
      <c r="N11" s="55" t="n"/>
      <c r="O11" s="55" t="n"/>
      <c r="P11" s="55" t="n"/>
      <c r="Q11" s="55" t="n"/>
      <c r="R11" s="55" t="n"/>
      <c r="S11" s="70">
        <f>C11+E11+G11+J11+L11+O11+Q11</f>
        <v/>
      </c>
      <c r="T11" s="72">
        <f>S11/$S$51</f>
        <v/>
      </c>
      <c r="U11" s="55" t="n"/>
      <c r="V11" s="72">
        <f>IFERROR((E11+J11+O11)/($E$51+$J$51+$O$51),0)</f>
        <v/>
      </c>
    </row>
    <row r="12">
      <c r="A12" s="55" t="n"/>
      <c r="B12" s="69">
        <f>+'SK Series A'!B12</f>
        <v/>
      </c>
      <c r="C12" s="70">
        <f>+'SK Series A'!C12</f>
        <v/>
      </c>
      <c r="D12" s="71">
        <f>+'SK Series A'!D12</f>
        <v/>
      </c>
      <c r="E12" s="70">
        <f>+'SK Series A'!E12</f>
        <v/>
      </c>
      <c r="F12" s="55" t="n"/>
      <c r="G12" s="70">
        <f>+'SK Series A'!G12</f>
        <v/>
      </c>
      <c r="H12" s="55" t="n"/>
      <c r="I12" s="71">
        <f>+'SK Series A'!I12</f>
        <v/>
      </c>
      <c r="J12" s="70">
        <f>+'SK Series A'!J12</f>
        <v/>
      </c>
      <c r="K12" s="55" t="n"/>
      <c r="L12" s="70">
        <f>+'SK Series A'!L12</f>
        <v/>
      </c>
      <c r="M12" s="55" t="n"/>
      <c r="N12" s="55" t="n"/>
      <c r="O12" s="55" t="n"/>
      <c r="P12" s="55" t="n"/>
      <c r="Q12" s="55" t="n"/>
      <c r="R12" s="55" t="n"/>
      <c r="S12" s="70">
        <f>C12+E12+G12+J12+L12+O12+Q12</f>
        <v/>
      </c>
      <c r="T12" s="72">
        <f>S12/$S$51</f>
        <v/>
      </c>
      <c r="U12" s="55" t="n"/>
      <c r="V12" s="72">
        <f>IFERROR((E12+J12+O12)/($E$51+$J$51+$O$51),0)</f>
        <v/>
      </c>
    </row>
    <row r="13">
      <c r="A13" s="55" t="n"/>
      <c r="B13" s="69">
        <f>+'SK Series A'!B13</f>
        <v/>
      </c>
      <c r="C13" s="70">
        <f>+'SK Series A'!C13</f>
        <v/>
      </c>
      <c r="D13" s="71">
        <f>+'SK Series A'!D13</f>
        <v/>
      </c>
      <c r="E13" s="70">
        <f>+'SK Series A'!E13</f>
        <v/>
      </c>
      <c r="F13" s="55" t="n"/>
      <c r="G13" s="70">
        <f>+'SK Series A'!G13</f>
        <v/>
      </c>
      <c r="H13" s="55" t="n"/>
      <c r="I13" s="71">
        <f>+'SK Series A'!I13</f>
        <v/>
      </c>
      <c r="J13" s="70">
        <f>+'SK Series A'!J13</f>
        <v/>
      </c>
      <c r="K13" s="55" t="n"/>
      <c r="L13" s="70">
        <f>+'SK Series A'!L13</f>
        <v/>
      </c>
      <c r="M13" s="55" t="n"/>
      <c r="N13" s="55" t="n"/>
      <c r="O13" s="55" t="n"/>
      <c r="P13" s="55" t="n"/>
      <c r="Q13" s="55" t="n"/>
      <c r="R13" s="55" t="n"/>
      <c r="S13" s="70">
        <f>C13+E13+G13+J13+L13+O13+Q13</f>
        <v/>
      </c>
      <c r="T13" s="72">
        <f>S13/$S$51</f>
        <v/>
      </c>
      <c r="U13" s="55" t="n"/>
      <c r="V13" s="72">
        <f>IFERROR((E13+J13+O13)/($E$51+$J$51+$O$51),0)</f>
        <v/>
      </c>
    </row>
    <row r="14">
      <c r="A14" s="55" t="n"/>
      <c r="B14" s="69">
        <f>+'SK Series A'!B14</f>
        <v/>
      </c>
      <c r="C14" s="70">
        <f>+'SK Series A'!C14</f>
        <v/>
      </c>
      <c r="D14" s="71">
        <f>+'SK Series A'!D14</f>
        <v/>
      </c>
      <c r="E14" s="70">
        <f>+'SK Series A'!E14</f>
        <v/>
      </c>
      <c r="F14" s="55" t="n"/>
      <c r="G14" s="70">
        <f>+'SK Series A'!G14</f>
        <v/>
      </c>
      <c r="H14" s="55" t="n"/>
      <c r="I14" s="71">
        <f>+'SK Series A'!I14</f>
        <v/>
      </c>
      <c r="J14" s="70">
        <f>+'SK Series A'!J14</f>
        <v/>
      </c>
      <c r="K14" s="55" t="n"/>
      <c r="L14" s="70">
        <f>+'SK Series A'!L14</f>
        <v/>
      </c>
      <c r="M14" s="55" t="n"/>
      <c r="N14" s="55" t="n"/>
      <c r="O14" s="55" t="n"/>
      <c r="P14" s="55" t="n"/>
      <c r="Q14" s="55" t="n"/>
      <c r="R14" s="55" t="n"/>
      <c r="S14" s="70">
        <f>C14+E14+G14+J14+L14+O14+Q14</f>
        <v/>
      </c>
      <c r="T14" s="72">
        <f>S14/$S$51</f>
        <v/>
      </c>
      <c r="U14" s="55" t="n"/>
      <c r="V14" s="72">
        <f>IFERROR((E14+J14+O14)/($E$51+$J$51+$O$51),0)</f>
        <v/>
      </c>
    </row>
    <row r="15">
      <c r="A15" s="55" t="n"/>
      <c r="B15" s="69">
        <f>+'SK Series A'!B15</f>
        <v/>
      </c>
      <c r="C15" s="70">
        <f>+'SK Series A'!C15</f>
        <v/>
      </c>
      <c r="D15" s="71">
        <f>+'SK Series A'!D15</f>
        <v/>
      </c>
      <c r="E15" s="70">
        <f>+'SK Series A'!E15</f>
        <v/>
      </c>
      <c r="F15" s="55" t="n"/>
      <c r="G15" s="70">
        <f>+'SK Series A'!G15</f>
        <v/>
      </c>
      <c r="H15" s="55" t="n"/>
      <c r="I15" s="71">
        <f>+'SK Series A'!I15</f>
        <v/>
      </c>
      <c r="J15" s="70">
        <f>+'SK Series A'!J15</f>
        <v/>
      </c>
      <c r="K15" s="55" t="n"/>
      <c r="L15" s="70">
        <f>+'SK Series A'!L15</f>
        <v/>
      </c>
      <c r="M15" s="55" t="n"/>
      <c r="N15" s="55" t="n"/>
      <c r="O15" s="55" t="n"/>
      <c r="P15" s="55" t="n"/>
      <c r="Q15" s="55" t="n"/>
      <c r="R15" s="55" t="n"/>
      <c r="S15" s="70">
        <f>C15+E15+G15+J15+L15+O15+Q15</f>
        <v/>
      </c>
      <c r="T15" s="72">
        <f>S15/$S$51</f>
        <v/>
      </c>
      <c r="U15" s="55" t="n"/>
      <c r="V15" s="72">
        <f>IFERROR((E15+J15+O15)/($E$51+$J$51+$O$51),0)</f>
        <v/>
      </c>
    </row>
    <row r="16">
      <c r="A16" s="55" t="n"/>
      <c r="B16" s="69">
        <f>+'SK Series A'!B16</f>
        <v/>
      </c>
      <c r="C16" s="70">
        <f>+'SK Series A'!C16</f>
        <v/>
      </c>
      <c r="D16" s="71">
        <f>+'SK Series A'!D16</f>
        <v/>
      </c>
      <c r="E16" s="70">
        <f>+'SK Series A'!E16</f>
        <v/>
      </c>
      <c r="F16" s="55" t="n"/>
      <c r="G16" s="70">
        <f>+'SK Series A'!G16</f>
        <v/>
      </c>
      <c r="H16" s="55" t="n"/>
      <c r="I16" s="71">
        <f>+'SK Series A'!I16</f>
        <v/>
      </c>
      <c r="J16" s="70">
        <f>+'SK Series A'!J16</f>
        <v/>
      </c>
      <c r="K16" s="55" t="n"/>
      <c r="L16" s="70">
        <f>+'SK Series A'!L16</f>
        <v/>
      </c>
      <c r="M16" s="55" t="n"/>
      <c r="N16" s="55" t="n"/>
      <c r="O16" s="55" t="n"/>
      <c r="P16" s="55" t="n"/>
      <c r="Q16" s="55" t="n"/>
      <c r="R16" s="55" t="n"/>
      <c r="S16" s="70">
        <f>C16+E16+G16+J16+L16+O16+Q16</f>
        <v/>
      </c>
      <c r="T16" s="72">
        <f>S16/$S$51</f>
        <v/>
      </c>
      <c r="U16" s="55" t="n"/>
      <c r="V16" s="72">
        <f>IFERROR((E16+J16+O16)/($E$51+$J$51+$O$51),0)</f>
        <v/>
      </c>
    </row>
    <row r="17">
      <c r="A17" s="55" t="n"/>
      <c r="B17" s="69">
        <f>+'SK Series A'!B17</f>
        <v/>
      </c>
      <c r="C17" s="70">
        <f>+'SK Series A'!C17</f>
        <v/>
      </c>
      <c r="D17" s="71">
        <f>+'SK Series A'!D17</f>
        <v/>
      </c>
      <c r="E17" s="70">
        <f>+'SK Series A'!E17</f>
        <v/>
      </c>
      <c r="F17" s="55" t="n"/>
      <c r="G17" s="70">
        <f>+'SK Series A'!G17</f>
        <v/>
      </c>
      <c r="H17" s="55" t="n"/>
      <c r="I17" s="71">
        <f>+'SK Series A'!I17</f>
        <v/>
      </c>
      <c r="J17" s="70">
        <f>+'SK Series A'!J17</f>
        <v/>
      </c>
      <c r="K17" s="55" t="n"/>
      <c r="L17" s="70">
        <f>+'SK Series A'!L17</f>
        <v/>
      </c>
      <c r="M17" s="55" t="n"/>
      <c r="N17" s="55" t="n"/>
      <c r="O17" s="55" t="n"/>
      <c r="P17" s="55" t="n"/>
      <c r="Q17" s="55" t="n"/>
      <c r="R17" s="55" t="n"/>
      <c r="S17" s="70">
        <f>C17+E17+G17+J17+L17+O17+Q17</f>
        <v/>
      </c>
      <c r="T17" s="72">
        <f>S17/$S$51</f>
        <v/>
      </c>
      <c r="U17" s="55" t="n"/>
      <c r="V17" s="72">
        <f>IFERROR((E17+J17+O17)/($E$51+$J$51+$O$51),0)</f>
        <v/>
      </c>
    </row>
    <row r="18">
      <c r="A18" s="55" t="n"/>
      <c r="B18" s="69">
        <f>+'SK Series A'!B18</f>
        <v/>
      </c>
      <c r="C18" s="70">
        <f>+'SK Series A'!C18</f>
        <v/>
      </c>
      <c r="D18" s="71">
        <f>+'SK Series A'!D18</f>
        <v/>
      </c>
      <c r="E18" s="70">
        <f>+'SK Series A'!E18</f>
        <v/>
      </c>
      <c r="F18" s="55" t="n"/>
      <c r="G18" s="70">
        <f>+'SK Series A'!G18</f>
        <v/>
      </c>
      <c r="H18" s="55" t="n"/>
      <c r="I18" s="71">
        <f>+'SK Series A'!I18</f>
        <v/>
      </c>
      <c r="J18" s="70">
        <f>+'SK Series A'!J18</f>
        <v/>
      </c>
      <c r="K18" s="55" t="n"/>
      <c r="L18" s="70">
        <f>+'SK Series A'!L18</f>
        <v/>
      </c>
      <c r="M18" s="55" t="n"/>
      <c r="N18" s="55" t="n"/>
      <c r="O18" s="55" t="n"/>
      <c r="P18" s="55" t="n"/>
      <c r="Q18" s="55" t="n"/>
      <c r="R18" s="55" t="n"/>
      <c r="S18" s="70">
        <f>C18+E18+G18+J18+L18+O18+Q18</f>
        <v/>
      </c>
      <c r="T18" s="72">
        <f>S18/$S$51</f>
        <v/>
      </c>
      <c r="U18" s="55" t="n"/>
      <c r="V18" s="72">
        <f>IFERROR((E18+J18+O18)/($E$51+$J$51+$O$51),0)</f>
        <v/>
      </c>
    </row>
    <row r="19">
      <c r="A19" s="55" t="n"/>
      <c r="B19" s="69">
        <f>+'SK Series A'!B19</f>
        <v/>
      </c>
      <c r="C19" s="70">
        <f>+'SK Series A'!C19</f>
        <v/>
      </c>
      <c r="D19" s="71">
        <f>+'SK Series A'!D19</f>
        <v/>
      </c>
      <c r="E19" s="70">
        <f>+'SK Series A'!E19</f>
        <v/>
      </c>
      <c r="F19" s="55" t="n"/>
      <c r="G19" s="70">
        <f>+'SK Series A'!G19</f>
        <v/>
      </c>
      <c r="H19" s="55" t="n"/>
      <c r="I19" s="71">
        <f>+'SK Series A'!I19</f>
        <v/>
      </c>
      <c r="J19" s="70">
        <f>+'SK Series A'!J19</f>
        <v/>
      </c>
      <c r="K19" s="55" t="n"/>
      <c r="L19" s="70">
        <f>+'SK Series A'!L19</f>
        <v/>
      </c>
      <c r="M19" s="55" t="n"/>
      <c r="N19" s="55" t="n"/>
      <c r="O19" s="55" t="n"/>
      <c r="P19" s="55" t="n"/>
      <c r="Q19" s="55" t="n"/>
      <c r="R19" s="55" t="n"/>
      <c r="S19" s="70">
        <f>C19+E19+G19+J19+L19+O19+Q19</f>
        <v/>
      </c>
      <c r="T19" s="72">
        <f>S19/$S$51</f>
        <v/>
      </c>
      <c r="U19" s="55" t="n"/>
      <c r="V19" s="72">
        <f>IFERROR((E19+J19+O19)/($E$51+$J$51+$O$51),0)</f>
        <v/>
      </c>
    </row>
    <row r="20">
      <c r="A20" s="55" t="n"/>
      <c r="B20" s="69">
        <f>+'SK Series A'!B20</f>
        <v/>
      </c>
      <c r="C20" s="70">
        <f>+'SK Series A'!C20</f>
        <v/>
      </c>
      <c r="D20" s="71">
        <f>+'SK Series A'!D20</f>
        <v/>
      </c>
      <c r="E20" s="70">
        <f>+'SK Series A'!E20</f>
        <v/>
      </c>
      <c r="F20" s="55" t="n"/>
      <c r="G20" s="70">
        <f>+'SK Series A'!G20</f>
        <v/>
      </c>
      <c r="H20" s="55" t="n"/>
      <c r="I20" s="71">
        <f>+'SK Series A'!I20</f>
        <v/>
      </c>
      <c r="J20" s="70">
        <f>+'SK Series A'!J20</f>
        <v/>
      </c>
      <c r="K20" s="55" t="n"/>
      <c r="L20" s="70">
        <f>+'SK Series A'!L20</f>
        <v/>
      </c>
      <c r="M20" s="55" t="n"/>
      <c r="N20" s="55" t="n"/>
      <c r="O20" s="55" t="n"/>
      <c r="P20" s="55" t="n"/>
      <c r="Q20" s="55" t="n"/>
      <c r="R20" s="55" t="n"/>
      <c r="S20" s="70">
        <f>C20+E20+G20+J20+L20+O20+Q20</f>
        <v/>
      </c>
      <c r="T20" s="72">
        <f>S20/$S$51</f>
        <v/>
      </c>
      <c r="U20" s="55" t="n"/>
      <c r="V20" s="72">
        <f>IFERROR((E20+J20+O20)/($E$51+$J$51+$O$51),0)</f>
        <v/>
      </c>
    </row>
    <row r="21">
      <c r="A21" s="55" t="n"/>
      <c r="B21" s="69">
        <f>+'SK Series A'!B21</f>
        <v/>
      </c>
      <c r="C21" s="70">
        <f>+'SK Series A'!C21</f>
        <v/>
      </c>
      <c r="D21" s="71">
        <f>+'SK Series A'!D21</f>
        <v/>
      </c>
      <c r="E21" s="70">
        <f>+'SK Series A'!E21</f>
        <v/>
      </c>
      <c r="F21" s="55" t="n"/>
      <c r="G21" s="70">
        <f>+'SK Series A'!G21</f>
        <v/>
      </c>
      <c r="H21" s="55" t="n"/>
      <c r="I21" s="71">
        <f>+'SK Series A'!I21</f>
        <v/>
      </c>
      <c r="J21" s="70">
        <f>+'SK Series A'!J21</f>
        <v/>
      </c>
      <c r="K21" s="69">
        <f>+'SK Series A'!K21</f>
        <v/>
      </c>
      <c r="L21" s="70">
        <f>+'SK Series A'!L21</f>
        <v/>
      </c>
      <c r="M21" s="55" t="n"/>
      <c r="N21" s="55" t="n"/>
      <c r="O21" s="55" t="n"/>
      <c r="P21" s="55" t="n"/>
      <c r="Q21" s="55" t="n"/>
      <c r="R21" s="55" t="n"/>
      <c r="S21" s="70">
        <f>C21+E21+G21+J21+L21+O21+Q21</f>
        <v/>
      </c>
      <c r="T21" s="72">
        <f>S21/$S$51</f>
        <v/>
      </c>
      <c r="U21" s="55" t="n"/>
      <c r="V21" s="72">
        <f>IFERROR((E21+J21+O21)/($E$51+$J$51+$O$51),0)</f>
        <v/>
      </c>
    </row>
    <row r="22">
      <c r="A22" s="55" t="n"/>
      <c r="B22" s="69">
        <f>+'SK Series A'!B22</f>
        <v/>
      </c>
      <c r="C22" s="55" t="n"/>
      <c r="D22" s="55" t="n"/>
      <c r="E22" s="55" t="n"/>
      <c r="F22" s="55" t="n"/>
      <c r="G22" s="70">
        <f>+'SK Series A'!G22</f>
        <v/>
      </c>
      <c r="H22" s="55" t="n"/>
      <c r="I22" s="55" t="n"/>
      <c r="J22" s="55" t="n"/>
      <c r="K22" s="55" t="n"/>
      <c r="L22" s="70">
        <f>+'SK Series A'!L22</f>
        <v/>
      </c>
      <c r="M22" s="55" t="n"/>
      <c r="N22" s="55" t="n"/>
      <c r="O22" s="55" t="n"/>
      <c r="P22" s="55" t="n"/>
      <c r="Q22" s="70">
        <f>MAX(ROUND($S$51*$C$65-('SK Series A'!C21+'SK Series A'!G22+'SK Series A'!L22),0),0)</f>
        <v/>
      </c>
      <c r="R22" s="55" t="n"/>
      <c r="S22" s="70">
        <f>C22+E22+G22+J22+L22+O22+Q22</f>
        <v/>
      </c>
      <c r="T22" s="72">
        <f>S22/$S$51</f>
        <v/>
      </c>
      <c r="U22" s="55" t="n"/>
      <c r="V22" s="72">
        <f>IFERROR((E22+J22+O22)/($E$51+$J$51+$O$51),0)</f>
        <v/>
      </c>
    </row>
    <row r="23">
      <c r="A23" s="55" t="n"/>
      <c r="B23" s="73" t="inlineStr">
        <is>
          <t>Total Common</t>
        </is>
      </c>
      <c r="C23" s="74">
        <f>SUM(C8:C22)</f>
        <v/>
      </c>
      <c r="D23" s="75">
        <f>SUM(D8:D22)</f>
        <v/>
      </c>
      <c r="E23" s="74">
        <f>SUM(E8:E22)</f>
        <v/>
      </c>
      <c r="F23" s="55" t="n"/>
      <c r="G23" s="74">
        <f>SUM(G8:G22)</f>
        <v/>
      </c>
      <c r="H23" s="55" t="n"/>
      <c r="I23" s="75">
        <f>SUM(I8:I22)</f>
        <v/>
      </c>
      <c r="J23" s="74">
        <f>SUM(J8:J22)</f>
        <v/>
      </c>
      <c r="K23" s="55" t="n"/>
      <c r="L23" s="74">
        <f>SUM(L8:L22)</f>
        <v/>
      </c>
      <c r="M23" s="55" t="n"/>
      <c r="N23" s="75">
        <f>SUM(N8:N22)</f>
        <v/>
      </c>
      <c r="O23" s="74">
        <f>SUM(O8:O22)</f>
        <v/>
      </c>
      <c r="P23" s="55" t="n"/>
      <c r="Q23" s="74">
        <f>SUM(Q8:Q22)</f>
        <v/>
      </c>
      <c r="R23" s="55" t="n"/>
      <c r="S23" s="74">
        <f>SUM(S8:S22)</f>
        <v/>
      </c>
      <c r="T23" s="76">
        <f>S23/$S$51</f>
        <v/>
      </c>
      <c r="U23" s="55" t="n"/>
      <c r="V23" s="76">
        <f>IFERROR((E23+J23+O23)/($E$51+$J$51+$O$51),0)</f>
        <v/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</row>
    <row r="25">
      <c r="A25" s="55" t="n"/>
      <c r="B25" s="68" t="inlineStr">
        <is>
          <t>Preferred Rounds</t>
        </is>
      </c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</row>
    <row r="26">
      <c r="A26" s="55" t="n"/>
      <c r="B26" s="69">
        <f>+'SK Series A'!B26</f>
        <v/>
      </c>
      <c r="C26" s="70">
        <f>+'SK Series A'!C26</f>
        <v/>
      </c>
      <c r="D26" s="71">
        <f>+'SK Series A'!D26</f>
        <v/>
      </c>
      <c r="E26" s="70">
        <f>+'SK Series A'!E26</f>
        <v/>
      </c>
      <c r="F26" s="55" t="n"/>
      <c r="G26" s="70">
        <f>+'SK Series A'!G26</f>
        <v/>
      </c>
      <c r="H26" s="55" t="n"/>
      <c r="I26" s="71">
        <f>+'SK Series A'!I26</f>
        <v/>
      </c>
      <c r="J26" s="70">
        <f>+'SK Series A'!J26</f>
        <v/>
      </c>
      <c r="K26" s="55" t="n"/>
      <c r="L26" s="70">
        <f>+'SK Series A'!L26</f>
        <v/>
      </c>
      <c r="M26" s="55" t="n"/>
      <c r="N26" s="71">
        <f>($C$62-15000000)*'SK Series A'!Q26</f>
        <v/>
      </c>
      <c r="O26" s="70">
        <f>ROUND(N26/$O$53,0)</f>
        <v/>
      </c>
      <c r="P26" s="55" t="n"/>
      <c r="Q26" s="55" t="n"/>
      <c r="R26" s="55" t="n"/>
      <c r="S26" s="70">
        <f>C26+E26+G26+J26+L26+O26+Q26</f>
        <v/>
      </c>
      <c r="T26" s="72">
        <f>S26/$S$51</f>
        <v/>
      </c>
      <c r="U26" s="55" t="n"/>
      <c r="V26" s="72">
        <f>IFERROR((E26+J26+O26)/($E$51+$J$51+$O$51),0)</f>
        <v/>
      </c>
    </row>
    <row r="27">
      <c r="A27" s="55" t="n"/>
      <c r="B27" s="69">
        <f>+'SK Series A'!B27</f>
        <v/>
      </c>
      <c r="C27" s="70">
        <f>+'SK Series A'!C27</f>
        <v/>
      </c>
      <c r="D27" s="71">
        <f>+'SK Series A'!D27</f>
        <v/>
      </c>
      <c r="E27" s="70">
        <f>+'SK Series A'!E27</f>
        <v/>
      </c>
      <c r="F27" s="55" t="n"/>
      <c r="G27" s="70">
        <f>+'SK Series A'!G27</f>
        <v/>
      </c>
      <c r="H27" s="55" t="n"/>
      <c r="I27" s="71">
        <f>+'SK Series A'!I27</f>
        <v/>
      </c>
      <c r="J27" s="70">
        <f>+'SK Series A'!J27</f>
        <v/>
      </c>
      <c r="K27" s="55" t="n"/>
      <c r="L27" s="70">
        <f>+'SK Series A'!L27</f>
        <v/>
      </c>
      <c r="M27" s="55" t="n"/>
      <c r="N27" s="71">
        <f>($C$62-15000000)*'SK Series A'!Q27</f>
        <v/>
      </c>
      <c r="O27" s="70">
        <f>ROUND(N27/$O$53,0)</f>
        <v/>
      </c>
      <c r="P27" s="55" t="n"/>
      <c r="Q27" s="55" t="n"/>
      <c r="R27" s="55" t="n"/>
      <c r="S27" s="70">
        <f>C27+E27+G27+J27+L27+O27+Q27</f>
        <v/>
      </c>
      <c r="T27" s="72">
        <f>S27/$S$51</f>
        <v/>
      </c>
      <c r="U27" s="55" t="n"/>
      <c r="V27" s="72">
        <f>IFERROR((E27+J27+O27)/($E$51+$J$51+$O$51),0)</f>
        <v/>
      </c>
    </row>
    <row r="28">
      <c r="A28" s="55" t="n"/>
      <c r="B28" s="69">
        <f>+'SK Series A'!B28</f>
        <v/>
      </c>
      <c r="C28" s="70">
        <f>+'SK Series A'!C28</f>
        <v/>
      </c>
      <c r="D28" s="71">
        <f>+'SK Series A'!D28</f>
        <v/>
      </c>
      <c r="E28" s="70">
        <f>+'SK Series A'!E28</f>
        <v/>
      </c>
      <c r="F28" s="55" t="n"/>
      <c r="G28" s="70">
        <f>+'SK Series A'!G28</f>
        <v/>
      </c>
      <c r="H28" s="55" t="n"/>
      <c r="I28" s="71">
        <f>+'SK Series A'!I28</f>
        <v/>
      </c>
      <c r="J28" s="70">
        <f>+'SK Series A'!J28</f>
        <v/>
      </c>
      <c r="K28" s="55" t="n"/>
      <c r="L28" s="70">
        <f>+'SK Series A'!L28</f>
        <v/>
      </c>
      <c r="M28" s="55" t="n"/>
      <c r="N28" s="71">
        <f>($C$62-15000000)*'SK Series A'!Q28</f>
        <v/>
      </c>
      <c r="O28" s="70">
        <f>ROUND(N28/$O$53,0)</f>
        <v/>
      </c>
      <c r="P28" s="55" t="n"/>
      <c r="Q28" s="55" t="n"/>
      <c r="R28" s="55" t="n"/>
      <c r="S28" s="70">
        <f>C28+E28+G28+J28+L28+O28+Q28</f>
        <v/>
      </c>
      <c r="T28" s="72">
        <f>S28/$S$51</f>
        <v/>
      </c>
      <c r="U28" s="55" t="n"/>
      <c r="V28" s="72">
        <f>IFERROR((E28+J28+O28)/($E$51+$J$51+$O$51),0)</f>
        <v/>
      </c>
    </row>
    <row r="29">
      <c r="A29" s="55" t="n"/>
      <c r="B29" s="69">
        <f>+'SK Series A'!B29</f>
        <v/>
      </c>
      <c r="C29" s="70">
        <f>+'SK Series A'!C29</f>
        <v/>
      </c>
      <c r="D29" s="71">
        <f>+'SK Series A'!D29</f>
        <v/>
      </c>
      <c r="E29" s="70">
        <f>+'SK Series A'!E29</f>
        <v/>
      </c>
      <c r="F29" s="55" t="n"/>
      <c r="G29" s="70">
        <f>+'SK Series A'!G29</f>
        <v/>
      </c>
      <c r="H29" s="55" t="n"/>
      <c r="I29" s="71">
        <f>+'SK Series A'!I29</f>
        <v/>
      </c>
      <c r="J29" s="70">
        <f>+'SK Series A'!J29</f>
        <v/>
      </c>
      <c r="K29" s="55" t="n"/>
      <c r="L29" s="70">
        <f>+'SK Series A'!L29</f>
        <v/>
      </c>
      <c r="M29" s="55" t="n"/>
      <c r="N29" s="71">
        <f>($C$62-15000000)*'SK Series A'!Q29</f>
        <v/>
      </c>
      <c r="O29" s="70">
        <f>ROUND(N29/$O$53,0)</f>
        <v/>
      </c>
      <c r="P29" s="55" t="n"/>
      <c r="Q29" s="55" t="n"/>
      <c r="R29" s="55" t="n"/>
      <c r="S29" s="70">
        <f>C29+E29+G29+J29+L29+O29+Q29</f>
        <v/>
      </c>
      <c r="T29" s="72">
        <f>S29/$S$51</f>
        <v/>
      </c>
      <c r="U29" s="55" t="n"/>
      <c r="V29" s="72">
        <f>IFERROR((E29+J29+O29)/($E$51+$J$51+$O$51),0)</f>
        <v/>
      </c>
    </row>
    <row r="30">
      <c r="A30" s="55" t="n"/>
      <c r="B30" s="69">
        <f>+'SK Series A'!B30</f>
        <v/>
      </c>
      <c r="C30" s="70">
        <f>+'SK Series A'!C30</f>
        <v/>
      </c>
      <c r="D30" s="71">
        <f>+'SK Series A'!D30</f>
        <v/>
      </c>
      <c r="E30" s="70">
        <f>+'SK Series A'!E30</f>
        <v/>
      </c>
      <c r="F30" s="55" t="n"/>
      <c r="G30" s="70">
        <f>+'SK Series A'!G30</f>
        <v/>
      </c>
      <c r="H30" s="55" t="n"/>
      <c r="I30" s="71">
        <f>+'SK Series A'!I30</f>
        <v/>
      </c>
      <c r="J30" s="70">
        <f>+'SK Series A'!J30</f>
        <v/>
      </c>
      <c r="K30" s="55" t="n"/>
      <c r="L30" s="70">
        <f>+'SK Series A'!L30</f>
        <v/>
      </c>
      <c r="M30" s="55" t="n"/>
      <c r="N30" s="71">
        <f>($C$62-15000000)*'SK Series A'!Q30</f>
        <v/>
      </c>
      <c r="O30" s="70">
        <f>ROUND(N30/$O$53,0)</f>
        <v/>
      </c>
      <c r="P30" s="55" t="n"/>
      <c r="Q30" s="55" t="n"/>
      <c r="R30" s="55" t="n"/>
      <c r="S30" s="70">
        <f>C30+E30+G30+J30+L30+O30+Q30</f>
        <v/>
      </c>
      <c r="T30" s="72">
        <f>S30/$S$51</f>
        <v/>
      </c>
      <c r="U30" s="55" t="n"/>
      <c r="V30" s="72">
        <f>IFERROR((E30+J30+O30)/($E$51+$J$51+$O$51),0)</f>
        <v/>
      </c>
    </row>
    <row r="31">
      <c r="A31" s="55" t="n"/>
      <c r="B31" s="69">
        <f>+'SK Series A'!B31</f>
        <v/>
      </c>
      <c r="C31" s="70">
        <f>+'SK Series A'!C31</f>
        <v/>
      </c>
      <c r="D31" s="71">
        <f>+'SK Series A'!D31</f>
        <v/>
      </c>
      <c r="E31" s="70">
        <f>+'SK Series A'!E31</f>
        <v/>
      </c>
      <c r="F31" s="55" t="n"/>
      <c r="G31" s="70">
        <f>+'SK Series A'!G31</f>
        <v/>
      </c>
      <c r="H31" s="55" t="n"/>
      <c r="I31" s="71">
        <f>+'SK Series A'!I31</f>
        <v/>
      </c>
      <c r="J31" s="70">
        <f>+'SK Series A'!J31</f>
        <v/>
      </c>
      <c r="K31" s="55" t="n"/>
      <c r="L31" s="70">
        <f>+'SK Series A'!L31</f>
        <v/>
      </c>
      <c r="M31" s="55" t="n"/>
      <c r="N31" s="71">
        <f>($C$62-15000000)*'SK Series A'!Q31</f>
        <v/>
      </c>
      <c r="O31" s="70">
        <f>ROUND(N31/$O$53,0)</f>
        <v/>
      </c>
      <c r="P31" s="55" t="n"/>
      <c r="Q31" s="55" t="n"/>
      <c r="R31" s="55" t="n"/>
      <c r="S31" s="70">
        <f>C31+E31+G31+J31+L31+O31+Q31</f>
        <v/>
      </c>
      <c r="T31" s="72">
        <f>S31/$S$51</f>
        <v/>
      </c>
      <c r="U31" s="55" t="n"/>
      <c r="V31" s="72">
        <f>IFERROR((E31+J31+O31)/($E$51+$J$51+$O$51),0)</f>
        <v/>
      </c>
    </row>
    <row r="32">
      <c r="A32" s="55" t="n"/>
      <c r="B32" s="69">
        <f>+'SK Series A'!B32</f>
        <v/>
      </c>
      <c r="C32" s="70">
        <f>+'SK Series A'!C32</f>
        <v/>
      </c>
      <c r="D32" s="71">
        <f>+'SK Series A'!D32</f>
        <v/>
      </c>
      <c r="E32" s="70">
        <f>+'SK Series A'!E32</f>
        <v/>
      </c>
      <c r="F32" s="55" t="n"/>
      <c r="G32" s="70">
        <f>+'SK Series A'!G32</f>
        <v/>
      </c>
      <c r="H32" s="55" t="n"/>
      <c r="I32" s="71">
        <f>+'SK Series A'!I32</f>
        <v/>
      </c>
      <c r="J32" s="70">
        <f>+'SK Series A'!J32</f>
        <v/>
      </c>
      <c r="K32" s="55" t="n"/>
      <c r="L32" s="70">
        <f>+'SK Series A'!L32</f>
        <v/>
      </c>
      <c r="M32" s="55" t="n"/>
      <c r="N32" s="71">
        <f>($C$62-15000000)*'SK Series A'!Q32</f>
        <v/>
      </c>
      <c r="O32" s="70">
        <f>ROUND(N32/$O$53,0)</f>
        <v/>
      </c>
      <c r="P32" s="55" t="n"/>
      <c r="Q32" s="55" t="n"/>
      <c r="R32" s="55" t="n"/>
      <c r="S32" s="70">
        <f>C32+E32+G32+J32+L32+O32+Q32</f>
        <v/>
      </c>
      <c r="T32" s="72">
        <f>S32/$S$51</f>
        <v/>
      </c>
      <c r="U32" s="55" t="n"/>
      <c r="V32" s="72">
        <f>IFERROR((E32+J32+O32)/($E$51+$J$51+$O$51),0)</f>
        <v/>
      </c>
    </row>
    <row r="33">
      <c r="A33" s="55" t="n"/>
      <c r="B33" s="69">
        <f>+'SK Series A'!B33</f>
        <v/>
      </c>
      <c r="C33" s="70">
        <f>+'SK Series A'!C33</f>
        <v/>
      </c>
      <c r="D33" s="71">
        <f>+'SK Series A'!D33</f>
        <v/>
      </c>
      <c r="E33" s="70">
        <f>+'SK Series A'!E33</f>
        <v/>
      </c>
      <c r="F33" s="55" t="n"/>
      <c r="G33" s="70">
        <f>+'SK Series A'!G33</f>
        <v/>
      </c>
      <c r="H33" s="55" t="n"/>
      <c r="I33" s="71">
        <f>+'SK Series A'!I33</f>
        <v/>
      </c>
      <c r="J33" s="70">
        <f>+'SK Series A'!J33</f>
        <v/>
      </c>
      <c r="K33" s="55" t="n"/>
      <c r="L33" s="70">
        <f>+'SK Series A'!L33</f>
        <v/>
      </c>
      <c r="M33" s="55" t="n"/>
      <c r="N33" s="71">
        <f>($C$62-15000000)*'SK Series A'!Q33</f>
        <v/>
      </c>
      <c r="O33" s="70">
        <f>ROUND(N33/$O$53,0)</f>
        <v/>
      </c>
      <c r="P33" s="55" t="n"/>
      <c r="Q33" s="55" t="n"/>
      <c r="R33" s="55" t="n"/>
      <c r="S33" s="70">
        <f>C33+E33+G33+J33+L33+O33+Q33</f>
        <v/>
      </c>
      <c r="T33" s="72">
        <f>S33/$S$51</f>
        <v/>
      </c>
      <c r="U33" s="55" t="n"/>
      <c r="V33" s="72">
        <f>IFERROR((E33+J33+O33)/($E$51+$J$51+$O$51),0)</f>
        <v/>
      </c>
    </row>
    <row r="34">
      <c r="A34" s="55" t="n"/>
      <c r="B34" s="69">
        <f>+'SK Series A'!B34</f>
        <v/>
      </c>
      <c r="C34" s="70">
        <f>+'SK Series A'!C34</f>
        <v/>
      </c>
      <c r="D34" s="71">
        <f>+'SK Series A'!D34</f>
        <v/>
      </c>
      <c r="E34" s="70">
        <f>+'SK Series A'!E34</f>
        <v/>
      </c>
      <c r="F34" s="55" t="n"/>
      <c r="G34" s="70">
        <f>+'SK Series A'!G34</f>
        <v/>
      </c>
      <c r="H34" s="55" t="n"/>
      <c r="I34" s="71">
        <f>+'SK Series A'!I34</f>
        <v/>
      </c>
      <c r="J34" s="70">
        <f>+'SK Series A'!J34</f>
        <v/>
      </c>
      <c r="K34" s="55" t="n"/>
      <c r="L34" s="70">
        <f>+'SK Series A'!L34</f>
        <v/>
      </c>
      <c r="M34" s="55" t="n"/>
      <c r="N34" s="71">
        <f>($C$62-15000000)*'SK Series A'!Q34</f>
        <v/>
      </c>
      <c r="O34" s="70">
        <f>ROUND(N34/$O$53,0)</f>
        <v/>
      </c>
      <c r="P34" s="55" t="n"/>
      <c r="Q34" s="55" t="n"/>
      <c r="R34" s="55" t="n"/>
      <c r="S34" s="70">
        <f>C34+E34+G34+J34+L34+O34+Q34</f>
        <v/>
      </c>
      <c r="T34" s="72">
        <f>S34/$S$51</f>
        <v/>
      </c>
      <c r="U34" s="55" t="n"/>
      <c r="V34" s="72">
        <f>IFERROR((E34+J34+O34)/($E$51+$J$51+$O$51),0)</f>
        <v/>
      </c>
    </row>
    <row r="35">
      <c r="A35" s="55" t="n"/>
      <c r="B35" s="69">
        <f>+'SK Series A'!B35</f>
        <v/>
      </c>
      <c r="C35" s="70">
        <f>+'SK Series A'!C35</f>
        <v/>
      </c>
      <c r="D35" s="71">
        <f>+'SK Series A'!D35</f>
        <v/>
      </c>
      <c r="E35" s="70">
        <f>+'SK Series A'!E35</f>
        <v/>
      </c>
      <c r="F35" s="55" t="n"/>
      <c r="G35" s="70">
        <f>+'SK Series A'!G35</f>
        <v/>
      </c>
      <c r="H35" s="55" t="n"/>
      <c r="I35" s="71">
        <f>+'SK Series A'!I35</f>
        <v/>
      </c>
      <c r="J35" s="70">
        <f>+'SK Series A'!J35</f>
        <v/>
      </c>
      <c r="K35" s="55" t="n"/>
      <c r="L35" s="70">
        <f>+'SK Series A'!L35</f>
        <v/>
      </c>
      <c r="M35" s="55" t="n"/>
      <c r="N35" s="71">
        <f>($C$62-15000000)*'SK Series A'!Q35</f>
        <v/>
      </c>
      <c r="O35" s="70">
        <f>ROUND(N35/$O$53,0)</f>
        <v/>
      </c>
      <c r="P35" s="55" t="n"/>
      <c r="Q35" s="55" t="n"/>
      <c r="R35" s="55" t="n"/>
      <c r="S35" s="70">
        <f>C35+E35+G35+J35+L35+O35+Q35</f>
        <v/>
      </c>
      <c r="T35" s="72">
        <f>S35/$S$51</f>
        <v/>
      </c>
      <c r="U35" s="55" t="n"/>
      <c r="V35" s="72">
        <f>IFERROR((E35+J35+O35)/($E$51+$J$51+$O$51),0)</f>
        <v/>
      </c>
    </row>
    <row r="36">
      <c r="A36" s="55" t="n"/>
      <c r="B36" s="69">
        <f>+'SK Series A'!B36</f>
        <v/>
      </c>
      <c r="C36" s="70">
        <f>+'SK Series A'!C36</f>
        <v/>
      </c>
      <c r="D36" s="71">
        <f>+'SK Series A'!D36</f>
        <v/>
      </c>
      <c r="E36" s="70">
        <f>+'SK Series A'!E36</f>
        <v/>
      </c>
      <c r="F36" s="55" t="n"/>
      <c r="G36" s="70">
        <f>+'SK Series A'!G36</f>
        <v/>
      </c>
      <c r="H36" s="55" t="n"/>
      <c r="I36" s="71">
        <f>+'SK Series A'!I36</f>
        <v/>
      </c>
      <c r="J36" s="70">
        <f>+'SK Series A'!J36</f>
        <v/>
      </c>
      <c r="K36" s="55" t="n"/>
      <c r="L36" s="70">
        <f>+'SK Series A'!L36</f>
        <v/>
      </c>
      <c r="M36" s="55" t="n"/>
      <c r="N36" s="71">
        <f>($C$62-15000000)*'SK Series A'!Q36</f>
        <v/>
      </c>
      <c r="O36" s="70">
        <f>ROUND(N36/$O$53,0)</f>
        <v/>
      </c>
      <c r="P36" s="55" t="n"/>
      <c r="Q36" s="55" t="n"/>
      <c r="R36" s="55" t="n"/>
      <c r="S36" s="70">
        <f>C36+E36+G36+J36+L36+O36+Q36</f>
        <v/>
      </c>
      <c r="T36" s="72">
        <f>S36/$S$51</f>
        <v/>
      </c>
      <c r="U36" s="55" t="n"/>
      <c r="V36" s="72">
        <f>IFERROR((E36+J36+O36)/($E$51+$J$51+$O$51),0)</f>
        <v/>
      </c>
    </row>
    <row r="37">
      <c r="A37" s="55" t="n"/>
      <c r="B37" s="69">
        <f>+'SK Series A'!B37</f>
        <v/>
      </c>
      <c r="C37" s="70">
        <f>+'SK Series A'!C37</f>
        <v/>
      </c>
      <c r="D37" s="71">
        <f>+'SK Series A'!D37</f>
        <v/>
      </c>
      <c r="E37" s="70">
        <f>+'SK Series A'!E37</f>
        <v/>
      </c>
      <c r="F37" s="55" t="n"/>
      <c r="G37" s="70">
        <f>+'SK Series A'!G37</f>
        <v/>
      </c>
      <c r="H37" s="55" t="n"/>
      <c r="I37" s="71">
        <f>+'SK Series A'!I37</f>
        <v/>
      </c>
      <c r="J37" s="70">
        <f>+'SK Series A'!J37</f>
        <v/>
      </c>
      <c r="K37" s="55" t="n"/>
      <c r="L37" s="70">
        <f>+'SK Series A'!L37</f>
        <v/>
      </c>
      <c r="M37" s="55" t="n"/>
      <c r="N37" s="71">
        <f>($C$62-15000000)*'SK Series A'!Q37</f>
        <v/>
      </c>
      <c r="O37" s="70">
        <f>ROUND(N37/$O$53,0)</f>
        <v/>
      </c>
      <c r="P37" s="55" t="n"/>
      <c r="Q37" s="55" t="n"/>
      <c r="R37" s="55" t="n"/>
      <c r="S37" s="70">
        <f>C37+E37+G37+J37+L37+O37+Q37</f>
        <v/>
      </c>
      <c r="T37" s="72">
        <f>S37/$S$51</f>
        <v/>
      </c>
      <c r="U37" s="55" t="n"/>
      <c r="V37" s="72">
        <f>IFERROR((E37+J37+O37)/($E$51+$J$51+$O$51),0)</f>
        <v/>
      </c>
    </row>
    <row r="38">
      <c r="A38" s="55" t="n"/>
      <c r="B38" s="69">
        <f>+'SK Series A'!B38</f>
        <v/>
      </c>
      <c r="C38" s="70">
        <f>+'SK Series A'!C38</f>
        <v/>
      </c>
      <c r="D38" s="71">
        <f>+'SK Series A'!D38</f>
        <v/>
      </c>
      <c r="E38" s="70">
        <f>+'SK Series A'!E38</f>
        <v/>
      </c>
      <c r="F38" s="55" t="n"/>
      <c r="G38" s="70">
        <f>+'SK Series A'!G38</f>
        <v/>
      </c>
      <c r="H38" s="55" t="n"/>
      <c r="I38" s="71">
        <f>+'SK Series A'!I38</f>
        <v/>
      </c>
      <c r="J38" s="70">
        <f>+'SK Series A'!J38</f>
        <v/>
      </c>
      <c r="K38" s="55" t="n"/>
      <c r="L38" s="70">
        <f>+'SK Series A'!L38</f>
        <v/>
      </c>
      <c r="M38" s="55" t="n"/>
      <c r="N38" s="71">
        <f>($C$62-15000000)*'SK Series A'!Q38</f>
        <v/>
      </c>
      <c r="O38" s="70">
        <f>ROUND(N38/$O$53,0)</f>
        <v/>
      </c>
      <c r="P38" s="55" t="n"/>
      <c r="Q38" s="55" t="n"/>
      <c r="R38" s="55" t="n"/>
      <c r="S38" s="70">
        <f>C38+E38+G38+J38+L38+O38+Q38</f>
        <v/>
      </c>
      <c r="T38" s="72">
        <f>S38/$S$51</f>
        <v/>
      </c>
      <c r="U38" s="55" t="n"/>
      <c r="V38" s="72">
        <f>IFERROR((E38+J38+O38)/($E$51+$J$51+$O$51),0)</f>
        <v/>
      </c>
    </row>
    <row r="39">
      <c r="A39" s="55" t="n"/>
      <c r="B39" s="69">
        <f>+'SK Series A'!B39</f>
        <v/>
      </c>
      <c r="C39" s="70">
        <f>+'SK Series A'!C39</f>
        <v/>
      </c>
      <c r="D39" s="71">
        <f>+'SK Series A'!D39</f>
        <v/>
      </c>
      <c r="E39" s="70">
        <f>+'SK Series A'!E39</f>
        <v/>
      </c>
      <c r="F39" s="55" t="n"/>
      <c r="G39" s="70">
        <f>+'SK Series A'!G39</f>
        <v/>
      </c>
      <c r="H39" s="55" t="n"/>
      <c r="I39" s="71">
        <f>+'SK Series A'!I39</f>
        <v/>
      </c>
      <c r="J39" s="70">
        <f>+'SK Series A'!J39</f>
        <v/>
      </c>
      <c r="K39" s="55" t="n"/>
      <c r="L39" s="70">
        <f>+'SK Series A'!L39</f>
        <v/>
      </c>
      <c r="M39" s="55" t="n"/>
      <c r="N39" s="71">
        <f>($C$62-15000000)*'SK Series A'!Q39</f>
        <v/>
      </c>
      <c r="O39" s="70">
        <f>ROUND(N39/$O$53,0)</f>
        <v/>
      </c>
      <c r="P39" s="55" t="n"/>
      <c r="Q39" s="55" t="n"/>
      <c r="R39" s="55" t="n"/>
      <c r="S39" s="70">
        <f>C39+E39+G39+J39+L39+O39+Q39</f>
        <v/>
      </c>
      <c r="T39" s="72">
        <f>S39/$S$51</f>
        <v/>
      </c>
      <c r="U39" s="55" t="n"/>
      <c r="V39" s="72">
        <f>IFERROR((E39+J39+O39)/($E$51+$J$51+$O$51),0)</f>
        <v/>
      </c>
    </row>
    <row r="40">
      <c r="A40" s="55" t="n"/>
      <c r="B40" s="69">
        <f>+'SK Series A'!B40</f>
        <v/>
      </c>
      <c r="C40" s="70">
        <f>+'SK Series A'!C40</f>
        <v/>
      </c>
      <c r="D40" s="71">
        <f>+'SK Series A'!D40</f>
        <v/>
      </c>
      <c r="E40" s="70">
        <f>+'SK Series A'!E40</f>
        <v/>
      </c>
      <c r="F40" s="55" t="n"/>
      <c r="G40" s="70">
        <f>+'SK Series A'!G40</f>
        <v/>
      </c>
      <c r="H40" s="55" t="n"/>
      <c r="I40" s="71">
        <f>+'SK Series A'!I40</f>
        <v/>
      </c>
      <c r="J40" s="70">
        <f>+'SK Series A'!J40</f>
        <v/>
      </c>
      <c r="K40" s="55" t="n"/>
      <c r="L40" s="70">
        <f>+'SK Series A'!L40</f>
        <v/>
      </c>
      <c r="M40" s="55" t="n"/>
      <c r="N40" s="71">
        <f>($C$62-15000000)*'SK Series A'!Q40</f>
        <v/>
      </c>
      <c r="O40" s="70">
        <f>ROUND(N40/$O$53,0)</f>
        <v/>
      </c>
      <c r="P40" s="55" t="n"/>
      <c r="Q40" s="55" t="n"/>
      <c r="R40" s="55" t="n"/>
      <c r="S40" s="70">
        <f>C40+E40+G40+J40+L40+O40+Q40</f>
        <v/>
      </c>
      <c r="T40" s="72">
        <f>S40/$S$51</f>
        <v/>
      </c>
      <c r="U40" s="55" t="n"/>
      <c r="V40" s="72">
        <f>IFERROR((E40+J40+O40)/($E$51+$J$51+$O$51),0)</f>
        <v/>
      </c>
    </row>
    <row r="41">
      <c r="A41" s="55" t="n"/>
      <c r="B41" s="69">
        <f>+'SK Series A'!B41</f>
        <v/>
      </c>
      <c r="C41" s="70">
        <f>+'SK Series A'!C41</f>
        <v/>
      </c>
      <c r="D41" s="71">
        <f>+'SK Series A'!D41</f>
        <v/>
      </c>
      <c r="E41" s="70">
        <f>+'SK Series A'!E41</f>
        <v/>
      </c>
      <c r="F41" s="55" t="n"/>
      <c r="G41" s="70">
        <f>+'SK Series A'!G41</f>
        <v/>
      </c>
      <c r="H41" s="55" t="n"/>
      <c r="I41" s="71">
        <f>+'SK Series A'!I41</f>
        <v/>
      </c>
      <c r="J41" s="70">
        <f>+'SK Series A'!J41</f>
        <v/>
      </c>
      <c r="K41" s="55" t="n"/>
      <c r="L41" s="70">
        <f>+'SK Series A'!L41</f>
        <v/>
      </c>
      <c r="M41" s="55" t="n"/>
      <c r="N41" s="71">
        <f>($C$62-15000000)*'SK Series A'!Q41</f>
        <v/>
      </c>
      <c r="O41" s="70">
        <f>ROUND(N41/$O$53,0)</f>
        <v/>
      </c>
      <c r="P41" s="55" t="n"/>
      <c r="Q41" s="55" t="n"/>
      <c r="R41" s="55" t="n"/>
      <c r="S41" s="70">
        <f>C41+E41+G41+J41+L41+O41+Q41</f>
        <v/>
      </c>
      <c r="T41" s="72">
        <f>S41/$S$51</f>
        <v/>
      </c>
      <c r="U41" s="55" t="n"/>
      <c r="V41" s="72">
        <f>IFERROR((E41+J41+O41)/($E$51+$J$51+$O$51),0)</f>
        <v/>
      </c>
    </row>
    <row r="42">
      <c r="A42" s="55" t="n"/>
      <c r="B42" s="69">
        <f>+'SK Series A'!B42</f>
        <v/>
      </c>
      <c r="C42" s="70">
        <f>+'SK Series A'!C42</f>
        <v/>
      </c>
      <c r="D42" s="71">
        <f>+'SK Series A'!D42</f>
        <v/>
      </c>
      <c r="E42" s="70">
        <f>+'SK Series A'!E42</f>
        <v/>
      </c>
      <c r="F42" s="55" t="n"/>
      <c r="G42" s="70">
        <f>+'SK Series A'!G42</f>
        <v/>
      </c>
      <c r="H42" s="55" t="n"/>
      <c r="I42" s="71">
        <f>+'SK Series A'!I42</f>
        <v/>
      </c>
      <c r="J42" s="70">
        <f>+'SK Series A'!J42</f>
        <v/>
      </c>
      <c r="K42" s="55" t="n"/>
      <c r="L42" s="70">
        <f>+'SK Series A'!L42</f>
        <v/>
      </c>
      <c r="M42" s="55" t="n"/>
      <c r="N42" s="71">
        <f>($C$62-15000000)*'SK Series A'!Q42</f>
        <v/>
      </c>
      <c r="O42" s="70">
        <f>ROUND(N42/$O$53,0)</f>
        <v/>
      </c>
      <c r="P42" s="55" t="n"/>
      <c r="Q42" s="55" t="n"/>
      <c r="R42" s="55" t="n"/>
      <c r="S42" s="70">
        <f>C42+E42+G42+J42+L42+O42+Q42</f>
        <v/>
      </c>
      <c r="T42" s="72">
        <f>S42/$S$51</f>
        <v/>
      </c>
      <c r="U42" s="55" t="n"/>
      <c r="V42" s="72">
        <f>IFERROR((E42+J42+O42)/($E$51+$J$51+$O$51),0)</f>
        <v/>
      </c>
    </row>
    <row r="43">
      <c r="A43" s="55" t="n"/>
      <c r="B43" s="69">
        <f>+'SK Series A'!B43</f>
        <v/>
      </c>
      <c r="C43" s="70">
        <f>+'SK Series A'!C43</f>
        <v/>
      </c>
      <c r="D43" s="71">
        <f>+'SK Series A'!D43</f>
        <v/>
      </c>
      <c r="E43" s="70">
        <f>+'SK Series A'!E43</f>
        <v/>
      </c>
      <c r="F43" s="55" t="n"/>
      <c r="G43" s="70">
        <f>+'SK Series A'!G43</f>
        <v/>
      </c>
      <c r="H43" s="55" t="n"/>
      <c r="I43" s="71">
        <f>+'SK Series A'!I43</f>
        <v/>
      </c>
      <c r="J43" s="70">
        <f>+'SK Series A'!J43</f>
        <v/>
      </c>
      <c r="K43" s="55" t="n"/>
      <c r="L43" s="70">
        <f>+'SK Series A'!L43</f>
        <v/>
      </c>
      <c r="M43" s="55" t="n"/>
      <c r="N43" s="71">
        <f>($C$62-15000000)*'SK Series A'!Q43</f>
        <v/>
      </c>
      <c r="O43" s="70">
        <f>ROUND(N43/$O$53,0)</f>
        <v/>
      </c>
      <c r="P43" s="55" t="n"/>
      <c r="Q43" s="55" t="n"/>
      <c r="R43" s="55" t="n"/>
      <c r="S43" s="70">
        <f>C43+E43+G43+J43+L43+O43+Q43</f>
        <v/>
      </c>
      <c r="T43" s="72">
        <f>S43/$S$51</f>
        <v/>
      </c>
      <c r="U43" s="55" t="n"/>
      <c r="V43" s="72">
        <f>IFERROR((E43+J43+O43)/($E$51+$J$51+$O$51),0)</f>
        <v/>
      </c>
    </row>
    <row r="44">
      <c r="A44" s="55" t="n"/>
      <c r="B44" s="69">
        <f>+'SK Series A'!B44</f>
        <v/>
      </c>
      <c r="C44" s="70">
        <f>+'SK Series A'!C44</f>
        <v/>
      </c>
      <c r="D44" s="71">
        <f>+'SK Series A'!D44</f>
        <v/>
      </c>
      <c r="E44" s="70">
        <f>+'SK Series A'!E44</f>
        <v/>
      </c>
      <c r="F44" s="55" t="n"/>
      <c r="G44" s="70">
        <f>+'SK Series A'!G44</f>
        <v/>
      </c>
      <c r="H44" s="55" t="n"/>
      <c r="I44" s="71">
        <f>+'SK Series A'!I44</f>
        <v/>
      </c>
      <c r="J44" s="70">
        <f>+'SK Series A'!J44</f>
        <v/>
      </c>
      <c r="K44" s="55" t="n"/>
      <c r="L44" s="70">
        <f>+'SK Series A'!L44</f>
        <v/>
      </c>
      <c r="M44" s="55" t="n"/>
      <c r="N44" s="71">
        <f>($C$62-15000000)*'SK Series A'!Q44</f>
        <v/>
      </c>
      <c r="O44" s="70">
        <f>ROUND(N44/$O$53,0)</f>
        <v/>
      </c>
      <c r="P44" s="55" t="n"/>
      <c r="Q44" s="55" t="n"/>
      <c r="R44" s="55" t="n"/>
      <c r="S44" s="70">
        <f>C44+E44+G44+J44+L44+O44+Q44</f>
        <v/>
      </c>
      <c r="T44" s="72">
        <f>S44/$S$51</f>
        <v/>
      </c>
      <c r="U44" s="55" t="n"/>
      <c r="V44" s="72">
        <f>IFERROR((E44+J44+O44)/($E$51+$J$51+$O$51),0)</f>
        <v/>
      </c>
    </row>
    <row r="45">
      <c r="A45" s="55" t="n"/>
      <c r="B45" s="69">
        <f>+'SK Series A'!B45</f>
        <v/>
      </c>
      <c r="C45" s="70">
        <f>+'SK Series A'!C45</f>
        <v/>
      </c>
      <c r="D45" s="71">
        <f>+'SK Series A'!D45</f>
        <v/>
      </c>
      <c r="E45" s="70">
        <f>+'SK Series A'!E45</f>
        <v/>
      </c>
      <c r="F45" s="55" t="n"/>
      <c r="G45" s="70">
        <f>+'SK Series A'!G45</f>
        <v/>
      </c>
      <c r="H45" s="55" t="n"/>
      <c r="I45" s="71">
        <f>+'SK Series A'!I45</f>
        <v/>
      </c>
      <c r="J45" s="70">
        <f>+'SK Series A'!J45</f>
        <v/>
      </c>
      <c r="K45" s="55" t="n"/>
      <c r="L45" s="70">
        <f>+'SK Series A'!L45</f>
        <v/>
      </c>
      <c r="M45" s="55" t="n"/>
      <c r="N45" s="71">
        <f>($C$62-15000000)*'SK Series A'!Q45</f>
        <v/>
      </c>
      <c r="O45" s="70">
        <f>ROUND(N45/$O$53,0)</f>
        <v/>
      </c>
      <c r="P45" s="55" t="n"/>
      <c r="Q45" s="55" t="n"/>
      <c r="R45" s="55" t="n"/>
      <c r="S45" s="70">
        <f>C45+E45+G45+J45+L45+O45+Q45</f>
        <v/>
      </c>
      <c r="T45" s="72">
        <f>S45/$S$51</f>
        <v/>
      </c>
      <c r="U45" s="55" t="n"/>
      <c r="V45" s="72">
        <f>IFERROR((E45+J45+O45)/($E$51+$J$51+$O$51),0)</f>
        <v/>
      </c>
    </row>
    <row r="46">
      <c r="A46" s="55" t="n"/>
      <c r="B46" s="69">
        <f>+'SK Series A'!B46</f>
        <v/>
      </c>
      <c r="C46" s="70">
        <f>+'SK Series A'!C46</f>
        <v/>
      </c>
      <c r="D46" s="71">
        <f>+'SK Series A'!D46</f>
        <v/>
      </c>
      <c r="E46" s="70">
        <f>+'SK Series A'!E46</f>
        <v/>
      </c>
      <c r="F46" s="55" t="n"/>
      <c r="G46" s="70">
        <f>+'SK Series A'!G46</f>
        <v/>
      </c>
      <c r="H46" s="55" t="n"/>
      <c r="I46" s="71">
        <f>+'SK Series A'!I46</f>
        <v/>
      </c>
      <c r="J46" s="70">
        <f>+'SK Series A'!J46</f>
        <v/>
      </c>
      <c r="K46" s="69">
        <f>+'SK Series A'!K46</f>
        <v/>
      </c>
      <c r="L46" s="87">
        <f>+'SK Series A'!L46</f>
        <v/>
      </c>
      <c r="M46" s="55" t="n"/>
      <c r="N46" s="71">
        <f>($C$62-15000000)*'SK Series A'!Q46</f>
        <v/>
      </c>
      <c r="O46" s="70">
        <f>ROUND(N46/$O$53,0)</f>
        <v/>
      </c>
      <c r="P46" s="55" t="n"/>
      <c r="Q46" s="55" t="n"/>
      <c r="R46" s="55" t="n"/>
      <c r="S46" s="70">
        <f>C46+E46+G46+J46+L46+O46+Q46</f>
        <v/>
      </c>
      <c r="T46" s="72">
        <f>S46/$S$51</f>
        <v/>
      </c>
      <c r="U46" s="55" t="n"/>
      <c r="V46" s="72">
        <f>IFERROR((E46+J46+O46)/($E$51+$J$51+$O$51),0)</f>
        <v/>
      </c>
    </row>
    <row r="47">
      <c r="A47" s="55" t="n"/>
      <c r="B47" s="69">
        <f>+'SK Series A'!B47</f>
        <v/>
      </c>
      <c r="C47" s="70">
        <f>+'SK Series A'!C47</f>
        <v/>
      </c>
      <c r="D47" s="71">
        <f>+'SK Series A'!D47</f>
        <v/>
      </c>
      <c r="E47" s="70">
        <f>+'SK Series A'!E47</f>
        <v/>
      </c>
      <c r="F47" s="55" t="n"/>
      <c r="G47" s="70">
        <f>+'SK Series A'!G47</f>
        <v/>
      </c>
      <c r="H47" s="55" t="n"/>
      <c r="I47" s="71">
        <f>+'SK Series A'!I47</f>
        <v/>
      </c>
      <c r="J47" s="70">
        <f>+'SK Series A'!J47</f>
        <v/>
      </c>
      <c r="K47" s="69">
        <f>+'SK Series A'!K47</f>
        <v/>
      </c>
      <c r="L47" s="87">
        <f>+'SK Series A'!L47</f>
        <v/>
      </c>
      <c r="M47" s="55" t="n"/>
      <c r="N47" s="71">
        <f>($C$62-15000000)*'SK Series A'!Q47</f>
        <v/>
      </c>
      <c r="O47" s="70">
        <f>ROUND(N47/$O$53,0)</f>
        <v/>
      </c>
      <c r="P47" s="55" t="n"/>
      <c r="Q47" s="55" t="n"/>
      <c r="R47" s="55" t="n"/>
      <c r="S47" s="70">
        <f>C47+E47+G47+J47+L47+O47+Q47</f>
        <v/>
      </c>
      <c r="T47" s="72">
        <f>S47/$S$51</f>
        <v/>
      </c>
      <c r="U47" s="55" t="n"/>
      <c r="V47" s="72">
        <f>IFERROR((E47+J47+O47)/($E$51+$J$51+$O$51),0)</f>
        <v/>
      </c>
    </row>
    <row r="48">
      <c r="A48" s="55" t="n"/>
      <c r="B48" s="69">
        <f>+'SK Series A'!B48</f>
        <v/>
      </c>
      <c r="C48" s="70">
        <f>+'SK Series A'!C48</f>
        <v/>
      </c>
      <c r="D48" s="71">
        <f>+'SK Series A'!D48</f>
        <v/>
      </c>
      <c r="E48" s="70">
        <f>+'SK Series A'!E48</f>
        <v/>
      </c>
      <c r="F48" s="55" t="n"/>
      <c r="G48" s="70">
        <f>+'SK Series A'!G48</f>
        <v/>
      </c>
      <c r="H48" s="55" t="n"/>
      <c r="I48" s="71">
        <f>+'SK Series A'!I48</f>
        <v/>
      </c>
      <c r="J48" s="70">
        <f>+'SK Series A'!J48</f>
        <v/>
      </c>
      <c r="K48" s="69">
        <f>+'SK Series A'!K48</f>
        <v/>
      </c>
      <c r="L48" s="87">
        <f>+'SK Series A'!L48</f>
        <v/>
      </c>
      <c r="M48" s="55" t="n"/>
      <c r="N48" s="71">
        <f>($C$62-15000000)*'SK Series A'!Q48</f>
        <v/>
      </c>
      <c r="O48" s="70">
        <f>ROUND(N48/$O$53,0)</f>
        <v/>
      </c>
      <c r="P48" s="55" t="n"/>
      <c r="Q48" s="55" t="n"/>
      <c r="R48" s="55" t="n"/>
      <c r="S48" s="70">
        <f>C48+E48+G48+J48+L48+O48+Q48</f>
        <v/>
      </c>
      <c r="T48" s="72">
        <f>S48/$S$51</f>
        <v/>
      </c>
      <c r="U48" s="55" t="n"/>
      <c r="V48" s="72">
        <f>IFERROR((E48+J48+O48)/($E$51+$J$51+$O$51),0)</f>
        <v/>
      </c>
    </row>
    <row r="49">
      <c r="A49" s="55" t="n"/>
      <c r="B49" s="55" t="inlineStr">
        <is>
          <t>Other Series B Investor</t>
        </is>
      </c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77" t="n">
        <v>15000000</v>
      </c>
      <c r="O49" s="70">
        <f>ROUND(N49/$O$53,0)</f>
        <v/>
      </c>
      <c r="P49" s="55" t="n"/>
      <c r="Q49" s="55" t="n"/>
      <c r="R49" s="55" t="n"/>
      <c r="S49" s="70">
        <f>C49+E49+G49+J49+L49+O49+Q49</f>
        <v/>
      </c>
      <c r="T49" s="72">
        <f>S49/$S$51</f>
        <v/>
      </c>
      <c r="U49" s="55" t="n"/>
      <c r="V49" s="72">
        <f>IFERROR((E49+J49+O49)/($E$51+$J$51+$O$51),0)</f>
        <v/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</row>
    <row r="51">
      <c r="A51" s="55" t="n"/>
      <c r="B51" s="78" t="inlineStr">
        <is>
          <t>Totals</t>
        </is>
      </c>
      <c r="C51" s="79">
        <f>C23+SUM(C26:C49)</f>
        <v/>
      </c>
      <c r="D51" s="80">
        <f>SUM(D8:D49)</f>
        <v/>
      </c>
      <c r="E51" s="79">
        <f>SUM(E8:E49)</f>
        <v/>
      </c>
      <c r="F51" s="55" t="n"/>
      <c r="G51" s="79">
        <f>SUM(G8:G49)</f>
        <v/>
      </c>
      <c r="H51" s="55" t="n"/>
      <c r="I51" s="80">
        <f>SUM(I8:I49)</f>
        <v/>
      </c>
      <c r="J51" s="79">
        <f>SUM(J8:J49)</f>
        <v/>
      </c>
      <c r="K51" s="55" t="n"/>
      <c r="L51" s="79">
        <f>SUM(L8:L49)</f>
        <v/>
      </c>
      <c r="M51" s="55" t="n"/>
      <c r="N51" s="80">
        <f>SUM(N8:N49)</f>
        <v/>
      </c>
      <c r="O51" s="79">
        <f>SUM(O8:O49)</f>
        <v/>
      </c>
      <c r="P51" s="55" t="n"/>
      <c r="Q51" s="79">
        <f>SUM(Q8:Q49)</f>
        <v/>
      </c>
      <c r="R51" s="55" t="n"/>
      <c r="S51" s="79">
        <f>S23+SUM(S26:S49)</f>
        <v/>
      </c>
      <c r="T51" s="81">
        <f>SUM(T8:T49)</f>
        <v/>
      </c>
      <c r="U51" s="55" t="n"/>
      <c r="V51" s="81">
        <f>SUM(V26:V49)</f>
        <v/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</row>
    <row r="53">
      <c r="A53" s="55" t="n"/>
      <c r="B53" s="78" t="inlineStr">
        <is>
          <t>Price per Share</t>
        </is>
      </c>
      <c r="C53" s="55" t="n"/>
      <c r="D53" s="55" t="n"/>
      <c r="E53" s="82">
        <f>+'SK Series A'!E52</f>
        <v/>
      </c>
      <c r="F53" s="55" t="n"/>
      <c r="G53" s="55" t="n"/>
      <c r="H53" s="55" t="n"/>
      <c r="I53" s="55" t="n"/>
      <c r="J53" s="82">
        <f>+'SK Series A'!J52</f>
        <v/>
      </c>
      <c r="K53" s="55" t="n"/>
      <c r="L53" s="55" t="n"/>
      <c r="M53" s="55" t="n"/>
      <c r="N53" s="55" t="n"/>
      <c r="O53" s="82">
        <f>IFERROR(ROUND($O$55/$S$51,4),0)</f>
        <v/>
      </c>
      <c r="P53" s="55" t="n"/>
      <c r="Q53" s="55" t="n"/>
      <c r="R53" s="55" t="n"/>
      <c r="S53" s="55" t="n"/>
      <c r="T53" s="55" t="n"/>
      <c r="U53" s="55" t="n"/>
      <c r="V53" s="55" t="n"/>
    </row>
    <row r="54">
      <c r="A54" s="55" t="n"/>
      <c r="B54" s="55" t="inlineStr">
        <is>
          <t>Pre-Money Valuation</t>
        </is>
      </c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77" t="n">
        <v>150000000</v>
      </c>
      <c r="P54" s="55" t="n"/>
      <c r="Q54" s="55" t="n"/>
      <c r="R54" s="55" t="n"/>
      <c r="S54" s="55" t="n"/>
      <c r="T54" s="55" t="n"/>
      <c r="U54" s="55" t="n"/>
      <c r="V54" s="55" t="n"/>
    </row>
    <row r="55">
      <c r="A55" s="55" t="n"/>
      <c r="B55" s="55" t="inlineStr">
        <is>
          <t>Post-Money Valuation</t>
        </is>
      </c>
      <c r="C55" s="55" t="n"/>
      <c r="D55" s="55" t="n"/>
      <c r="E55" s="83" t="n"/>
      <c r="F55" s="55" t="n"/>
      <c r="G55" s="55" t="n"/>
      <c r="H55" s="55" t="n"/>
      <c r="I55" s="55" t="n"/>
      <c r="J55" s="83" t="n"/>
      <c r="K55" s="55" t="n"/>
      <c r="L55" s="55" t="n"/>
      <c r="M55" s="55" t="n"/>
      <c r="N55" s="55" t="n"/>
      <c r="O55" s="84">
        <f>O54+N51</f>
        <v/>
      </c>
      <c r="P55" s="55" t="n"/>
      <c r="Q55" s="55" t="n"/>
      <c r="R55" s="55" t="n"/>
      <c r="S55" s="55" t="n"/>
      <c r="T55" s="55" t="n"/>
      <c r="U55" s="55" t="n"/>
      <c r="V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</row>
    <row r="57">
      <c r="A57" s="55" t="n"/>
      <c r="B57" s="55" t="inlineStr">
        <is>
          <t>Checks</t>
        </is>
      </c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70">
        <f>$S$51-(C51+E51+G51+J51+L51+O51+Q51)</f>
        <v/>
      </c>
      <c r="T57" s="55" t="n"/>
      <c r="U57" s="55" t="n"/>
      <c r="V57" s="72">
        <f>V51-1</f>
        <v/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</row>
    <row r="61">
      <c r="A61" s="55" t="n"/>
      <c r="B61" s="78" t="inlineStr">
        <is>
          <t>Series B Assumptions</t>
        </is>
      </c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</row>
    <row r="62">
      <c r="A62" s="55" t="n"/>
      <c r="B62" s="55" t="inlineStr">
        <is>
          <t>Round Size</t>
        </is>
      </c>
      <c r="C62" s="77" t="n">
        <v>30000000</v>
      </c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</row>
    <row r="63">
      <c r="A63" s="55" t="n"/>
      <c r="B63" s="55" t="inlineStr">
        <is>
          <t>Total Round Ownership</t>
        </is>
      </c>
      <c r="C63" s="85">
        <f>C62/O55</f>
        <v/>
      </c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</row>
    <row r="64">
      <c r="A64" s="55" t="n"/>
      <c r="B64" s="55" t="inlineStr">
        <is>
          <t>New Series B Ownership Target</t>
        </is>
      </c>
      <c r="C64" s="85">
        <f>15000000/O55</f>
        <v/>
      </c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</row>
    <row r="65">
      <c r="A65" s="55" t="n"/>
      <c r="B65" s="55" t="inlineStr">
        <is>
          <t>Option Pool Target</t>
        </is>
      </c>
      <c r="C65" s="86" t="n">
        <v>0.07000000000000001</v>
      </c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2026-03-28T19:04:03Z</dcterms:created>
  <dcterms:modified xmlns:dcterms="http://purl.org/dc/terms/" xmlns:xsi="http://www.w3.org/2001/XMLSchema-instance" xsi:type="dcterms:W3CDTF">2026-03-28T20:02:30Z</dcterms:modified>
</cp:coreProperties>
</file>