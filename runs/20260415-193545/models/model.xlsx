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4087DF4E-3491-884F-A75D-C0B4AA424365}" xr6:coauthVersionLast="47" xr6:coauthVersionMax="47" xr10:uidLastSave="{00000000-0000-0000-0000-000000000000}"/>
  <bookViews>
    <workbookView xWindow="0" yWindow="760" windowWidth="29400" windowHeight="17160" activeTab="3" xr2:uid="{00000000-000D-0000-FFFF-FFFF00000000}"/>
  </bookViews>
  <sheets>
    <sheet name="__temp__" sheetId="208" r:id="rId1"/>
    <sheet name="Detailed Cap Table" sheetId="209" r:id="rId2"/>
    <sheet name="SAFE Investments" sheetId="210" r:id="rId3"/>
    <sheet name="Series A" sheetId="211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211" l="1"/>
  <c r="H25" i="211"/>
  <c r="H24" i="211" s="1"/>
  <c r="E23" i="211"/>
  <c r="E17" i="211" s="1"/>
  <c r="L17" i="211" s="1"/>
  <c r="G21" i="211"/>
  <c r="D21" i="211"/>
  <c r="C21" i="211"/>
  <c r="D17" i="211"/>
  <c r="E16" i="211"/>
  <c r="D16" i="211"/>
  <c r="H14" i="211"/>
  <c r="E14" i="211"/>
  <c r="C14" i="211"/>
  <c r="C12" i="211"/>
  <c r="L11" i="211"/>
  <c r="C11" i="211"/>
  <c r="L10" i="211"/>
  <c r="C10" i="211"/>
  <c r="L9" i="211"/>
  <c r="C9" i="211"/>
  <c r="L8" i="211"/>
  <c r="C8" i="211"/>
  <c r="C27" i="210"/>
  <c r="G23" i="209"/>
  <c r="F23" i="209"/>
  <c r="E23" i="209"/>
  <c r="D23" i="209"/>
  <c r="C23" i="209"/>
  <c r="H21" i="209"/>
  <c r="H20" i="209"/>
  <c r="H19" i="209"/>
  <c r="H18" i="209"/>
  <c r="H17" i="209"/>
  <c r="H16" i="209"/>
  <c r="H15" i="209"/>
  <c r="H14" i="209"/>
  <c r="H13" i="209"/>
  <c r="H12" i="209"/>
  <c r="H11" i="209"/>
  <c r="H10" i="209"/>
  <c r="H9" i="209"/>
  <c r="H8" i="209"/>
  <c r="H7" i="209"/>
  <c r="H6" i="209"/>
  <c r="H5" i="209"/>
  <c r="H4" i="209"/>
  <c r="G21" i="209"/>
  <c r="G20" i="209"/>
  <c r="G19" i="209"/>
  <c r="G18" i="209"/>
  <c r="G17" i="209"/>
  <c r="G16" i="209"/>
  <c r="G15" i="209"/>
  <c r="G14" i="209"/>
  <c r="G13" i="209"/>
  <c r="G12" i="209"/>
  <c r="G11" i="209"/>
  <c r="G10" i="209"/>
  <c r="G9" i="209"/>
  <c r="G8" i="209"/>
  <c r="G7" i="209"/>
  <c r="G6" i="209"/>
  <c r="G5" i="209"/>
  <c r="G4" i="209"/>
  <c r="E21" i="211" l="1"/>
  <c r="M8" i="211"/>
  <c r="M9" i="211"/>
  <c r="M10" i="211"/>
  <c r="M11" i="211"/>
  <c r="J12" i="211"/>
  <c r="L12" i="211"/>
  <c r="M12" i="211"/>
  <c r="J14" i="211"/>
  <c r="L14" i="211"/>
  <c r="M14" i="211"/>
  <c r="H16" i="211"/>
  <c r="L16" i="211"/>
  <c r="M16" i="211"/>
  <c r="M17" i="211"/>
  <c r="H18" i="211"/>
  <c r="L18" i="211"/>
  <c r="M18" i="211"/>
  <c r="H19" i="211"/>
  <c r="L19" i="211"/>
  <c r="M19" i="211"/>
  <c r="H21" i="211"/>
  <c r="J21" i="211"/>
  <c r="L21" i="211"/>
  <c r="M21" i="211"/>
  <c r="H23" i="211"/>
</calcChain>
</file>

<file path=xl/sharedStrings.xml><?xml version="1.0" encoding="utf-8"?>
<sst xmlns="http://schemas.openxmlformats.org/spreadsheetml/2006/main" count="111" uniqueCount="89">
  <si>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</si>
  <si>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</si>
  <si>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</si>
  <si>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</si>
  <si>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</si>
  <si>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</si>
  <si>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</si>
  <si>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</si>
  <si>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</si>
  <si>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</si>
  <si>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</si>
  <si>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</si>
  <si>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</si>
  <si>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</si>
  <si>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</si>
  <si>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</si>
  <si>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</si>
  <si>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</si>
  <si>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</si>
  <si>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</si>
  <si>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</si>
  <si>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</si>
  <si>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</si>
  <si>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</si>
  <si>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</si>
  <si>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</si>
  <si>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</si>
  <si>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</si>
  <si>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</si>
  <si>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</si>
  <si>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</si>
  <si>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</si>
  <si>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</si>
  <si>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</si>
  <si>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</si>
  <si>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</si>
  <si>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</si>
  <si>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</si>
  <si>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</si>
  <si>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</si>
  <si>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</si>
  <si>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</si>
  <si>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</si>
  <si>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</si>
  <si>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</si>
  <si>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</si>
  <si>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</si>
  <si>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</si>
  <si>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</si>
  <si>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</si>
  <si>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</si>
  <si>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</si>
  <si>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</si>
  <si>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</si>
  <si>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</si>
  <si>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</si>
  <si>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</si>
  <si>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</si>
  <si>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</si>
  <si>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</si>
  <si>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</si>
  <si>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</si>
  <si>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</si>
  <si>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</si>
  <si>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</si>
  <si>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</si>
  <si>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</si>
  <si>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</si>
  <si>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</si>
  <si>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Other Series A Investors</t>
  </si>
  <si>
    <t>Totals</t>
  </si>
  <si>
    <t>Pre-Money Valuation</t>
  </si>
  <si>
    <t>Post-Money Valuation</t>
  </si>
  <si>
    <t>Series A Assumptions:</t>
  </si>
  <si>
    <t>Total Raised</t>
  </si>
  <si>
    <t>Accomplice Investment</t>
  </si>
  <si>
    <t>Other Common Shareholders</t>
  </si>
  <si>
    <t>ESOP Issued &amp; Outstanding</t>
  </si>
  <si>
    <t>ESOP Available</t>
  </si>
  <si>
    <t>Other SAFE Investors</t>
  </si>
  <si>
    <t>Other Series A Investment</t>
  </si>
  <si>
    <t>Existing Unallocated Options</t>
  </si>
  <si>
    <t>SAFE Preferred</t>
  </si>
  <si>
    <t>Transfer from Owl Rocl Capital II, LLC (Accomplice)</t>
  </si>
  <si>
    <t xml:space="preserve">Price per Share </t>
  </si>
  <si>
    <t>1011 Investment</t>
  </si>
  <si>
    <t>Option Pool Target</t>
  </si>
  <si>
    <t>THINK MORE SECURITY &amp; TEN ELEVEN SERIES A</t>
  </si>
  <si>
    <t>SAFE Post-Money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</si>
</sst>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</numFmts>
  <fonts count="3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3">
    <xf numFmtId="0" fontId="0" fillId="0" borderId="0" xfId="0"/>
    <xf numFmtId="0" fontId="18" fillId="0" borderId="0" xfId="0" applyFont="1"/>
    <xf numFmtId="165" fontId="20" fillId="33" borderId="0" xfId="0" applyNumberFormat="1" applyFont="1" applyFill="1"/>
    <xf numFmtId="0" fontId="22" fillId="0" borderId="0" xfId="0" applyFont="1"/>
    <xf numFmtId="0" fontId="22" fillId="0" borderId="0" xfId="0" applyFont="1" applyAlignment="1">
      <alignment horizontal="center"/>
    </xf>
    <xf numFmtId="164" fontId="22" fillId="0" borderId="0" xfId="0" applyNumberFormat="1" applyFont="1" applyAlignment="1">
      <alignment horizontal="center"/>
    </xf>
    <xf numFmtId="0" fontId="24" fillId="0" borderId="0" xfId="0" applyFont="1"/>
    <xf numFmtId="37" fontId="18" fillId="0" borderId="0" xfId="0" applyNumberFormat="1" applyFont="1" applyAlignment="1">
      <alignment horizontal="center"/>
    </xf>
    <xf numFmtId="37" fontId="21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10" fontId="26" fillId="0" borderId="0" xfId="0" applyNumberFormat="1" applyFont="1" applyAlignment="1">
      <alignment horizontal="center"/>
    </xf>
    <xf numFmtId="164" fontId="2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37" fontId="18" fillId="0" borderId="10" xfId="0" applyNumberFormat="1" applyFont="1" applyBorder="1" applyAlignment="1">
      <alignment horizontal="center"/>
    </xf>
    <xf numFmtId="37" fontId="18" fillId="0" borderId="11" xfId="0" applyNumberFormat="1" applyFont="1" applyBorder="1" applyAlignment="1">
      <alignment horizontal="center"/>
    </xf>
    <xf numFmtId="0" fontId="18" fillId="0" borderId="13" xfId="0" applyFont="1" applyBorder="1"/>
    <xf numFmtId="0" fontId="18" fillId="0" borderId="15" xfId="0" applyFont="1" applyBorder="1"/>
    <xf numFmtId="37" fontId="21" fillId="0" borderId="0" xfId="0" applyNumberFormat="1" applyFont="1"/>
    <xf numFmtId="37" fontId="18" fillId="0" borderId="0" xfId="0" applyNumberFormat="1" applyFont="1"/>
    <xf numFmtId="168" fontId="18" fillId="0" borderId="0" xfId="0" applyNumberFormat="1" applyFont="1"/>
    <xf numFmtId="0" fontId="18" fillId="0" borderId="10" xfId="0" applyFont="1" applyBorder="1"/>
    <xf numFmtId="0" fontId="18" fillId="0" borderId="12" xfId="0" applyFont="1" applyBorder="1"/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9" fillId="0" borderId="0" xfId="0" applyFont="1"/>
    <xf numFmtId="0" fontId="29" fillId="0" borderId="12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9" fillId="0" borderId="23" xfId="0" applyFont="1" applyBorder="1" applyAlignment="1">
      <alignment horizontal="center"/>
    </xf>
    <xf numFmtId="0" fontId="29" fillId="0" borderId="22" xfId="0" applyFont="1" applyBorder="1" applyAlignment="1">
      <alignment horizontal="center"/>
    </xf>
    <xf numFmtId="0" fontId="29" fillId="0" borderId="21" xfId="0" applyFont="1" applyBorder="1" applyAlignment="1">
      <alignment horizontal="center"/>
    </xf>
    <xf numFmtId="0" fontId="29" fillId="0" borderId="19" xfId="0" applyFont="1" applyBorder="1"/>
    <xf numFmtId="0" fontId="25" fillId="0" borderId="15" xfId="0" applyFont="1" applyBorder="1"/>
    <xf numFmtId="0" fontId="29" fillId="0" borderId="15" xfId="0" applyFont="1" applyBorder="1"/>
    <xf numFmtId="0" fontId="25" fillId="0" borderId="14" xfId="0" applyFont="1" applyBorder="1"/>
    <xf numFmtId="3" fontId="26" fillId="0" borderId="0" xfId="0" applyNumberFormat="1" applyFont="1" applyAlignment="1">
      <alignment horizontal="center"/>
    </xf>
    <xf numFmtId="165" fontId="18" fillId="0" borderId="17" xfId="0" applyNumberFormat="1" applyFont="1" applyBorder="1" applyAlignment="1">
      <alignment horizontal="center"/>
    </xf>
    <xf numFmtId="37" fontId="19" fillId="0" borderId="0" xfId="0" applyNumberFormat="1" applyFont="1"/>
    <xf numFmtId="168" fontId="21" fillId="0" borderId="0" xfId="0" applyNumberFormat="1" applyFont="1"/>
    <xf numFmtId="37" fontId="19" fillId="0" borderId="10" xfId="0" applyNumberFormat="1" applyFont="1" applyBorder="1" applyAlignment="1">
      <alignment horizontal="center"/>
    </xf>
    <xf numFmtId="3" fontId="28" fillId="0" borderId="0" xfId="0" applyNumberFormat="1" applyFont="1" applyAlignment="1">
      <alignment horizontal="center"/>
    </xf>
    <xf numFmtId="0" fontId="29" fillId="0" borderId="19" xfId="0" applyFont="1" applyBorder="1" applyAlignment="1">
      <alignment horizontal="centerContinuous"/>
    </xf>
    <xf numFmtId="0" fontId="29" fillId="0" borderId="23" xfId="0" applyFont="1" applyBorder="1" applyAlignment="1">
      <alignment horizontal="centerContinuous"/>
    </xf>
    <xf numFmtId="0" fontId="18" fillId="0" borderId="23" xfId="0" applyFont="1" applyBorder="1"/>
    <xf numFmtId="0" fontId="18" fillId="0" borderId="17" xfId="0" applyFont="1" applyBorder="1"/>
    <xf numFmtId="0" fontId="18" fillId="0" borderId="16" xfId="0" applyFont="1" applyBorder="1"/>
    <xf numFmtId="37" fontId="18" fillId="0" borderId="10" xfId="0" applyNumberFormat="1" applyFont="1" applyBorder="1"/>
    <xf numFmtId="3" fontId="26" fillId="0" borderId="0" xfId="0" applyNumberFormat="1" applyFont="1"/>
    <xf numFmtId="39" fontId="29" fillId="0" borderId="0" xfId="0" applyNumberFormat="1" applyFont="1" applyAlignment="1">
      <alignment horizontal="center"/>
    </xf>
    <xf numFmtId="39" fontId="29" fillId="0" borderId="15" xfId="0" applyNumberFormat="1" applyFont="1" applyBorder="1" applyAlignment="1">
      <alignment horizontal="center"/>
    </xf>
    <xf numFmtId="37" fontId="20" fillId="33" borderId="0" xfId="0" applyNumberFormat="1" applyFont="1" applyFill="1"/>
    <xf numFmtId="175" fontId="18" fillId="0" borderId="20" xfId="0" applyNumberFormat="1" applyFont="1" applyBorder="1"/>
    <xf numFmtId="165" fontId="18" fillId="0" borderId="18" xfId="0" applyNumberFormat="1" applyFont="1" applyBorder="1" applyAlignment="1">
      <alignment horizontal="center"/>
    </xf>
    <xf numFmtId="39" fontId="29" fillId="0" borderId="12" xfId="0" applyNumberFormat="1" applyFont="1" applyBorder="1" applyAlignment="1">
      <alignment horizontal="center"/>
    </xf>
    <xf numFmtId="39" fontId="18" fillId="0" borderId="12" xfId="0" applyNumberFormat="1" applyFont="1" applyBorder="1"/>
    <xf numFmtId="168" fontId="18" fillId="0" borderId="13" xfId="0" applyNumberFormat="1" applyFont="1" applyBorder="1"/>
    <xf numFmtId="168" fontId="18" fillId="0" borderId="11" xfId="0" applyNumberFormat="1" applyFont="1" applyBorder="1"/>
    <xf numFmtId="37" fontId="19" fillId="0" borderId="11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611D-4F32-AB48-A200-E9C5400A7E36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ABB6-E1E3-8A40-B4C6-A736C53F8ACC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9"/>
      <c r="B1" s="9"/>
      <c r="C1" s="9"/>
      <c r="D1" s="9"/>
      <c r="E1" s="9"/>
      <c r="F1" s="9"/>
      <c r="G1" s="9"/>
      <c r="H1" s="9"/>
      <c r="I1" s="9"/>
      <c r="J1" s="9"/>
    </row>
    <row r="2" spans="1:10" x14ac:dyDescent="0.2">
      <c r="A2" s="9"/>
      <c r="B2" s="9"/>
      <c r="C2" s="9"/>
      <c r="D2" s="9"/>
      <c r="E2" s="9"/>
      <c r="F2" s="9"/>
      <c r="G2" s="9"/>
      <c r="H2" s="23" t="s">
        <v>1</v>
      </c>
      <c r="I2" s="9"/>
      <c r="J2" s="9"/>
    </row>
    <row r="3" spans="1:10" x14ac:dyDescent="0.2">
      <c r="A3" s="9"/>
      <c r="B3" s="23" t="s">
        <v>2</v>
      </c>
      <c r="C3" s="23" t="s">
        <v>3</v>
      </c>
      <c r="D3" s="23" t="s">
        <v>4</v>
      </c>
      <c r="E3" s="23" t="s">
        <v>5</v>
      </c>
      <c r="F3" s="23" t="s">
        <v>6</v>
      </c>
      <c r="G3" s="23" t="s">
        <v>0</v>
      </c>
      <c r="H3" s="23" t="s">
        <v>7</v>
      </c>
      <c r="I3" s="9"/>
      <c r="J3" s="9"/>
    </row>
    <row r="4" spans="1:10" x14ac:dyDescent="0.2">
      <c r="A4" s="9"/>
      <c r="B4" s="22" t="s">
        <v>8</v>
      </c>
      <c r="C4" s="24">
        <v>3600000</v>
      </c>
      <c r="D4" s="40"/>
      <c r="E4" s="40"/>
      <c r="F4" s="40"/>
      <c r="G4" s="24">
        <f>SUM(C4:F4)</f>
        <v>3600000</v>
      </c>
      <c r="H4" s="25">
        <f>G4/$G$23</f>
        <v>0.36959987630724139</v>
      </c>
      <c r="I4" s="10"/>
      <c r="J4" s="9"/>
    </row>
    <row r="5" spans="1:10" x14ac:dyDescent="0.2">
      <c r="A5" s="9"/>
      <c r="B5" s="22" t="s">
        <v>9</v>
      </c>
      <c r="C5" s="24">
        <v>3600000</v>
      </c>
      <c r="D5" s="40"/>
      <c r="E5" s="40"/>
      <c r="F5" s="40"/>
      <c r="G5" s="24">
        <f>SUM(C5:F5)</f>
        <v>3600000</v>
      </c>
      <c r="H5" s="25">
        <f>G5/$G$23</f>
        <v>0.36959987630724139</v>
      </c>
      <c r="I5" s="10"/>
      <c r="J5" s="9"/>
    </row>
    <row r="6" spans="1:10" x14ac:dyDescent="0.2">
      <c r="A6" s="9"/>
      <c r="B6" s="22" t="s">
        <v>10</v>
      </c>
      <c r="C6" s="24">
        <v>222187</v>
      </c>
      <c r="D6" s="40"/>
      <c r="E6" s="40"/>
      <c r="F6" s="40"/>
      <c r="G6" s="24">
        <f>SUM(C6:F6)</f>
        <v>222187</v>
      </c>
      <c r="H6" s="25">
        <f>G6/$G$23</f>
        <v>2.28111910325214E-2</v>
      </c>
      <c r="I6" s="10"/>
      <c r="J6" s="9"/>
    </row>
    <row r="7" spans="1:10" x14ac:dyDescent="0.2">
      <c r="A7" s="9"/>
      <c r="B7" s="22" t="s">
        <v>11</v>
      </c>
      <c r="C7" s="24">
        <v>592500</v>
      </c>
      <c r="D7" s="40"/>
      <c r="E7" s="40"/>
      <c r="F7" s="40"/>
      <c r="G7" s="24">
        <f>SUM(C7:F7)</f>
        <v>592500</v>
      </c>
      <c r="H7" s="25">
        <f>G7/$G$23</f>
        <v>6.0829979642233481E-2</v>
      </c>
      <c r="I7" s="10"/>
      <c r="J7" s="9"/>
    </row>
    <row r="8" spans="1:10" x14ac:dyDescent="0.2">
      <c r="A8" s="9"/>
      <c r="B8" s="22" t="s">
        <v>12</v>
      </c>
      <c r="C8" s="24">
        <v>592500</v>
      </c>
      <c r="D8" s="40"/>
      <c r="E8" s="40"/>
      <c r="F8" s="40"/>
      <c r="G8" s="24">
        <f>SUM(C8:F8)</f>
        <v>592500</v>
      </c>
      <c r="H8" s="25">
        <f>G8/$G$23</f>
        <v>6.0829979642233481E-2</v>
      </c>
      <c r="I8" s="10"/>
      <c r="J8" s="9"/>
    </row>
    <row r="9" spans="1:10" x14ac:dyDescent="0.2">
      <c r="A9" s="9"/>
      <c r="B9" s="22" t="s">
        <v>13</v>
      </c>
      <c r="C9" s="24">
        <v>13500</v>
      </c>
      <c r="D9" s="24">
        <v>98900</v>
      </c>
      <c r="E9" s="40"/>
      <c r="F9" s="40"/>
      <c r="G9" s="24">
        <f>SUM(C9:F9)</f>
        <v>112400</v>
      </c>
      <c r="H9" s="25">
        <f>G9/$G$23</f>
        <v>1.1539729471370537E-2</v>
      </c>
      <c r="I9" s="10"/>
      <c r="J9" s="9"/>
    </row>
    <row r="10" spans="1:10" x14ac:dyDescent="0.2">
      <c r="A10" s="9"/>
      <c r="B10" s="22" t="s">
        <v>14</v>
      </c>
      <c r="C10" s="24">
        <v>9000</v>
      </c>
      <c r="D10" s="52"/>
      <c r="E10" s="40"/>
      <c r="F10" s="40"/>
      <c r="G10" s="24">
        <f>SUM(C10:F10)</f>
        <v>9000</v>
      </c>
      <c r="H10" s="25">
        <f>G10/$G$23</f>
        <v>9.2399969076810353E-4</v>
      </c>
      <c r="I10" s="10"/>
      <c r="J10" s="9"/>
    </row>
    <row r="11" spans="1:10" x14ac:dyDescent="0.2">
      <c r="A11" s="9"/>
      <c r="B11" s="22" t="s">
        <v>15</v>
      </c>
      <c r="C11" s="40"/>
      <c r="D11" s="24">
        <v>95000</v>
      </c>
      <c r="E11" s="40"/>
      <c r="F11" s="40"/>
      <c r="G11" s="24">
        <f>SUM(C11:F11)</f>
        <v>95000</v>
      </c>
      <c r="H11" s="25">
        <f>G11/$G$23</f>
        <v>9.7533300692188695E-3</v>
      </c>
      <c r="I11" s="10"/>
      <c r="J11" s="9"/>
    </row>
    <row r="12" spans="1:10" x14ac:dyDescent="0.2">
      <c r="A12" s="9"/>
      <c r="B12" s="22" t="s">
        <v>16</v>
      </c>
      <c r="C12" s="40"/>
      <c r="D12" s="52"/>
      <c r="E12" s="24">
        <v>25000</v>
      </c>
      <c r="F12" s="52"/>
      <c r="G12" s="24">
        <f>SUM(C12:F12)</f>
        <v>25000</v>
      </c>
      <c r="H12" s="25">
        <f>G12/$G$23</f>
        <v>2.5666658076891765E-3</v>
      </c>
      <c r="I12" s="10"/>
      <c r="J12" s="9"/>
    </row>
    <row r="13" spans="1:10" x14ac:dyDescent="0.2">
      <c r="A13" s="9"/>
      <c r="B13" s="22" t="s">
        <v>17</v>
      </c>
      <c r="C13" s="40"/>
      <c r="D13" s="52"/>
      <c r="E13" s="24">
        <v>41562</v>
      </c>
      <c r="F13" s="52"/>
      <c r="G13" s="24">
        <f>SUM(C13:F13)</f>
        <v>41562</v>
      </c>
      <c r="H13" s="25">
        <f>G13/$G$23</f>
        <v>4.2670305719671019E-3</v>
      </c>
      <c r="I13" s="10"/>
      <c r="J13" s="9"/>
    </row>
    <row r="14" spans="1:10" x14ac:dyDescent="0.2">
      <c r="A14" s="9"/>
      <c r="B14" s="22" t="s">
        <v>18</v>
      </c>
      <c r="C14" s="40"/>
      <c r="D14" s="24">
        <v>285000</v>
      </c>
      <c r="E14" s="52"/>
      <c r="F14" s="52"/>
      <c r="G14" s="24">
        <f>SUM(C14:F14)</f>
        <v>285000</v>
      </c>
      <c r="H14" s="25">
        <f>G14/$G$23</f>
        <v>2.925999020765661E-2</v>
      </c>
      <c r="I14" s="10"/>
      <c r="J14" s="9"/>
    </row>
    <row r="15" spans="1:10" x14ac:dyDescent="0.2">
      <c r="A15" s="9"/>
      <c r="B15" s="22" t="s">
        <v>19</v>
      </c>
      <c r="C15" s="40"/>
      <c r="D15" s="24">
        <v>50000</v>
      </c>
      <c r="E15" s="52"/>
      <c r="F15" s="52"/>
      <c r="G15" s="24">
        <f>SUM(C15:F15)</f>
        <v>50000</v>
      </c>
      <c r="H15" s="25">
        <f>G15/$G$23</f>
        <v>5.133331615378353E-3</v>
      </c>
      <c r="I15" s="10"/>
      <c r="J15" s="9"/>
    </row>
    <row r="16" spans="1:10" x14ac:dyDescent="0.2">
      <c r="A16" s="9"/>
      <c r="B16" s="22" t="s">
        <v>20</v>
      </c>
      <c r="C16" s="40"/>
      <c r="D16" s="24">
        <v>285000</v>
      </c>
      <c r="E16" s="52"/>
      <c r="F16" s="52"/>
      <c r="G16" s="24">
        <f>SUM(C16:F16)</f>
        <v>285000</v>
      </c>
      <c r="H16" s="25">
        <f>G16/$G$23</f>
        <v>2.925999020765661E-2</v>
      </c>
      <c r="I16" s="10"/>
      <c r="J16" s="9"/>
    </row>
    <row r="17" spans="1:10" x14ac:dyDescent="0.2">
      <c r="A17" s="9"/>
      <c r="B17" s="22" t="s">
        <v>21</v>
      </c>
      <c r="C17" s="40"/>
      <c r="D17" s="52"/>
      <c r="E17" s="24">
        <v>96186</v>
      </c>
      <c r="F17" s="52"/>
      <c r="G17" s="24">
        <f>SUM(C17:F17)</f>
        <v>96186</v>
      </c>
      <c r="H17" s="25">
        <f>G17/$G$23</f>
        <v>9.8750926951356455E-3</v>
      </c>
      <c r="I17" s="10"/>
      <c r="J17" s="9"/>
    </row>
    <row r="18" spans="1:10" x14ac:dyDescent="0.2">
      <c r="A18" s="9"/>
      <c r="B18" s="22" t="s">
        <v>22</v>
      </c>
      <c r="C18" s="40"/>
      <c r="D18" s="52"/>
      <c r="E18" s="24">
        <v>48095</v>
      </c>
      <c r="F18" s="52"/>
      <c r="G18" s="24">
        <f>SUM(C18:F18)</f>
        <v>48095</v>
      </c>
      <c r="H18" s="25">
        <f>G18/$G$23</f>
        <v>4.9377516808324371E-3</v>
      </c>
      <c r="I18" s="10"/>
      <c r="J18" s="9"/>
    </row>
    <row r="19" spans="1:10" x14ac:dyDescent="0.2">
      <c r="A19" s="9"/>
      <c r="B19" s="22" t="s">
        <v>23</v>
      </c>
      <c r="C19" s="40"/>
      <c r="D19" s="52"/>
      <c r="E19" s="52"/>
      <c r="F19" s="24">
        <v>12395</v>
      </c>
      <c r="G19" s="24">
        <f>SUM(C19:F19)</f>
        <v>12395</v>
      </c>
      <c r="H19" s="25">
        <f>G19/$G$23</f>
        <v>1.2725529074522936E-3</v>
      </c>
      <c r="I19" s="10"/>
      <c r="J19" s="9"/>
    </row>
    <row r="20" spans="1:10" x14ac:dyDescent="0.2">
      <c r="A20" s="9"/>
      <c r="B20" s="22" t="s">
        <v>24</v>
      </c>
      <c r="C20" s="40"/>
      <c r="D20" s="52"/>
      <c r="E20" s="52"/>
      <c r="F20" s="24">
        <v>8333</v>
      </c>
      <c r="G20" s="24">
        <f>SUM(C20:F20)</f>
        <v>8333</v>
      </c>
      <c r="H20" s="25">
        <f>G20/$G$23</f>
        <v>8.5552104701895626E-4</v>
      </c>
      <c r="I20" s="10"/>
      <c r="J20" s="9"/>
    </row>
    <row r="21" spans="1:10" ht="15.75" customHeight="1" x14ac:dyDescent="0.2">
      <c r="A21" s="9"/>
      <c r="B21" s="22" t="s">
        <v>25</v>
      </c>
      <c r="C21" s="40"/>
      <c r="D21" s="24">
        <v>65105</v>
      </c>
      <c r="E21" s="52"/>
      <c r="F21" s="52"/>
      <c r="G21" s="24">
        <f>SUM(C21:F21)</f>
        <v>65105</v>
      </c>
      <c r="H21" s="25">
        <f>G21/$G$23</f>
        <v>6.6841110963841528E-3</v>
      </c>
      <c r="I21" s="10"/>
      <c r="J21" s="9"/>
    </row>
    <row r="22" spans="1:10" ht="15.75" customHeight="1" x14ac:dyDescent="0.2">
      <c r="A22" s="9"/>
      <c r="B22" s="9"/>
      <c r="C22" s="9"/>
      <c r="D22" s="9"/>
      <c r="E22" s="9"/>
      <c r="F22" s="9"/>
      <c r="G22" s="52"/>
      <c r="H22" s="10"/>
      <c r="I22" s="10"/>
      <c r="J22" s="9"/>
    </row>
    <row r="23" spans="1:10" ht="15.75" customHeight="1" x14ac:dyDescent="0.2">
      <c r="A23" s="9"/>
      <c r="B23" s="23" t="s">
        <v>0</v>
      </c>
      <c r="C23" s="45">
        <f>SUM(C4:C21)</f>
        <v>8629687</v>
      </c>
      <c r="D23" s="45">
        <f>SUM(D4:D21)</f>
        <v>879005</v>
      </c>
      <c r="E23" s="45">
        <f>SUM(E4:E21)</f>
        <v>210843</v>
      </c>
      <c r="F23" s="45">
        <f>SUM(F4:F21)</f>
        <v>20728</v>
      </c>
      <c r="G23" s="45">
        <f>SUM(G4:G21)</f>
        <v>9740263</v>
      </c>
      <c r="H23" s="40"/>
      <c r="I23" s="40"/>
      <c r="J23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E3C7D-887D-C646-98BB-8B7AA27DF321}">
  <dimension ref="A1:F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6" x14ac:dyDescent="0.2">
      <c r="A1" s="4"/>
      <c r="B1" s="3"/>
      <c r="C1" s="3"/>
      <c r="D1" s="3"/>
      <c r="E1" s="3"/>
      <c r="F1" s="3"/>
    </row>
    <row r="2" spans="1:6" x14ac:dyDescent="0.2">
      <c r="A2" s="4"/>
      <c r="B2" s="3"/>
      <c r="C2" s="11"/>
      <c r="D2" s="3"/>
      <c r="E2" s="3"/>
      <c r="F2" s="3"/>
    </row>
    <row r="3" spans="1:6" x14ac:dyDescent="0.2">
      <c r="A3" s="4"/>
      <c r="B3" s="23" t="s">
        <v>2</v>
      </c>
      <c r="C3" s="26" t="s">
        <v>26</v>
      </c>
      <c r="D3" s="4"/>
      <c r="E3" s="23" t="s">
        <v>27</v>
      </c>
      <c r="F3" s="3"/>
    </row>
    <row r="4" spans="1:6" x14ac:dyDescent="0.2">
      <c r="A4" s="4"/>
      <c r="B4" s="22" t="s">
        <v>13</v>
      </c>
      <c r="C4" s="27">
        <v>25000</v>
      </c>
      <c r="D4" s="4"/>
      <c r="E4" s="22" t="s">
        <v>28</v>
      </c>
      <c r="F4" s="3"/>
    </row>
    <row r="5" spans="1:6" x14ac:dyDescent="0.2">
      <c r="A5" s="4"/>
      <c r="B5" s="22" t="s">
        <v>14</v>
      </c>
      <c r="C5" s="27">
        <v>25000</v>
      </c>
      <c r="D5" s="4"/>
      <c r="E5" s="4"/>
      <c r="F5" s="3"/>
    </row>
    <row r="6" spans="1:6" ht="15.75" customHeight="1" x14ac:dyDescent="0.2">
      <c r="A6" s="4"/>
      <c r="B6" s="22" t="s">
        <v>29</v>
      </c>
      <c r="C6" s="27">
        <v>137170.75</v>
      </c>
      <c r="D6" s="4"/>
      <c r="E6" s="4"/>
      <c r="F6" s="3"/>
    </row>
    <row r="7" spans="1:6" ht="15.75" customHeight="1" x14ac:dyDescent="0.2">
      <c r="A7" s="4"/>
      <c r="B7" s="22" t="s">
        <v>30</v>
      </c>
      <c r="C7" s="27">
        <v>3846829.25</v>
      </c>
      <c r="D7" s="4"/>
      <c r="E7" s="4"/>
      <c r="F7" s="3"/>
    </row>
    <row r="8" spans="1:6" ht="15.75" customHeight="1" x14ac:dyDescent="0.2">
      <c r="A8" s="4"/>
      <c r="B8" s="22" t="s">
        <v>31</v>
      </c>
      <c r="C8" s="27">
        <v>16566</v>
      </c>
      <c r="D8" s="4"/>
      <c r="E8" s="22" t="s">
        <v>83</v>
      </c>
      <c r="F8" s="3"/>
    </row>
    <row r="9" spans="1:6" ht="15.75" customHeight="1" x14ac:dyDescent="0.2">
      <c r="A9" s="4"/>
      <c r="B9" s="22" t="s">
        <v>32</v>
      </c>
      <c r="C9" s="27">
        <v>250000</v>
      </c>
      <c r="D9" s="4"/>
      <c r="E9" s="4"/>
      <c r="F9" s="3"/>
    </row>
    <row r="10" spans="1:6" ht="15.75" customHeight="1" x14ac:dyDescent="0.2">
      <c r="A10" s="4"/>
      <c r="B10" s="22" t="s">
        <v>33</v>
      </c>
      <c r="C10" s="27">
        <v>100000</v>
      </c>
      <c r="D10" s="4"/>
      <c r="E10" s="4"/>
      <c r="F10" s="3"/>
    </row>
    <row r="11" spans="1:6" ht="15.75" customHeight="1" x14ac:dyDescent="0.2">
      <c r="A11" s="4"/>
      <c r="B11" s="22" t="s">
        <v>34</v>
      </c>
      <c r="C11" s="27">
        <v>300000</v>
      </c>
      <c r="D11" s="4"/>
      <c r="E11" s="22" t="s">
        <v>28</v>
      </c>
      <c r="F11" s="3"/>
    </row>
    <row r="12" spans="1:6" ht="15.75" customHeight="1" x14ac:dyDescent="0.2">
      <c r="A12" s="4"/>
      <c r="B12" s="22" t="s">
        <v>35</v>
      </c>
      <c r="C12" s="27">
        <v>37500</v>
      </c>
      <c r="D12" s="4"/>
      <c r="E12" s="22" t="s">
        <v>36</v>
      </c>
      <c r="F12" s="3"/>
    </row>
    <row r="13" spans="1:6" ht="15.75" customHeight="1" x14ac:dyDescent="0.2">
      <c r="A13" s="4"/>
      <c r="B13" s="22" t="s">
        <v>37</v>
      </c>
      <c r="C13" s="27">
        <v>250000</v>
      </c>
      <c r="D13" s="4"/>
      <c r="E13" s="4"/>
      <c r="F13" s="3"/>
    </row>
    <row r="14" spans="1:6" ht="15.75" customHeight="1" x14ac:dyDescent="0.2">
      <c r="A14" s="4"/>
      <c r="B14" s="22" t="s">
        <v>38</v>
      </c>
      <c r="C14" s="27">
        <v>100000</v>
      </c>
      <c r="D14" s="4"/>
      <c r="E14" s="4"/>
      <c r="F14" s="3"/>
    </row>
    <row r="15" spans="1:6" ht="15.75" customHeight="1" x14ac:dyDescent="0.2">
      <c r="A15" s="4"/>
      <c r="B15" s="22" t="s">
        <v>39</v>
      </c>
      <c r="C15" s="27">
        <v>41164</v>
      </c>
      <c r="D15" s="4"/>
      <c r="E15" s="22" t="s">
        <v>83</v>
      </c>
      <c r="F15" s="3"/>
    </row>
    <row r="16" spans="1:6" ht="15.75" customHeight="1" x14ac:dyDescent="0.2">
      <c r="A16" s="4"/>
      <c r="B16" s="22" t="s">
        <v>40</v>
      </c>
      <c r="C16" s="27">
        <v>2328778</v>
      </c>
      <c r="D16" s="4"/>
      <c r="E16" s="22" t="s">
        <v>83</v>
      </c>
      <c r="F16" s="3"/>
    </row>
    <row r="17" spans="1:6" ht="15.75" customHeight="1" x14ac:dyDescent="0.2">
      <c r="A17" s="4"/>
      <c r="B17" s="22" t="s">
        <v>41</v>
      </c>
      <c r="C17" s="27">
        <v>1506000</v>
      </c>
      <c r="D17" s="4"/>
      <c r="E17" s="22" t="s">
        <v>42</v>
      </c>
      <c r="F17" s="3"/>
    </row>
    <row r="18" spans="1:6" ht="15.75" customHeight="1" x14ac:dyDescent="0.2">
      <c r="A18" s="4"/>
      <c r="B18" s="22" t="s">
        <v>43</v>
      </c>
      <c r="C18" s="27">
        <v>50000</v>
      </c>
      <c r="D18" s="4"/>
      <c r="E18" s="4"/>
      <c r="F18" s="3"/>
    </row>
    <row r="19" spans="1:6" ht="15.75" customHeight="1" x14ac:dyDescent="0.2">
      <c r="A19" s="4"/>
      <c r="B19" s="22" t="s">
        <v>44</v>
      </c>
      <c r="C19" s="27">
        <v>212500</v>
      </c>
      <c r="D19" s="4"/>
      <c r="E19" s="22" t="s">
        <v>36</v>
      </c>
      <c r="F19" s="3"/>
    </row>
    <row r="20" spans="1:6" ht="15.75" customHeight="1" x14ac:dyDescent="0.2">
      <c r="A20" s="4"/>
      <c r="B20" s="22" t="s">
        <v>45</v>
      </c>
      <c r="C20" s="27">
        <v>25000</v>
      </c>
      <c r="D20" s="4"/>
      <c r="E20" s="4"/>
      <c r="F20" s="3"/>
    </row>
    <row r="21" spans="1:6" ht="15.75" customHeight="1" x14ac:dyDescent="0.2">
      <c r="A21" s="4"/>
      <c r="B21" s="22" t="s">
        <v>46</v>
      </c>
      <c r="C21" s="27">
        <v>61746</v>
      </c>
      <c r="D21" s="4"/>
      <c r="E21" s="22" t="s">
        <v>83</v>
      </c>
      <c r="F21" s="3"/>
    </row>
    <row r="22" spans="1:6" ht="15.75" customHeight="1" x14ac:dyDescent="0.2">
      <c r="A22" s="4"/>
      <c r="B22" s="22" t="s">
        <v>47</v>
      </c>
      <c r="C22" s="27">
        <v>100000</v>
      </c>
      <c r="D22" s="4"/>
      <c r="E22" s="4"/>
      <c r="F22" s="3"/>
    </row>
    <row r="23" spans="1:6" ht="15.75" customHeight="1" x14ac:dyDescent="0.2">
      <c r="A23" s="4"/>
      <c r="B23" s="22" t="s">
        <v>48</v>
      </c>
      <c r="C23" s="27">
        <v>100000</v>
      </c>
      <c r="D23" s="4"/>
      <c r="E23" s="4"/>
      <c r="F23" s="3"/>
    </row>
    <row r="24" spans="1:6" ht="15.75" customHeight="1" x14ac:dyDescent="0.2">
      <c r="A24" s="4"/>
      <c r="B24" s="22" t="s">
        <v>49</v>
      </c>
      <c r="C24" s="27">
        <v>61746</v>
      </c>
      <c r="D24" s="4"/>
      <c r="E24" s="22" t="s">
        <v>83</v>
      </c>
      <c r="F24" s="3"/>
    </row>
    <row r="25" spans="1:6" ht="15.75" customHeight="1" x14ac:dyDescent="0.2">
      <c r="A25" s="4"/>
      <c r="B25" s="22" t="s">
        <v>50</v>
      </c>
      <c r="C25" s="27">
        <v>250000</v>
      </c>
      <c r="D25" s="4"/>
      <c r="E25" s="22" t="s">
        <v>51</v>
      </c>
      <c r="F25" s="3"/>
    </row>
    <row r="26" spans="1:6" ht="15.75" customHeight="1" x14ac:dyDescent="0.2">
      <c r="A26" s="4"/>
      <c r="B26" s="3"/>
      <c r="C26" s="5"/>
      <c r="D26" s="4"/>
      <c r="E26" s="3"/>
      <c r="F26" s="3"/>
    </row>
    <row r="27" spans="1:6" ht="15.75" customHeight="1" x14ac:dyDescent="0.2">
      <c r="A27" s="4"/>
      <c r="B27" s="22" t="s">
        <v>0</v>
      </c>
      <c r="C27" s="26">
        <f>SUM(C4:C25)</f>
        <v>9825000</v>
      </c>
      <c r="D27" s="4"/>
      <c r="E27" s="3"/>
      <c r="F2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39D9D-BFAF-0849-9171-A4FF393ED875}">
  <dimension ref="A1:M36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3.33203125" customWidth="1"/>
    <col min="7" max="7" width="13.83203125" customWidth="1"/>
    <col min="8" max="8" width="16.83203125" customWidth="1"/>
    <col min="9" max="9" width="3.33203125" customWidth="1"/>
    <col min="10" max="10" width="13.83203125" customWidth="1"/>
    <col min="11" max="11" width="3.33203125" customWidth="1"/>
    <col min="12" max="12" width="15.5" customWidth="1"/>
    <col min="13" max="13" width="9.33203125" customWidth="1"/>
  </cols>
  <sheetData>
    <row r="1" spans="1:13" x14ac:dyDescent="0.2">
      <c r="A1" s="1"/>
      <c r="B1" s="12" t="s">
        <v>87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3" ht="15.5" customHeight="1" x14ac:dyDescent="0.2">
      <c r="A2" s="1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</row>
    <row r="3" spans="1:13" ht="16.25" customHeight="1" thickBot="1" x14ac:dyDescent="0.25">
      <c r="A3" s="1"/>
      <c r="B3" s="6" t="s">
        <v>87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3.75" customHeight="1" thickBot="1" x14ac:dyDescent="0.25">
      <c r="A4" s="1"/>
      <c r="B4" s="1"/>
      <c r="C4" s="29" t="s">
        <v>52</v>
      </c>
      <c r="D4" s="46" t="s">
        <v>82</v>
      </c>
      <c r="E4" s="47"/>
      <c r="F4" s="1"/>
      <c r="G4" s="46" t="s">
        <v>54</v>
      </c>
      <c r="H4" s="47"/>
      <c r="I4" s="1"/>
      <c r="J4" s="35" t="s">
        <v>53</v>
      </c>
      <c r="K4" s="1"/>
      <c r="L4" s="46" t="s">
        <v>55</v>
      </c>
      <c r="M4" s="47"/>
    </row>
    <row r="5" spans="1:13" x14ac:dyDescent="0.2">
      <c r="A5" s="1"/>
      <c r="B5" s="1"/>
      <c r="C5" s="58" t="s">
        <v>56</v>
      </c>
      <c r="D5" s="32" t="s">
        <v>57</v>
      </c>
      <c r="E5" s="33" t="s">
        <v>58</v>
      </c>
      <c r="F5" s="1"/>
      <c r="G5" s="32" t="s">
        <v>57</v>
      </c>
      <c r="H5" s="33" t="s">
        <v>58</v>
      </c>
      <c r="I5" s="1"/>
      <c r="J5" s="34" t="s">
        <v>59</v>
      </c>
      <c r="K5" s="1"/>
      <c r="L5" s="32" t="s">
        <v>60</v>
      </c>
      <c r="M5" s="33" t="s">
        <v>61</v>
      </c>
    </row>
    <row r="6" spans="1:13" ht="13.75" customHeight="1" thickBot="1" x14ac:dyDescent="0.25">
      <c r="A6" s="1"/>
      <c r="B6" s="1"/>
      <c r="C6" s="53" t="s">
        <v>62</v>
      </c>
      <c r="D6" s="54" t="s">
        <v>63</v>
      </c>
      <c r="E6" s="31" t="s">
        <v>62</v>
      </c>
      <c r="F6" s="1"/>
      <c r="G6" s="54" t="s">
        <v>63</v>
      </c>
      <c r="H6" s="31" t="s">
        <v>62</v>
      </c>
      <c r="I6" s="1"/>
      <c r="J6" s="34" t="s">
        <v>64</v>
      </c>
      <c r="K6" s="1"/>
      <c r="L6" s="30" t="s">
        <v>62</v>
      </c>
      <c r="M6" s="31" t="s">
        <v>65</v>
      </c>
    </row>
    <row r="7" spans="1:13" x14ac:dyDescent="0.2">
      <c r="A7" s="1"/>
      <c r="B7" s="36" t="s">
        <v>66</v>
      </c>
      <c r="C7" s="59"/>
      <c r="D7" s="21"/>
      <c r="E7" s="21"/>
      <c r="F7" s="21"/>
      <c r="G7" s="21"/>
      <c r="H7" s="21"/>
      <c r="I7" s="21"/>
      <c r="J7" s="21"/>
      <c r="K7" s="21"/>
      <c r="L7" s="21"/>
      <c r="M7" s="48"/>
    </row>
    <row r="8" spans="1:13" x14ac:dyDescent="0.2">
      <c r="A8" s="1"/>
      <c r="B8" s="37" t="s">
        <v>8</v>
      </c>
      <c r="C8" s="8">
        <f>'Detailed Cap Table'!G4</f>
        <v>3600000</v>
      </c>
      <c r="D8" s="1"/>
      <c r="E8" s="1"/>
      <c r="F8" s="1"/>
      <c r="G8" s="1"/>
      <c r="H8" s="1"/>
      <c r="I8" s="1"/>
      <c r="J8" s="1"/>
      <c r="K8" s="1"/>
      <c r="L8" s="18">
        <f>C8+E8+H8+J8</f>
        <v>3600000</v>
      </c>
      <c r="M8" s="41">
        <f ca="1">L8/$L$21</f>
        <v>0.19407512367706806</v>
      </c>
    </row>
    <row r="9" spans="1:13" x14ac:dyDescent="0.2">
      <c r="A9" s="1"/>
      <c r="B9" s="37" t="s">
        <v>9</v>
      </c>
      <c r="C9" s="8">
        <f>'Detailed Cap Table'!G5</f>
        <v>3600000</v>
      </c>
      <c r="D9" s="1"/>
      <c r="E9" s="1"/>
      <c r="F9" s="1"/>
      <c r="G9" s="1"/>
      <c r="H9" s="1"/>
      <c r="I9" s="1"/>
      <c r="J9" s="1"/>
      <c r="K9" s="1"/>
      <c r="L9" s="18">
        <f>C9+E9+H9+J9</f>
        <v>3600000</v>
      </c>
      <c r="M9" s="41">
        <f ca="1">L9/$L$21</f>
        <v>0.19407512367706806</v>
      </c>
    </row>
    <row r="10" spans="1:13" x14ac:dyDescent="0.2">
      <c r="A10" s="1"/>
      <c r="B10" s="37" t="s">
        <v>76</v>
      </c>
      <c r="C10" s="8">
        <f>'Detailed Cap Table'!G6+'Detailed Cap Table'!G7+'Detailed Cap Table'!G8+'Detailed Cap Table'!G9+'Detailed Cap Table'!G10+'Detailed Cap Table'!G11+'Detailed Cap Table'!G14+'Detailed Cap Table'!G15+'Detailed Cap Table'!G16</f>
        <v>2243587</v>
      </c>
      <c r="D10" s="1"/>
      <c r="E10" s="1"/>
      <c r="F10" s="1"/>
      <c r="G10" s="1"/>
      <c r="H10" s="1"/>
      <c r="I10" s="1"/>
      <c r="J10" s="1"/>
      <c r="K10" s="1"/>
      <c r="L10" s="18">
        <f>C10+E10+H10+J10</f>
        <v>2243587</v>
      </c>
      <c r="M10" s="41">
        <f ca="1">L10/$L$21</f>
        <v>0.12095122902923947</v>
      </c>
    </row>
    <row r="11" spans="1:13" x14ac:dyDescent="0.2">
      <c r="A11" s="1"/>
      <c r="B11" s="37" t="s">
        <v>77</v>
      </c>
      <c r="C11" s="8">
        <f>'Detailed Cap Table'!G12+'Detailed Cap Table'!G13+'Detailed Cap Table'!G17+'Detailed Cap Table'!G18+'Detailed Cap Table'!G19+'Detailed Cap Table'!G20</f>
        <v>231571</v>
      </c>
      <c r="D11" s="1"/>
      <c r="E11" s="1"/>
      <c r="F11" s="1"/>
      <c r="G11" s="1"/>
      <c r="H11" s="1"/>
      <c r="I11" s="1"/>
      <c r="J11" s="1"/>
      <c r="K11" s="1"/>
      <c r="L11" s="18">
        <f>C11+E11+H11+J11</f>
        <v>231571</v>
      </c>
      <c r="M11" s="41">
        <f ca="1">L11/$L$21</f>
        <v>1.248393624028398E-2</v>
      </c>
    </row>
    <row r="12" spans="1:13" x14ac:dyDescent="0.2">
      <c r="A12" s="1"/>
      <c r="B12" s="37" t="s">
        <v>78</v>
      </c>
      <c r="C12" s="8">
        <f>'Detailed Cap Table'!G21</f>
        <v>65105</v>
      </c>
      <c r="D12" s="1"/>
      <c r="E12" s="1"/>
      <c r="F12" s="1"/>
      <c r="G12" s="1"/>
      <c r="H12" s="1"/>
      <c r="I12" s="1"/>
      <c r="J12" s="7">
        <f ca="1">IFERROR(ROUND($C$34*$L$21-C12,0),0)</f>
        <v>1789847</v>
      </c>
      <c r="K12" s="1"/>
      <c r="L12" s="18">
        <f ca="1">C12+E12+H12+J12</f>
        <v>1854952</v>
      </c>
      <c r="M12" s="41">
        <f ca="1">L12/$L$21</f>
        <v>0.10000001078195131</v>
      </c>
    </row>
    <row r="13" spans="1:13" ht="13.5" customHeight="1" x14ac:dyDescent="0.2">
      <c r="A13" s="1"/>
      <c r="B13" s="16"/>
      <c r="C13" s="7"/>
      <c r="D13" s="1"/>
      <c r="E13" s="1"/>
      <c r="F13" s="1"/>
      <c r="G13" s="1"/>
      <c r="H13" s="1"/>
      <c r="I13" s="1"/>
      <c r="J13" s="7"/>
      <c r="K13" s="1"/>
      <c r="L13" s="18"/>
      <c r="M13" s="41"/>
    </row>
    <row r="14" spans="1:13" x14ac:dyDescent="0.2">
      <c r="A14" s="1"/>
      <c r="B14" s="38" t="s">
        <v>67</v>
      </c>
      <c r="C14" s="44">
        <f>SUM(C8:C13)</f>
        <v>9740263</v>
      </c>
      <c r="D14" s="1"/>
      <c r="E14" s="7">
        <f>SUM(E8:E13)</f>
        <v>0</v>
      </c>
      <c r="F14" s="1"/>
      <c r="G14" s="1"/>
      <c r="H14" s="7">
        <f>SUM(H8:H13)</f>
        <v>0</v>
      </c>
      <c r="I14" s="1"/>
      <c r="J14" s="13">
        <f ca="1">SUM(J8:J13)</f>
        <v>1789847</v>
      </c>
      <c r="K14" s="1"/>
      <c r="L14" s="42">
        <f ca="1">SUM(L8:L13)</f>
        <v>11530110</v>
      </c>
      <c r="M14" s="41">
        <f ca="1">L14/$L$21</f>
        <v>0.62158542340561085</v>
      </c>
    </row>
    <row r="15" spans="1:13" x14ac:dyDescent="0.2">
      <c r="A15" s="1"/>
      <c r="B15" s="38" t="s">
        <v>68</v>
      </c>
      <c r="C15" s="1"/>
      <c r="D15" s="1"/>
      <c r="E15" s="7"/>
      <c r="F15" s="1"/>
      <c r="G15" s="1"/>
      <c r="H15" s="7"/>
      <c r="I15" s="1"/>
      <c r="J15" s="1"/>
      <c r="K15" s="1"/>
      <c r="L15" s="18"/>
      <c r="M15" s="41"/>
    </row>
    <row r="16" spans="1:13" x14ac:dyDescent="0.2">
      <c r="A16" s="1"/>
      <c r="B16" s="37" t="s">
        <v>42</v>
      </c>
      <c r="C16" s="1"/>
      <c r="D16" s="43">
        <f>'SAFE Investments'!C6+'SAFE Investments'!C7+'SAFE Investments'!C8+'SAFE Investments'!C15+'SAFE Investments'!C16+'SAFE Investments'!C17+'SAFE Investments'!C21+'SAFE Investments'!C24</f>
        <v>8000000</v>
      </c>
      <c r="E16" s="7">
        <f>IFERROR(ROUND(D16/$E$23,0),0)</f>
        <v>1939582</v>
      </c>
      <c r="F16" s="1"/>
      <c r="G16" s="55">
        <v>5000000</v>
      </c>
      <c r="H16" s="7">
        <f ca="1">IFERROR(ROUND(G16/$H$23,0),0)</f>
        <v>1159340</v>
      </c>
      <c r="I16" s="1"/>
      <c r="J16" s="1"/>
      <c r="K16" s="1"/>
      <c r="L16" s="18">
        <f ca="1">C16+E16+H16+J16</f>
        <v>3098922</v>
      </c>
      <c r="M16" s="41">
        <f ca="1">L16/$L$21</f>
        <v>0.1670621306709964</v>
      </c>
    </row>
    <row r="17" spans="1:13" x14ac:dyDescent="0.2">
      <c r="A17" s="1"/>
      <c r="B17" s="37" t="s">
        <v>79</v>
      </c>
      <c r="C17" s="1"/>
      <c r="D17" s="43">
        <f>'SAFE Investments'!C4+'SAFE Investments'!C5+'SAFE Investments'!C9+'SAFE Investments'!C10+'SAFE Investments'!C11+'SAFE Investments'!C12+'SAFE Investments'!C13+'SAFE Investments'!C14+'SAFE Investments'!C18+'SAFE Investments'!C19+'SAFE Investments'!C20+'SAFE Investments'!C22+'SAFE Investments'!C23+'SAFE Investments'!C25</f>
        <v>1825000</v>
      </c>
      <c r="E17" s="7">
        <f>IFERROR(ROUND(D17/$E$23,0),0)</f>
        <v>442467</v>
      </c>
      <c r="F17" s="1"/>
      <c r="G17" s="1"/>
      <c r="H17" s="7"/>
      <c r="I17" s="1"/>
      <c r="J17" s="1"/>
      <c r="K17" s="1"/>
      <c r="L17" s="18">
        <f>C17+E17+H17+J17</f>
        <v>442467</v>
      </c>
      <c r="M17" s="41">
        <f ca="1">L17/$L$21</f>
        <v>2.3853288263339243E-2</v>
      </c>
    </row>
    <row r="18" spans="1:13" x14ac:dyDescent="0.2">
      <c r="A18" s="1"/>
      <c r="B18" s="37">
        <v>1011</v>
      </c>
      <c r="C18" s="1"/>
      <c r="D18" s="1"/>
      <c r="E18" s="1"/>
      <c r="F18" s="1"/>
      <c r="G18" s="55">
        <v>12000000</v>
      </c>
      <c r="H18" s="7">
        <f ca="1">IFERROR(ROUND(G18/$H$23,0),0)</f>
        <v>2782415</v>
      </c>
      <c r="I18" s="1"/>
      <c r="J18" s="1"/>
      <c r="K18" s="1"/>
      <c r="L18" s="18">
        <f ca="1">C18+E18+H18+J18</f>
        <v>2782415</v>
      </c>
      <c r="M18" s="41">
        <f ca="1">L18/$L$21</f>
        <v>0.14999931534609148</v>
      </c>
    </row>
    <row r="19" spans="1:13" x14ac:dyDescent="0.2">
      <c r="A19" s="1"/>
      <c r="B19" s="37" t="s">
        <v>69</v>
      </c>
      <c r="C19" s="1"/>
      <c r="D19" s="1"/>
      <c r="E19" s="1"/>
      <c r="F19" s="1"/>
      <c r="G19" s="55">
        <v>3000000</v>
      </c>
      <c r="H19" s="7">
        <f ca="1">IFERROR(ROUND(G19/$H$23,0),0)</f>
        <v>695604</v>
      </c>
      <c r="I19" s="1"/>
      <c r="J19" s="1"/>
      <c r="K19" s="1"/>
      <c r="L19" s="18">
        <f ca="1">C19+E19+H19+J19</f>
        <v>695604</v>
      </c>
      <c r="M19" s="41">
        <f ca="1">L19/$L$21</f>
        <v>3.7499842313962015E-2</v>
      </c>
    </row>
    <row r="20" spans="1:13" x14ac:dyDescent="0.2">
      <c r="A20" s="1"/>
      <c r="B20" s="16"/>
      <c r="C20" s="1"/>
      <c r="D20" s="1"/>
      <c r="E20" s="1"/>
      <c r="F20" s="1"/>
      <c r="G20" s="1"/>
      <c r="H20" s="1"/>
      <c r="I20" s="1"/>
      <c r="J20" s="1"/>
      <c r="K20" s="1"/>
      <c r="L20" s="18"/>
      <c r="M20" s="41"/>
    </row>
    <row r="21" spans="1:13" x14ac:dyDescent="0.2">
      <c r="A21" s="1"/>
      <c r="B21" s="38" t="s">
        <v>70</v>
      </c>
      <c r="C21" s="51">
        <f>C14+SUM(C16:C19)</f>
        <v>9740263</v>
      </c>
      <c r="D21" s="61">
        <f>SUM(D16:D20)</f>
        <v>9825000</v>
      </c>
      <c r="E21" s="14">
        <f>SUM(E16:E20)</f>
        <v>2382049</v>
      </c>
      <c r="F21" s="1"/>
      <c r="G21" s="18">
        <f>SUM(G16:G20)</f>
        <v>20000000</v>
      </c>
      <c r="H21" s="7">
        <f ca="1">SUM(H16:H20)</f>
        <v>4637359</v>
      </c>
      <c r="I21" s="1"/>
      <c r="J21" s="13">
        <f ca="1">J12</f>
        <v>1789847</v>
      </c>
      <c r="K21" s="1"/>
      <c r="L21" s="62">
        <f ca="1">SUM(L16:L20)+L14</f>
        <v>18549518</v>
      </c>
      <c r="M21" s="57">
        <f ca="1">SUM(M16:M19)+M14</f>
        <v>1</v>
      </c>
    </row>
    <row r="22" spans="1:13" ht="13.75" customHeight="1" thickBot="1" x14ac:dyDescent="0.25">
      <c r="A22" s="1"/>
      <c r="B22" s="16"/>
      <c r="C22" s="20"/>
      <c r="D22" s="1"/>
      <c r="E22" s="1"/>
      <c r="F22" s="1"/>
      <c r="G22" s="1"/>
      <c r="H22" s="1"/>
      <c r="I22" s="1"/>
      <c r="J22" s="20"/>
      <c r="K22" s="1"/>
      <c r="L22" s="1"/>
      <c r="M22" s="49"/>
    </row>
    <row r="23" spans="1:13" ht="13.75" customHeight="1" thickBot="1" x14ac:dyDescent="0.25">
      <c r="A23" s="1"/>
      <c r="B23" s="37" t="s">
        <v>84</v>
      </c>
      <c r="C23" s="1"/>
      <c r="D23" s="1"/>
      <c r="E23" s="56">
        <f>IFERROR(ROUND(($C$35-D21)/'Detailed Cap Table'!G23, 4), 0)</f>
        <v>4.1246</v>
      </c>
      <c r="F23" s="1"/>
      <c r="G23" s="1"/>
      <c r="H23" s="56">
        <f ca="1">IFERROR(ROUND(H24/(L21-H21), 4), 0)</f>
        <v>4.3128000000000002</v>
      </c>
      <c r="I23" s="1"/>
      <c r="J23" s="1"/>
      <c r="K23" s="1"/>
      <c r="L23" s="1"/>
      <c r="M23" s="49"/>
    </row>
    <row r="24" spans="1:13" x14ac:dyDescent="0.2">
      <c r="A24" s="1"/>
      <c r="B24" s="37" t="s">
        <v>71</v>
      </c>
      <c r="C24" s="1"/>
      <c r="D24" s="1"/>
      <c r="E24" s="1"/>
      <c r="F24" s="1"/>
      <c r="G24" s="1"/>
      <c r="H24" s="19">
        <f>H25-G21</f>
        <v>60000000</v>
      </c>
      <c r="I24" s="1"/>
      <c r="J24" s="1"/>
      <c r="K24" s="1"/>
      <c r="L24" s="1"/>
      <c r="M24" s="49"/>
    </row>
    <row r="25" spans="1:13" ht="13.75" customHeight="1" thickBot="1" x14ac:dyDescent="0.25">
      <c r="A25" s="1"/>
      <c r="B25" s="39" t="s">
        <v>72</v>
      </c>
      <c r="C25" s="15"/>
      <c r="D25" s="15"/>
      <c r="E25" s="15"/>
      <c r="F25" s="15"/>
      <c r="G25" s="15"/>
      <c r="H25" s="60">
        <f>C29+C30</f>
        <v>80000000</v>
      </c>
      <c r="I25" s="15"/>
      <c r="J25" s="15"/>
      <c r="K25" s="15"/>
      <c r="L25" s="15"/>
      <c r="M25" s="50"/>
    </row>
    <row r="26" spans="1:13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x14ac:dyDescent="0.2">
      <c r="A27" s="1"/>
      <c r="B27" s="28" t="s">
        <v>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x14ac:dyDescent="0.2">
      <c r="A29" s="1"/>
      <c r="B29" s="1" t="s">
        <v>71</v>
      </c>
      <c r="C29" s="55"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x14ac:dyDescent="0.2">
      <c r="A30" s="1"/>
      <c r="B30" s="1" t="s">
        <v>74</v>
      </c>
      <c r="C30" s="55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x14ac:dyDescent="0.2">
      <c r="A31" s="1"/>
      <c r="B31" s="1" t="s">
        <v>85</v>
      </c>
      <c r="C31" s="55">
        <v>12000000</v>
      </c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x14ac:dyDescent="0.2">
      <c r="A32" s="1"/>
      <c r="B32" s="1" t="s">
        <v>75</v>
      </c>
      <c r="C32" s="55">
        <v>5000000</v>
      </c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x14ac:dyDescent="0.2">
      <c r="A33" s="1"/>
      <c r="B33" s="1" t="s">
        <v>80</v>
      </c>
      <c r="C33" s="55">
        <v>3000000</v>
      </c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x14ac:dyDescent="0.2">
      <c r="A34" s="1"/>
      <c r="B34" s="1" t="s">
        <v>86</v>
      </c>
      <c r="C34" s="2">
        <v>0.1</v>
      </c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x14ac:dyDescent="0.2">
      <c r="A35" s="1"/>
      <c r="B35" s="1" t="s">
        <v>88</v>
      </c>
      <c r="C35" s="55">
        <v>50000000</v>
      </c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x14ac:dyDescent="0.2">
      <c r="A36" s="1"/>
      <c r="B36" s="1" t="s">
        <v>81</v>
      </c>
      <c r="C36" s="17">
        <f>'Detailed Cap Table'!G21</f>
        <v>65105</v>
      </c>
      <c r="D36" s="1"/>
      <c r="E36" s="1"/>
      <c r="F36" s="1"/>
      <c r="G36" s="1"/>
      <c r="H36" s="1"/>
      <c r="I36" s="1"/>
      <c r="J36" s="1"/>
      <c r="K36" s="1"/>
      <c r="L36" s="1"/>
      <c r="M3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 Cap Table</vt:lpstr>
      <vt:lpstr>SAFE Investments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2026-04-15T23:57:24Z</dcterms:modified>
</cp:coreProperties>
</file>