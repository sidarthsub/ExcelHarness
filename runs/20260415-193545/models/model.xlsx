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pk/d3fxz1r57v334zbrzvw1g9pw0000gn/T/"/>
    </mc:Choice>
  </mc:AlternateContent>
  <xr:revisionPtr revIDLastSave="0" documentId="8_{DF8EE437-427B-F74F-BE09-3C0B5FF601D6}" xr6:coauthVersionLast="47" xr6:coauthVersionMax="47" xr10:uidLastSave="{00000000-0000-0000-0000-000000000000}"/>
  <bookViews>
    <workbookView xWindow="0" yWindow="760" windowWidth="29400" windowHeight="17160" activeTab="4" xr2:uid="{00000000-000D-0000-FFFF-FFFF00000000}"/>
  </bookViews>
  <sheets>
    <sheet name="__temp__" sheetId="208" r:id="rId1"/>
    <sheet name="Detailed Cap Table" sheetId="209" r:id="rId2"/>
    <sheet name="SAFE Investments" sheetId="210" r:id="rId3"/>
    <sheet name="Series A" sheetId="211" r:id="rId4"/>
    <sheet name="Series B" sheetId="213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13" l="1"/>
  <c r="L19" i="213" s="1"/>
  <c r="C38" i="213"/>
  <c r="C37" i="213"/>
  <c r="C32" i="213"/>
  <c r="M25" i="213"/>
  <c r="E23" i="213"/>
  <c r="G21" i="213"/>
  <c r="E21" i="213"/>
  <c r="D21" i="213"/>
  <c r="C21" i="213"/>
  <c r="G19" i="213"/>
  <c r="L18" i="213"/>
  <c r="G18" i="213"/>
  <c r="Q17" i="213"/>
  <c r="E17" i="213"/>
  <c r="D17" i="213"/>
  <c r="G16" i="213"/>
  <c r="E16" i="213"/>
  <c r="D16" i="213"/>
  <c r="M14" i="213"/>
  <c r="H14" i="213"/>
  <c r="E14" i="213"/>
  <c r="C14" i="213"/>
  <c r="C12" i="213"/>
  <c r="Q11" i="213"/>
  <c r="C11" i="213"/>
  <c r="Q10" i="213"/>
  <c r="C10" i="213"/>
  <c r="Q9" i="213"/>
  <c r="C9" i="213"/>
  <c r="Q8" i="213"/>
  <c r="C8" i="213"/>
  <c r="C36" i="211"/>
  <c r="H25" i="211"/>
  <c r="H24" i="211" s="1"/>
  <c r="E23" i="211"/>
  <c r="E17" i="211" s="1"/>
  <c r="L17" i="211" s="1"/>
  <c r="G21" i="211"/>
  <c r="D21" i="211"/>
  <c r="C21" i="211"/>
  <c r="D17" i="211"/>
  <c r="E16" i="211"/>
  <c r="D16" i="211"/>
  <c r="H14" i="211"/>
  <c r="E14" i="211"/>
  <c r="C14" i="211"/>
  <c r="C12" i="211"/>
  <c r="L11" i="211"/>
  <c r="C11" i="211"/>
  <c r="L10" i="211"/>
  <c r="C10" i="211"/>
  <c r="L9" i="211"/>
  <c r="C9" i="211"/>
  <c r="L8" i="211"/>
  <c r="C8" i="211"/>
  <c r="C27" i="210"/>
  <c r="G23" i="209"/>
  <c r="F23" i="209"/>
  <c r="E23" i="209"/>
  <c r="D23" i="209"/>
  <c r="C23" i="209"/>
  <c r="H21" i="209"/>
  <c r="H20" i="209"/>
  <c r="H19" i="209"/>
  <c r="H18" i="209"/>
  <c r="H17" i="209"/>
  <c r="H16" i="209"/>
  <c r="H15" i="209"/>
  <c r="H14" i="209"/>
  <c r="H13" i="209"/>
  <c r="H12" i="209"/>
  <c r="H11" i="209"/>
  <c r="H10" i="209"/>
  <c r="H9" i="209"/>
  <c r="H8" i="209"/>
  <c r="H7" i="209"/>
  <c r="H6" i="209"/>
  <c r="H5" i="209"/>
  <c r="H4" i="209"/>
  <c r="G21" i="209"/>
  <c r="G20" i="209"/>
  <c r="G19" i="209"/>
  <c r="G18" i="209"/>
  <c r="G17" i="209"/>
  <c r="G16" i="209"/>
  <c r="G15" i="209"/>
  <c r="G14" i="209"/>
  <c r="G13" i="209"/>
  <c r="G12" i="209"/>
  <c r="G11" i="209"/>
  <c r="G10" i="209"/>
  <c r="G9" i="209"/>
  <c r="G8" i="209"/>
  <c r="G7" i="209"/>
  <c r="G6" i="209"/>
  <c r="G5" i="209"/>
  <c r="G4" i="209"/>
  <c r="L16" i="213" l="1"/>
  <c r="L21" i="213"/>
  <c r="M24" i="213"/>
  <c r="E21" i="211"/>
  <c r="M8" i="211"/>
  <c r="M9" i="211"/>
  <c r="M10" i="211"/>
  <c r="M11" i="211"/>
  <c r="J12" i="211"/>
  <c r="L12" i="211"/>
  <c r="M12" i="211"/>
  <c r="J14" i="211"/>
  <c r="L14" i="211"/>
  <c r="M14" i="211"/>
  <c r="H16" i="211"/>
  <c r="L16" i="211"/>
  <c r="M16" i="211"/>
  <c r="M17" i="211"/>
  <c r="H18" i="211"/>
  <c r="L18" i="211"/>
  <c r="M18" i="211"/>
  <c r="H19" i="211"/>
  <c r="L19" i="211"/>
  <c r="M19" i="211"/>
  <c r="H21" i="211"/>
  <c r="J21" i="211"/>
  <c r="L21" i="211"/>
  <c r="M21" i="211"/>
  <c r="H23" i="211"/>
  <c r="R8" i="213"/>
  <c r="R9" i="213"/>
  <c r="R10" i="213"/>
  <c r="R11" i="213"/>
  <c r="J12" i="213"/>
  <c r="O12" i="213"/>
  <c r="Q12" i="213"/>
  <c r="R12" i="213"/>
  <c r="J14" i="213"/>
  <c r="O14" i="213"/>
  <c r="Q14" i="213"/>
  <c r="R14" i="213"/>
  <c r="H16" i="213"/>
  <c r="M16" i="213"/>
  <c r="Q16" i="213"/>
  <c r="R16" i="213"/>
  <c r="R17" i="213"/>
  <c r="H18" i="213"/>
  <c r="M18" i="213"/>
  <c r="Q18" i="213"/>
  <c r="R18" i="213"/>
  <c r="H19" i="213"/>
  <c r="M19" i="213"/>
  <c r="Q19" i="213"/>
  <c r="R19" i="213"/>
  <c r="M20" i="213"/>
  <c r="Q20" i="213"/>
  <c r="R20" i="213"/>
  <c r="H21" i="213"/>
  <c r="J21" i="213"/>
  <c r="M21" i="213"/>
  <c r="O21" i="213"/>
  <c r="Q21" i="213"/>
  <c r="R21" i="213"/>
  <c r="H23" i="213"/>
  <c r="M23" i="213"/>
</calcChain>
</file>

<file path=xl/sharedStrings.xml><?xml version="1.0" encoding="utf-8"?>
<sst xmlns="http://schemas.openxmlformats.org/spreadsheetml/2006/main" count="170" uniqueCount="102">
  <si>
    <t>Total</t>
  </si>
  <si>
    <t>Current</t>
  </si>
  <si>
    <t>Shareholder</t>
  </si>
  <si>
    <t>Founders CS</t>
  </si>
  <si>
    <t>RSA</t>
  </si>
  <si>
    <t>Options</t>
  </si>
  <si>
    <t>Exercised Options</t>
  </si>
  <si>
    <t>% FDS</t>
  </si>
  <si>
    <t>Brian Hazzard</t>
  </si>
  <si>
    <t>David Wolpoff</t>
  </si>
  <si>
    <t>Ian Lee</t>
  </si>
  <si>
    <t>Kyle Haugsness</t>
  </si>
  <si>
    <t>Paul Riegle</t>
  </si>
  <si>
    <t>Chris Butts</t>
  </si>
  <si>
    <t>Maurice Granfield</t>
  </si>
  <si>
    <t>Pawan Lakshmanan</t>
  </si>
  <si>
    <t>Matthew Howe</t>
  </si>
  <si>
    <t>Andrew Ethan  Boyce-Lewis</t>
  </si>
  <si>
    <t>Eric McIntyre</t>
  </si>
  <si>
    <t>Patrick Heath</t>
  </si>
  <si>
    <t>Chris Lord</t>
  </si>
  <si>
    <t>Eric Freedman</t>
  </si>
  <si>
    <t>Miguel Bollar</t>
  </si>
  <si>
    <t>Bradly Matheson</t>
  </si>
  <si>
    <t>Cole  Proctor</t>
  </si>
  <si>
    <t>Available Options</t>
  </si>
  <si>
    <t>SAFE</t>
  </si>
  <si>
    <t>Notes</t>
  </si>
  <si>
    <t>IRA is actual investor</t>
  </si>
  <si>
    <t>Accomplice Founder Fund, L.P.</t>
  </si>
  <si>
    <t>Accomplice Fund IV, L.P</t>
  </si>
  <si>
    <t>Amir Bagherzadeh</t>
  </si>
  <si>
    <t>Elizabeth A. Donaghey Irrevocable Trust 2016</t>
  </si>
  <si>
    <t>Gunderson Partners</t>
  </si>
  <si>
    <t>Joe Arcadi</t>
  </si>
  <si>
    <t>Kamal Ravikant Capital, LP - E4</t>
  </si>
  <si>
    <t>Navel</t>
  </si>
  <si>
    <t>Maria Cirino</t>
  </si>
  <si>
    <t>Mike Viscuso</t>
  </si>
  <si>
    <t>Mozart Holdings, LLC</t>
  </si>
  <si>
    <t>Orcinus Generational Irrevocable Trust - 2024</t>
  </si>
  <si>
    <t>Owl Rock Capital III, LLC</t>
  </si>
  <si>
    <t>Accomplice</t>
  </si>
  <si>
    <t>Ralph Folz</t>
  </si>
  <si>
    <t>Ravikant Capital, LP - F3</t>
  </si>
  <si>
    <t>Sean Leach</t>
  </si>
  <si>
    <t>The Francis V. Castellucci Trust - 2020</t>
  </si>
  <si>
    <t>The Patrick M. Morley 1999 Trust,</t>
  </si>
  <si>
    <t>Tom Barsi</t>
  </si>
  <si>
    <t>Travis MacInnes</t>
  </si>
  <si>
    <t>UWS West End Family Trust</t>
  </si>
  <si>
    <t>Mark Lotke</t>
  </si>
  <si>
    <t xml:space="preserve">Common </t>
  </si>
  <si>
    <t xml:space="preserve">Option </t>
  </si>
  <si>
    <t>Series A</t>
  </si>
  <si>
    <t>Total Capitalization</t>
  </si>
  <si>
    <t># of</t>
  </si>
  <si>
    <t>$</t>
  </si>
  <si>
    <t>Preferred</t>
  </si>
  <si>
    <t>Pool +</t>
  </si>
  <si>
    <t>Total FD</t>
  </si>
  <si>
    <t>%</t>
  </si>
  <si>
    <t>Shares</t>
  </si>
  <si>
    <t xml:space="preserve"> Invested</t>
  </si>
  <si>
    <t>Pre A</t>
  </si>
  <si>
    <t>FD</t>
  </si>
  <si>
    <t>Common Stock and Options:</t>
  </si>
  <si>
    <t>Total Common</t>
  </si>
  <si>
    <t>Preferred Rounds</t>
  </si>
  <si>
    <t>Other Series A Investors</t>
  </si>
  <si>
    <t>Totals</t>
  </si>
  <si>
    <t>Pre-Money Valuation</t>
  </si>
  <si>
    <t>Post-Money Valuation</t>
  </si>
  <si>
    <t>Series A Assumptions:</t>
  </si>
  <si>
    <t>Total Raised</t>
  </si>
  <si>
    <t>Accomplice Investment</t>
  </si>
  <si>
    <t>Series B</t>
  </si>
  <si>
    <t>Pre B</t>
  </si>
  <si>
    <t>Series B Assumptions:</t>
  </si>
  <si>
    <t>Other Common Shareholders</t>
  </si>
  <si>
    <t>ESOP Issued &amp; Outstanding</t>
  </si>
  <si>
    <t>ESOP Available</t>
  </si>
  <si>
    <t>Other SAFE Investors</t>
  </si>
  <si>
    <t>Other Series A Investment</t>
  </si>
  <si>
    <t>Existing Unallocated Options</t>
  </si>
  <si>
    <t>Other Series B Investors</t>
  </si>
  <si>
    <t>SAFE Preferred</t>
  </si>
  <si>
    <t>Transfer from Owl Rocl Capital II, LLC (Accomplice)</t>
  </si>
  <si>
    <t xml:space="preserve">Price per Share </t>
  </si>
  <si>
    <t>1011 Investment</t>
  </si>
  <si>
    <t>Option Pool Target</t>
  </si>
  <si>
    <t>THINK MORE SECURITY &amp; TEN ELEVEN SERIES A</t>
  </si>
  <si>
    <t>SAFE Post-Money Cap</t>
  </si>
  <si>
    <t>THINK MORE SECURITY &amp; TEN ELEVEN SERIES B</t>
  </si>
  <si>
    <t>Pro Rata Pool (remaining)</t>
  </si>
  <si>
    <t>Pro Rata Basis</t>
  </si>
  <si>
    <t>Series A new money</t>
  </si>
  <si>
    <t>Option Pool Gross Top-up Target</t>
  </si>
  <si>
    <t>Pro Rata Splits:</t>
  </si>
  <si>
    <t>1011 % of pro rata</t>
  </si>
  <si>
    <t>Accomplice % of pro rata</t>
  </si>
  <si>
    <t>Other Series A % of pro 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</si>
</sst>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8" formatCode="_-[$$-409]* #,##0_-;_-[$$-409]* \(#,##0\)_-;_-[$$-409]* &quot;-&quot;??;_-@_-"/>
    <numFmt numFmtId="175" formatCode="_-[$$-409]* #,##0.0000_-;_-[$$-409]* \(#,##0.0000\)_-;_-[$$-409]* &quot;-&quot;??;_-@_-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sz val="10"/>
      <color rgb="FF0000FF"/>
      <name val="Garamond"/>
      <family val="1"/>
    </font>
    <font>
      <sz val="10"/>
      <color rgb="FF008000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Garamond"/>
      <family val="1"/>
    </font>
    <font>
      <sz val="10"/>
      <color rgb="FF000000"/>
      <name val="Garamond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Garamond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2">
    <xf numFmtId="0" fontId="0" fillId="0" borderId="0" xfId="0"/>
    <xf numFmtId="0" fontId="18" fillId="0" borderId="0" xfId="0" applyFont="1"/>
    <xf numFmtId="165" fontId="20" fillId="33" borderId="0" xfId="0" applyNumberFormat="1" applyFont="1" applyFill="1"/>
    <xf numFmtId="0" fontId="22" fillId="0" borderId="0" xfId="0" applyFont="1"/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4" fillId="0" borderId="0" xfId="0" applyFont="1"/>
    <xf numFmtId="37" fontId="18" fillId="0" borderId="0" xfId="0" applyNumberFormat="1" applyFont="1" applyAlignment="1">
      <alignment horizontal="center"/>
    </xf>
    <xf numFmtId="37" fontId="21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0" fontId="26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Continuous"/>
    </xf>
    <xf numFmtId="37" fontId="18" fillId="0" borderId="10" xfId="0" applyNumberFormat="1" applyFont="1" applyBorder="1" applyAlignment="1">
      <alignment horizontal="center"/>
    </xf>
    <xf numFmtId="37" fontId="18" fillId="0" borderId="11" xfId="0" applyNumberFormat="1" applyFont="1" applyBorder="1" applyAlignment="1">
      <alignment horizontal="center"/>
    </xf>
    <xf numFmtId="0" fontId="18" fillId="0" borderId="13" xfId="0" applyFont="1" applyBorder="1"/>
    <xf numFmtId="0" fontId="18" fillId="0" borderId="15" xfId="0" applyFont="1" applyBorder="1"/>
    <xf numFmtId="0" fontId="19" fillId="0" borderId="15" xfId="0" applyFont="1" applyBorder="1"/>
    <xf numFmtId="0" fontId="18" fillId="0" borderId="14" xfId="0" applyFont="1" applyBorder="1"/>
    <xf numFmtId="37" fontId="21" fillId="0" borderId="0" xfId="0" applyNumberFormat="1" applyFont="1"/>
    <xf numFmtId="37" fontId="18" fillId="0" borderId="0" xfId="0" applyNumberFormat="1" applyFont="1"/>
    <xf numFmtId="168" fontId="18" fillId="0" borderId="0" xfId="0" applyNumberFormat="1" applyFont="1"/>
    <xf numFmtId="0" fontId="18" fillId="0" borderId="10" xfId="0" applyFont="1" applyBorder="1"/>
    <xf numFmtId="0" fontId="18" fillId="0" borderId="12" xfId="0" applyFont="1" applyBorder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64" fontId="28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9" fillId="0" borderId="23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19" xfId="0" applyFont="1" applyBorder="1"/>
    <xf numFmtId="0" fontId="25" fillId="0" borderId="15" xfId="0" applyFont="1" applyBorder="1"/>
    <xf numFmtId="0" fontId="29" fillId="0" borderId="15" xfId="0" applyFont="1" applyBorder="1"/>
    <xf numFmtId="0" fontId="25" fillId="0" borderId="14" xfId="0" applyFont="1" applyBorder="1"/>
    <xf numFmtId="3" fontId="26" fillId="0" borderId="0" xfId="0" applyNumberFormat="1" applyFont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5" fontId="21" fillId="0" borderId="0" xfId="0" applyNumberFormat="1" applyFont="1"/>
    <xf numFmtId="37" fontId="19" fillId="0" borderId="0" xfId="0" applyNumberFormat="1" applyFont="1"/>
    <xf numFmtId="168" fontId="21" fillId="0" borderId="0" xfId="0" applyNumberFormat="1" applyFont="1"/>
    <xf numFmtId="37" fontId="19" fillId="0" borderId="10" xfId="0" applyNumberFormat="1" applyFon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0" fontId="29" fillId="0" borderId="19" xfId="0" applyFont="1" applyBorder="1" applyAlignment="1">
      <alignment horizontal="centerContinuous"/>
    </xf>
    <xf numFmtId="0" fontId="29" fillId="0" borderId="23" xfId="0" applyFont="1" applyBorder="1" applyAlignment="1">
      <alignment horizontal="centerContinuous"/>
    </xf>
    <xf numFmtId="0" fontId="18" fillId="0" borderId="23" xfId="0" applyFont="1" applyBorder="1"/>
    <xf numFmtId="165" fontId="18" fillId="0" borderId="17" xfId="0" applyNumberFormat="1" applyFont="1" applyBorder="1"/>
    <xf numFmtId="0" fontId="18" fillId="0" borderId="17" xfId="0" applyFont="1" applyBorder="1"/>
    <xf numFmtId="0" fontId="18" fillId="0" borderId="16" xfId="0" applyFont="1" applyBorder="1"/>
    <xf numFmtId="37" fontId="18" fillId="0" borderId="10" xfId="0" applyNumberFormat="1" applyFont="1" applyBorder="1"/>
    <xf numFmtId="37" fontId="18" fillId="0" borderId="11" xfId="0" applyNumberFormat="1" applyFont="1" applyBorder="1"/>
    <xf numFmtId="165" fontId="18" fillId="0" borderId="18" xfId="0" applyNumberFormat="1" applyFont="1" applyBorder="1"/>
    <xf numFmtId="3" fontId="26" fillId="0" borderId="0" xfId="0" applyNumberFormat="1" applyFont="1"/>
    <xf numFmtId="39" fontId="29" fillId="0" borderId="0" xfId="0" applyNumberFormat="1" applyFont="1" applyAlignment="1">
      <alignment horizontal="center"/>
    </xf>
    <xf numFmtId="39" fontId="29" fillId="0" borderId="15" xfId="0" applyNumberFormat="1" applyFont="1" applyBorder="1" applyAlignment="1">
      <alignment horizontal="center"/>
    </xf>
    <xf numFmtId="168" fontId="20" fillId="33" borderId="0" xfId="0" applyNumberFormat="1" applyFont="1" applyFill="1"/>
    <xf numFmtId="37" fontId="20" fillId="33" borderId="0" xfId="0" applyNumberFormat="1" applyFont="1" applyFill="1"/>
    <xf numFmtId="175" fontId="18" fillId="0" borderId="20" xfId="0" applyNumberFormat="1" applyFont="1" applyBorder="1"/>
    <xf numFmtId="165" fontId="18" fillId="0" borderId="18" xfId="0" applyNumberFormat="1" applyFont="1" applyBorder="1" applyAlignment="1">
      <alignment horizontal="center"/>
    </xf>
    <xf numFmtId="175" fontId="21" fillId="0" borderId="20" xfId="0" applyNumberFormat="1" applyFont="1" applyBorder="1"/>
    <xf numFmtId="39" fontId="29" fillId="0" borderId="12" xfId="0" applyNumberFormat="1" applyFont="1" applyBorder="1" applyAlignment="1">
      <alignment horizontal="center"/>
    </xf>
    <xf numFmtId="39" fontId="18" fillId="0" borderId="12" xfId="0" applyNumberFormat="1" applyFont="1" applyBorder="1"/>
    <xf numFmtId="168" fontId="18" fillId="0" borderId="13" xfId="0" applyNumberFormat="1" applyFont="1" applyBorder="1"/>
    <xf numFmtId="168" fontId="18" fillId="0" borderId="11" xfId="0" applyNumberFormat="1" applyFont="1" applyBorder="1"/>
    <xf numFmtId="37" fontId="19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b2c3d4-e5f6-7890-abcd-ef1234567890}">
  <we:reference id="a1b2c3d4-e5f6-7890-abcd-ef1234567890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611D-4F32-AB48-A200-E9C5400A7E36}">
  <dimension ref="A1"/>
  <sheetViews>
    <sheetView workbookViewId="0"/>
  </sheetViews>
  <sheetFormatPr baseColWidth="10" defaultRowHeight="16" x14ac:dyDescent="0.2"/>
  <sheetData/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ABB6-E1E3-8A40-B4C6-A736C53F8ACC}">
  <dimension ref="A1:J23"/>
  <sheetViews>
    <sheetView workbookViewId="0"/>
  </sheetViews>
  <sheetFormatPr baseColWidth="10" defaultRowHeight="16" x14ac:dyDescent="0.2"/>
  <cols>
    <col min="1" max="1" width="11.33203125" customWidth="1"/>
    <col min="2" max="2" width="32.83203125" customWidth="1"/>
    <col min="3" max="3" width="15.5" customWidth="1"/>
    <col min="4" max="4" width="9.5" customWidth="1"/>
    <col min="5" max="5" width="13.6640625" customWidth="1"/>
    <col min="6" max="6" width="22.1640625" customWidth="1"/>
    <col min="7" max="7" width="13.83203125" customWidth="1"/>
    <col min="8" max="8" width="12" customWidth="1"/>
    <col min="9" max="9" width="3.33203125" customWidth="1"/>
  </cols>
  <sheetData>
    <row r="1" spans="1:10" x14ac:dyDescent="0.2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9"/>
      <c r="B2" s="9"/>
      <c r="C2" s="9"/>
      <c r="D2" s="9"/>
      <c r="E2" s="9"/>
      <c r="F2" s="9"/>
      <c r="G2" s="9"/>
      <c r="H2" s="25" t="s">
        <v>1</v>
      </c>
      <c r="I2" s="9"/>
      <c r="J2" s="9"/>
    </row>
    <row r="3" spans="1:10" x14ac:dyDescent="0.2">
      <c r="A3" s="9"/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0</v>
      </c>
      <c r="H3" s="25" t="s">
        <v>7</v>
      </c>
      <c r="I3" s="9"/>
      <c r="J3" s="9"/>
    </row>
    <row r="4" spans="1:10" x14ac:dyDescent="0.2">
      <c r="A4" s="9"/>
      <c r="B4" s="24" t="s">
        <v>8</v>
      </c>
      <c r="C4" s="26">
        <v>3600000</v>
      </c>
      <c r="D4" s="43"/>
      <c r="E4" s="43"/>
      <c r="F4" s="43"/>
      <c r="G4" s="26">
        <f>SUM(C4:F4)</f>
        <v>3600000</v>
      </c>
      <c r="H4" s="27">
        <f>G4/$G$23</f>
        <v>0.36959987630724139</v>
      </c>
      <c r="I4" s="10"/>
      <c r="J4" s="9"/>
    </row>
    <row r="5" spans="1:10" x14ac:dyDescent="0.2">
      <c r="A5" s="9"/>
      <c r="B5" s="24" t="s">
        <v>9</v>
      </c>
      <c r="C5" s="26">
        <v>3600000</v>
      </c>
      <c r="D5" s="43"/>
      <c r="E5" s="43"/>
      <c r="F5" s="43"/>
      <c r="G5" s="26">
        <f>SUM(C5:F5)</f>
        <v>3600000</v>
      </c>
      <c r="H5" s="27">
        <f>G5/$G$23</f>
        <v>0.36959987630724139</v>
      </c>
      <c r="I5" s="10"/>
      <c r="J5" s="9"/>
    </row>
    <row r="6" spans="1:10" x14ac:dyDescent="0.2">
      <c r="A6" s="9"/>
      <c r="B6" s="24" t="s">
        <v>10</v>
      </c>
      <c r="C6" s="26">
        <v>222187</v>
      </c>
      <c r="D6" s="43"/>
      <c r="E6" s="43"/>
      <c r="F6" s="43"/>
      <c r="G6" s="26">
        <f>SUM(C6:F6)</f>
        <v>222187</v>
      </c>
      <c r="H6" s="27">
        <f>G6/$G$23</f>
        <v>2.28111910325214E-2</v>
      </c>
      <c r="I6" s="10"/>
      <c r="J6" s="9"/>
    </row>
    <row r="7" spans="1:10" x14ac:dyDescent="0.2">
      <c r="A7" s="9"/>
      <c r="B7" s="24" t="s">
        <v>11</v>
      </c>
      <c r="C7" s="26">
        <v>592500</v>
      </c>
      <c r="D7" s="43"/>
      <c r="E7" s="43"/>
      <c r="F7" s="43"/>
      <c r="G7" s="26">
        <f>SUM(C7:F7)</f>
        <v>592500</v>
      </c>
      <c r="H7" s="27">
        <f>G7/$G$23</f>
        <v>6.0829979642233481E-2</v>
      </c>
      <c r="I7" s="10"/>
      <c r="J7" s="9"/>
    </row>
    <row r="8" spans="1:10" x14ac:dyDescent="0.2">
      <c r="A8" s="9"/>
      <c r="B8" s="24" t="s">
        <v>12</v>
      </c>
      <c r="C8" s="26">
        <v>592500</v>
      </c>
      <c r="D8" s="43"/>
      <c r="E8" s="43"/>
      <c r="F8" s="43"/>
      <c r="G8" s="26">
        <f>SUM(C8:F8)</f>
        <v>592500</v>
      </c>
      <c r="H8" s="27">
        <f>G8/$G$23</f>
        <v>6.0829979642233481E-2</v>
      </c>
      <c r="I8" s="10"/>
      <c r="J8" s="9"/>
    </row>
    <row r="9" spans="1:10" x14ac:dyDescent="0.2">
      <c r="A9" s="9"/>
      <c r="B9" s="24" t="s">
        <v>13</v>
      </c>
      <c r="C9" s="26">
        <v>13500</v>
      </c>
      <c r="D9" s="26">
        <v>98900</v>
      </c>
      <c r="E9" s="43"/>
      <c r="F9" s="43"/>
      <c r="G9" s="26">
        <f>SUM(C9:F9)</f>
        <v>112400</v>
      </c>
      <c r="H9" s="27">
        <f>G9/$G$23</f>
        <v>1.1539729471370537E-2</v>
      </c>
      <c r="I9" s="10"/>
      <c r="J9" s="9"/>
    </row>
    <row r="10" spans="1:10" x14ac:dyDescent="0.2">
      <c r="A10" s="9"/>
      <c r="B10" s="24" t="s">
        <v>14</v>
      </c>
      <c r="C10" s="26">
        <v>9000</v>
      </c>
      <c r="D10" s="59"/>
      <c r="E10" s="43"/>
      <c r="F10" s="43"/>
      <c r="G10" s="26">
        <f>SUM(C10:F10)</f>
        <v>9000</v>
      </c>
      <c r="H10" s="27">
        <f>G10/$G$23</f>
        <v>9.2399969076810353E-4</v>
      </c>
      <c r="I10" s="10"/>
      <c r="J10" s="9"/>
    </row>
    <row r="11" spans="1:10" x14ac:dyDescent="0.2">
      <c r="A11" s="9"/>
      <c r="B11" s="24" t="s">
        <v>15</v>
      </c>
      <c r="C11" s="43"/>
      <c r="D11" s="26">
        <v>95000</v>
      </c>
      <c r="E11" s="43"/>
      <c r="F11" s="43"/>
      <c r="G11" s="26">
        <f>SUM(C11:F11)</f>
        <v>95000</v>
      </c>
      <c r="H11" s="27">
        <f>G11/$G$23</f>
        <v>9.7533300692188695E-3</v>
      </c>
      <c r="I11" s="10"/>
      <c r="J11" s="9"/>
    </row>
    <row r="12" spans="1:10" x14ac:dyDescent="0.2">
      <c r="A12" s="9"/>
      <c r="B12" s="24" t="s">
        <v>16</v>
      </c>
      <c r="C12" s="43"/>
      <c r="D12" s="59"/>
      <c r="E12" s="26">
        <v>25000</v>
      </c>
      <c r="F12" s="59"/>
      <c r="G12" s="26">
        <f>SUM(C12:F12)</f>
        <v>25000</v>
      </c>
      <c r="H12" s="27">
        <f>G12/$G$23</f>
        <v>2.5666658076891765E-3</v>
      </c>
      <c r="I12" s="10"/>
      <c r="J12" s="9"/>
    </row>
    <row r="13" spans="1:10" x14ac:dyDescent="0.2">
      <c r="A13" s="9"/>
      <c r="B13" s="24" t="s">
        <v>17</v>
      </c>
      <c r="C13" s="43"/>
      <c r="D13" s="59"/>
      <c r="E13" s="26">
        <v>41562</v>
      </c>
      <c r="F13" s="59"/>
      <c r="G13" s="26">
        <f>SUM(C13:F13)</f>
        <v>41562</v>
      </c>
      <c r="H13" s="27">
        <f>G13/$G$23</f>
        <v>4.2670305719671019E-3</v>
      </c>
      <c r="I13" s="10"/>
      <c r="J13" s="9"/>
    </row>
    <row r="14" spans="1:10" x14ac:dyDescent="0.2">
      <c r="A14" s="9"/>
      <c r="B14" s="24" t="s">
        <v>18</v>
      </c>
      <c r="C14" s="43"/>
      <c r="D14" s="26">
        <v>285000</v>
      </c>
      <c r="E14" s="59"/>
      <c r="F14" s="59"/>
      <c r="G14" s="26">
        <f>SUM(C14:F14)</f>
        <v>285000</v>
      </c>
      <c r="H14" s="27">
        <f>G14/$G$23</f>
        <v>2.925999020765661E-2</v>
      </c>
      <c r="I14" s="10"/>
      <c r="J14" s="9"/>
    </row>
    <row r="15" spans="1:10" x14ac:dyDescent="0.2">
      <c r="A15" s="9"/>
      <c r="B15" s="24" t="s">
        <v>19</v>
      </c>
      <c r="C15" s="43"/>
      <c r="D15" s="26">
        <v>50000</v>
      </c>
      <c r="E15" s="59"/>
      <c r="F15" s="59"/>
      <c r="G15" s="26">
        <f>SUM(C15:F15)</f>
        <v>50000</v>
      </c>
      <c r="H15" s="27">
        <f>G15/$G$23</f>
        <v>5.133331615378353E-3</v>
      </c>
      <c r="I15" s="10"/>
      <c r="J15" s="9"/>
    </row>
    <row r="16" spans="1:10" x14ac:dyDescent="0.2">
      <c r="A16" s="9"/>
      <c r="B16" s="24" t="s">
        <v>20</v>
      </c>
      <c r="C16" s="43"/>
      <c r="D16" s="26">
        <v>285000</v>
      </c>
      <c r="E16" s="59"/>
      <c r="F16" s="59"/>
      <c r="G16" s="26">
        <f>SUM(C16:F16)</f>
        <v>285000</v>
      </c>
      <c r="H16" s="27">
        <f>G16/$G$23</f>
        <v>2.925999020765661E-2</v>
      </c>
      <c r="I16" s="10"/>
      <c r="J16" s="9"/>
    </row>
    <row r="17" spans="1:10" x14ac:dyDescent="0.2">
      <c r="A17" s="9"/>
      <c r="B17" s="24" t="s">
        <v>21</v>
      </c>
      <c r="C17" s="43"/>
      <c r="D17" s="59"/>
      <c r="E17" s="26">
        <v>96186</v>
      </c>
      <c r="F17" s="59"/>
      <c r="G17" s="26">
        <f>SUM(C17:F17)</f>
        <v>96186</v>
      </c>
      <c r="H17" s="27">
        <f>G17/$G$23</f>
        <v>9.8750926951356455E-3</v>
      </c>
      <c r="I17" s="10"/>
      <c r="J17" s="9"/>
    </row>
    <row r="18" spans="1:10" x14ac:dyDescent="0.2">
      <c r="A18" s="9"/>
      <c r="B18" s="24" t="s">
        <v>22</v>
      </c>
      <c r="C18" s="43"/>
      <c r="D18" s="59"/>
      <c r="E18" s="26">
        <v>48095</v>
      </c>
      <c r="F18" s="59"/>
      <c r="G18" s="26">
        <f>SUM(C18:F18)</f>
        <v>48095</v>
      </c>
      <c r="H18" s="27">
        <f>G18/$G$23</f>
        <v>4.9377516808324371E-3</v>
      </c>
      <c r="I18" s="10"/>
      <c r="J18" s="9"/>
    </row>
    <row r="19" spans="1:10" x14ac:dyDescent="0.2">
      <c r="A19" s="9"/>
      <c r="B19" s="24" t="s">
        <v>23</v>
      </c>
      <c r="C19" s="43"/>
      <c r="D19" s="59"/>
      <c r="E19" s="59"/>
      <c r="F19" s="26">
        <v>12395</v>
      </c>
      <c r="G19" s="26">
        <f>SUM(C19:F19)</f>
        <v>12395</v>
      </c>
      <c r="H19" s="27">
        <f>G19/$G$23</f>
        <v>1.2725529074522936E-3</v>
      </c>
      <c r="I19" s="10"/>
      <c r="J19" s="9"/>
    </row>
    <row r="20" spans="1:10" x14ac:dyDescent="0.2">
      <c r="A20" s="9"/>
      <c r="B20" s="24" t="s">
        <v>24</v>
      </c>
      <c r="C20" s="43"/>
      <c r="D20" s="59"/>
      <c r="E20" s="59"/>
      <c r="F20" s="26">
        <v>8333</v>
      </c>
      <c r="G20" s="26">
        <f>SUM(C20:F20)</f>
        <v>8333</v>
      </c>
      <c r="H20" s="27">
        <f>G20/$G$23</f>
        <v>8.5552104701895626E-4</v>
      </c>
      <c r="I20" s="10"/>
      <c r="J20" s="9"/>
    </row>
    <row r="21" spans="1:10" ht="15.75" customHeight="1" x14ac:dyDescent="0.2">
      <c r="A21" s="9"/>
      <c r="B21" s="24" t="s">
        <v>25</v>
      </c>
      <c r="C21" s="43"/>
      <c r="D21" s="26">
        <v>65105</v>
      </c>
      <c r="E21" s="59"/>
      <c r="F21" s="59"/>
      <c r="G21" s="26">
        <f>SUM(C21:F21)</f>
        <v>65105</v>
      </c>
      <c r="H21" s="27">
        <f>G21/$G$23</f>
        <v>6.6841110963841528E-3</v>
      </c>
      <c r="I21" s="10"/>
      <c r="J21" s="9"/>
    </row>
    <row r="22" spans="1:10" ht="15.75" customHeight="1" x14ac:dyDescent="0.2">
      <c r="A22" s="9"/>
      <c r="B22" s="9"/>
      <c r="C22" s="9"/>
      <c r="D22" s="9"/>
      <c r="E22" s="9"/>
      <c r="F22" s="9"/>
      <c r="G22" s="59"/>
      <c r="H22" s="10"/>
      <c r="I22" s="10"/>
      <c r="J22" s="9"/>
    </row>
    <row r="23" spans="1:10" ht="15.75" customHeight="1" x14ac:dyDescent="0.2">
      <c r="A23" s="9"/>
      <c r="B23" s="25" t="s">
        <v>0</v>
      </c>
      <c r="C23" s="49">
        <f>SUM(C4:C21)</f>
        <v>8629687</v>
      </c>
      <c r="D23" s="49">
        <f>SUM(D4:D21)</f>
        <v>879005</v>
      </c>
      <c r="E23" s="49">
        <f>SUM(E4:E21)</f>
        <v>210843</v>
      </c>
      <c r="F23" s="49">
        <f>SUM(F4:F21)</f>
        <v>20728</v>
      </c>
      <c r="G23" s="49">
        <f>SUM(G4:G21)</f>
        <v>9740263</v>
      </c>
      <c r="H23" s="43"/>
      <c r="I23" s="43"/>
      <c r="J2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3C7D-887D-C646-98BB-8B7AA27DF321}">
  <dimension ref="A1:F27"/>
  <sheetViews>
    <sheetView workbookViewId="0"/>
  </sheetViews>
  <sheetFormatPr baseColWidth="10" defaultRowHeight="16" x14ac:dyDescent="0.2"/>
  <cols>
    <col min="1" max="1" width="11.33203125" customWidth="1"/>
    <col min="2" max="2" width="51.33203125" customWidth="1"/>
    <col min="3" max="3" width="12.33203125" customWidth="1"/>
    <col min="4" max="4" width="3.33203125" customWidth="1"/>
    <col min="5" max="5" width="60.1640625" customWidth="1"/>
  </cols>
  <sheetData>
    <row r="1" spans="1:6" x14ac:dyDescent="0.2">
      <c r="A1" s="4"/>
      <c r="B1" s="3"/>
      <c r="C1" s="3"/>
      <c r="D1" s="3"/>
      <c r="E1" s="3"/>
      <c r="F1" s="3"/>
    </row>
    <row r="2" spans="1:6" x14ac:dyDescent="0.2">
      <c r="A2" s="4"/>
      <c r="B2" s="3"/>
      <c r="C2" s="11"/>
      <c r="D2" s="3"/>
      <c r="E2" s="3"/>
      <c r="F2" s="3"/>
    </row>
    <row r="3" spans="1:6" x14ac:dyDescent="0.2">
      <c r="A3" s="4"/>
      <c r="B3" s="25" t="s">
        <v>2</v>
      </c>
      <c r="C3" s="28" t="s">
        <v>26</v>
      </c>
      <c r="D3" s="4"/>
      <c r="E3" s="25" t="s">
        <v>27</v>
      </c>
      <c r="F3" s="3"/>
    </row>
    <row r="4" spans="1:6" x14ac:dyDescent="0.2">
      <c r="A4" s="4"/>
      <c r="B4" s="24" t="s">
        <v>13</v>
      </c>
      <c r="C4" s="29">
        <v>25000</v>
      </c>
      <c r="D4" s="4"/>
      <c r="E4" s="24" t="s">
        <v>28</v>
      </c>
      <c r="F4" s="3"/>
    </row>
    <row r="5" spans="1:6" x14ac:dyDescent="0.2">
      <c r="A5" s="4"/>
      <c r="B5" s="24" t="s">
        <v>14</v>
      </c>
      <c r="C5" s="29">
        <v>25000</v>
      </c>
      <c r="D5" s="4"/>
      <c r="E5" s="4"/>
      <c r="F5" s="3"/>
    </row>
    <row r="6" spans="1:6" ht="15.75" customHeight="1" x14ac:dyDescent="0.2">
      <c r="A6" s="4"/>
      <c r="B6" s="24" t="s">
        <v>29</v>
      </c>
      <c r="C6" s="29">
        <v>137170.75</v>
      </c>
      <c r="D6" s="4"/>
      <c r="E6" s="4"/>
      <c r="F6" s="3"/>
    </row>
    <row r="7" spans="1:6" ht="15.75" customHeight="1" x14ac:dyDescent="0.2">
      <c r="A7" s="4"/>
      <c r="B7" s="24" t="s">
        <v>30</v>
      </c>
      <c r="C7" s="29">
        <v>3846829.25</v>
      </c>
      <c r="D7" s="4"/>
      <c r="E7" s="4"/>
      <c r="F7" s="3"/>
    </row>
    <row r="8" spans="1:6" ht="15.75" customHeight="1" x14ac:dyDescent="0.2">
      <c r="A8" s="4"/>
      <c r="B8" s="24" t="s">
        <v>31</v>
      </c>
      <c r="C8" s="29">
        <v>16566</v>
      </c>
      <c r="D8" s="4"/>
      <c r="E8" s="24" t="s">
        <v>87</v>
      </c>
      <c r="F8" s="3"/>
    </row>
    <row r="9" spans="1:6" ht="15.75" customHeight="1" x14ac:dyDescent="0.2">
      <c r="A9" s="4"/>
      <c r="B9" s="24" t="s">
        <v>32</v>
      </c>
      <c r="C9" s="29">
        <v>250000</v>
      </c>
      <c r="D9" s="4"/>
      <c r="E9" s="4"/>
      <c r="F9" s="3"/>
    </row>
    <row r="10" spans="1:6" ht="15.75" customHeight="1" x14ac:dyDescent="0.2">
      <c r="A10" s="4"/>
      <c r="B10" s="24" t="s">
        <v>33</v>
      </c>
      <c r="C10" s="29">
        <v>100000</v>
      </c>
      <c r="D10" s="4"/>
      <c r="E10" s="4"/>
      <c r="F10" s="3"/>
    </row>
    <row r="11" spans="1:6" ht="15.75" customHeight="1" x14ac:dyDescent="0.2">
      <c r="A11" s="4"/>
      <c r="B11" s="24" t="s">
        <v>34</v>
      </c>
      <c r="C11" s="29">
        <v>300000</v>
      </c>
      <c r="D11" s="4"/>
      <c r="E11" s="24" t="s">
        <v>28</v>
      </c>
      <c r="F11" s="3"/>
    </row>
    <row r="12" spans="1:6" ht="15.75" customHeight="1" x14ac:dyDescent="0.2">
      <c r="A12" s="4"/>
      <c r="B12" s="24" t="s">
        <v>35</v>
      </c>
      <c r="C12" s="29">
        <v>37500</v>
      </c>
      <c r="D12" s="4"/>
      <c r="E12" s="24" t="s">
        <v>36</v>
      </c>
      <c r="F12" s="3"/>
    </row>
    <row r="13" spans="1:6" ht="15.75" customHeight="1" x14ac:dyDescent="0.2">
      <c r="A13" s="4"/>
      <c r="B13" s="24" t="s">
        <v>37</v>
      </c>
      <c r="C13" s="29">
        <v>250000</v>
      </c>
      <c r="D13" s="4"/>
      <c r="E13" s="4"/>
      <c r="F13" s="3"/>
    </row>
    <row r="14" spans="1:6" ht="15.75" customHeight="1" x14ac:dyDescent="0.2">
      <c r="A14" s="4"/>
      <c r="B14" s="24" t="s">
        <v>38</v>
      </c>
      <c r="C14" s="29">
        <v>100000</v>
      </c>
      <c r="D14" s="4"/>
      <c r="E14" s="4"/>
      <c r="F14" s="3"/>
    </row>
    <row r="15" spans="1:6" ht="15.75" customHeight="1" x14ac:dyDescent="0.2">
      <c r="A15" s="4"/>
      <c r="B15" s="24" t="s">
        <v>39</v>
      </c>
      <c r="C15" s="29">
        <v>41164</v>
      </c>
      <c r="D15" s="4"/>
      <c r="E15" s="24" t="s">
        <v>87</v>
      </c>
      <c r="F15" s="3"/>
    </row>
    <row r="16" spans="1:6" ht="15.75" customHeight="1" x14ac:dyDescent="0.2">
      <c r="A16" s="4"/>
      <c r="B16" s="24" t="s">
        <v>40</v>
      </c>
      <c r="C16" s="29">
        <v>2328778</v>
      </c>
      <c r="D16" s="4"/>
      <c r="E16" s="24" t="s">
        <v>87</v>
      </c>
      <c r="F16" s="3"/>
    </row>
    <row r="17" spans="1:6" ht="15.75" customHeight="1" x14ac:dyDescent="0.2">
      <c r="A17" s="4"/>
      <c r="B17" s="24" t="s">
        <v>41</v>
      </c>
      <c r="C17" s="29">
        <v>1506000</v>
      </c>
      <c r="D17" s="4"/>
      <c r="E17" s="24" t="s">
        <v>42</v>
      </c>
      <c r="F17" s="3"/>
    </row>
    <row r="18" spans="1:6" ht="15.75" customHeight="1" x14ac:dyDescent="0.2">
      <c r="A18" s="4"/>
      <c r="B18" s="24" t="s">
        <v>43</v>
      </c>
      <c r="C18" s="29">
        <v>50000</v>
      </c>
      <c r="D18" s="4"/>
      <c r="E18" s="4"/>
      <c r="F18" s="3"/>
    </row>
    <row r="19" spans="1:6" ht="15.75" customHeight="1" x14ac:dyDescent="0.2">
      <c r="A19" s="4"/>
      <c r="B19" s="24" t="s">
        <v>44</v>
      </c>
      <c r="C19" s="29">
        <v>212500</v>
      </c>
      <c r="D19" s="4"/>
      <c r="E19" s="24" t="s">
        <v>36</v>
      </c>
      <c r="F19" s="3"/>
    </row>
    <row r="20" spans="1:6" ht="15.75" customHeight="1" x14ac:dyDescent="0.2">
      <c r="A20" s="4"/>
      <c r="B20" s="24" t="s">
        <v>45</v>
      </c>
      <c r="C20" s="29">
        <v>25000</v>
      </c>
      <c r="D20" s="4"/>
      <c r="E20" s="4"/>
      <c r="F20" s="3"/>
    </row>
    <row r="21" spans="1:6" ht="15.75" customHeight="1" x14ac:dyDescent="0.2">
      <c r="A21" s="4"/>
      <c r="B21" s="24" t="s">
        <v>46</v>
      </c>
      <c r="C21" s="29">
        <v>61746</v>
      </c>
      <c r="D21" s="4"/>
      <c r="E21" s="24" t="s">
        <v>87</v>
      </c>
      <c r="F21" s="3"/>
    </row>
    <row r="22" spans="1:6" ht="15.75" customHeight="1" x14ac:dyDescent="0.2">
      <c r="A22" s="4"/>
      <c r="B22" s="24" t="s">
        <v>47</v>
      </c>
      <c r="C22" s="29">
        <v>100000</v>
      </c>
      <c r="D22" s="4"/>
      <c r="E22" s="4"/>
      <c r="F22" s="3"/>
    </row>
    <row r="23" spans="1:6" ht="15.75" customHeight="1" x14ac:dyDescent="0.2">
      <c r="A23" s="4"/>
      <c r="B23" s="24" t="s">
        <v>48</v>
      </c>
      <c r="C23" s="29">
        <v>100000</v>
      </c>
      <c r="D23" s="4"/>
      <c r="E23" s="4"/>
      <c r="F23" s="3"/>
    </row>
    <row r="24" spans="1:6" ht="15.75" customHeight="1" x14ac:dyDescent="0.2">
      <c r="A24" s="4"/>
      <c r="B24" s="24" t="s">
        <v>49</v>
      </c>
      <c r="C24" s="29">
        <v>61746</v>
      </c>
      <c r="D24" s="4"/>
      <c r="E24" s="24" t="s">
        <v>87</v>
      </c>
      <c r="F24" s="3"/>
    </row>
    <row r="25" spans="1:6" ht="15.75" customHeight="1" x14ac:dyDescent="0.2">
      <c r="A25" s="4"/>
      <c r="B25" s="24" t="s">
        <v>50</v>
      </c>
      <c r="C25" s="29">
        <v>250000</v>
      </c>
      <c r="D25" s="4"/>
      <c r="E25" s="24" t="s">
        <v>51</v>
      </c>
      <c r="F25" s="3"/>
    </row>
    <row r="26" spans="1:6" ht="15.75" customHeight="1" x14ac:dyDescent="0.2">
      <c r="A26" s="4"/>
      <c r="B26" s="3"/>
      <c r="C26" s="5"/>
      <c r="D26" s="4"/>
      <c r="E26" s="3"/>
      <c r="F26" s="3"/>
    </row>
    <row r="27" spans="1:6" ht="15.75" customHeight="1" x14ac:dyDescent="0.2">
      <c r="A27" s="4"/>
      <c r="B27" s="24" t="s">
        <v>0</v>
      </c>
      <c r="C27" s="28">
        <f>SUM(C4:C25)</f>
        <v>9825000</v>
      </c>
      <c r="D27" s="4"/>
      <c r="E27" s="3"/>
      <c r="F2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9D9D-BFAF-0849-9171-A4FF393ED875}">
  <dimension ref="A1:M36"/>
  <sheetViews>
    <sheetView showGridLines="0" workbookViewId="0"/>
  </sheetViews>
  <sheetFormatPr baseColWidth="10" defaultRowHeight="16" x14ac:dyDescent="0.2"/>
  <cols>
    <col min="1" max="1" width="6.33203125" customWidth="1"/>
    <col min="2" max="2" width="35.5" customWidth="1"/>
    <col min="3" max="3" width="16.83203125" customWidth="1"/>
    <col min="4" max="4" width="17.6640625" customWidth="1"/>
    <col min="5" max="5" width="16.83203125" customWidth="1"/>
    <col min="6" max="6" width="3.33203125" customWidth="1"/>
    <col min="7" max="7" width="13.83203125" customWidth="1"/>
    <col min="8" max="8" width="16.83203125" customWidth="1"/>
    <col min="9" max="9" width="3.33203125" customWidth="1"/>
    <col min="10" max="10" width="13.83203125" customWidth="1"/>
    <col min="11" max="11" width="3.33203125" customWidth="1"/>
    <col min="12" max="12" width="15.5" customWidth="1"/>
    <col min="13" max="13" width="9.33203125" customWidth="1"/>
  </cols>
  <sheetData>
    <row r="1" spans="1:13" x14ac:dyDescent="0.2">
      <c r="A1" s="1"/>
      <c r="B1" s="12" t="s">
        <v>91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.5" customHeight="1" x14ac:dyDescent="0.2">
      <c r="A2" s="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16.25" customHeight="1" thickBot="1" x14ac:dyDescent="0.25">
      <c r="A3" s="1"/>
      <c r="B3" s="6" t="s">
        <v>91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75" customHeight="1" thickBot="1" x14ac:dyDescent="0.25">
      <c r="A4" s="1"/>
      <c r="B4" s="1"/>
      <c r="C4" s="32" t="s">
        <v>52</v>
      </c>
      <c r="D4" s="50" t="s">
        <v>86</v>
      </c>
      <c r="E4" s="51"/>
      <c r="F4" s="1"/>
      <c r="G4" s="50" t="s">
        <v>54</v>
      </c>
      <c r="H4" s="51"/>
      <c r="I4" s="1"/>
      <c r="J4" s="38" t="s">
        <v>53</v>
      </c>
      <c r="K4" s="1"/>
      <c r="L4" s="50" t="s">
        <v>55</v>
      </c>
      <c r="M4" s="51"/>
    </row>
    <row r="5" spans="1:13" x14ac:dyDescent="0.2">
      <c r="A5" s="1"/>
      <c r="B5" s="1"/>
      <c r="C5" s="67" t="s">
        <v>56</v>
      </c>
      <c r="D5" s="35" t="s">
        <v>57</v>
      </c>
      <c r="E5" s="36" t="s">
        <v>58</v>
      </c>
      <c r="F5" s="1"/>
      <c r="G5" s="35" t="s">
        <v>57</v>
      </c>
      <c r="H5" s="36" t="s">
        <v>58</v>
      </c>
      <c r="I5" s="1"/>
      <c r="J5" s="37" t="s">
        <v>59</v>
      </c>
      <c r="K5" s="1"/>
      <c r="L5" s="35" t="s">
        <v>60</v>
      </c>
      <c r="M5" s="36" t="s">
        <v>61</v>
      </c>
    </row>
    <row r="6" spans="1:13" ht="13.75" customHeight="1" thickBot="1" x14ac:dyDescent="0.25">
      <c r="A6" s="1"/>
      <c r="B6" s="1"/>
      <c r="C6" s="60" t="s">
        <v>62</v>
      </c>
      <c r="D6" s="61" t="s">
        <v>63</v>
      </c>
      <c r="E6" s="34" t="s">
        <v>62</v>
      </c>
      <c r="F6" s="1"/>
      <c r="G6" s="61" t="s">
        <v>63</v>
      </c>
      <c r="H6" s="34" t="s">
        <v>62</v>
      </c>
      <c r="I6" s="1"/>
      <c r="J6" s="37" t="s">
        <v>64</v>
      </c>
      <c r="K6" s="1"/>
      <c r="L6" s="33" t="s">
        <v>62</v>
      </c>
      <c r="M6" s="34" t="s">
        <v>65</v>
      </c>
    </row>
    <row r="7" spans="1:13" x14ac:dyDescent="0.2">
      <c r="A7" s="1"/>
      <c r="B7" s="39" t="s">
        <v>66</v>
      </c>
      <c r="C7" s="68"/>
      <c r="D7" s="23"/>
      <c r="E7" s="23"/>
      <c r="F7" s="23"/>
      <c r="G7" s="23"/>
      <c r="H7" s="23"/>
      <c r="I7" s="23"/>
      <c r="J7" s="23"/>
      <c r="K7" s="23"/>
      <c r="L7" s="23"/>
      <c r="M7" s="52"/>
    </row>
    <row r="8" spans="1:13" x14ac:dyDescent="0.2">
      <c r="A8" s="1"/>
      <c r="B8" s="40" t="s">
        <v>8</v>
      </c>
      <c r="C8" s="8">
        <f>'Detailed Cap Table'!G4</f>
        <v>3600000</v>
      </c>
      <c r="D8" s="1"/>
      <c r="E8" s="1"/>
      <c r="F8" s="1"/>
      <c r="G8" s="1"/>
      <c r="H8" s="1"/>
      <c r="I8" s="1"/>
      <c r="J8" s="1"/>
      <c r="K8" s="1"/>
      <c r="L8" s="20">
        <f>C8+E8+H8+J8</f>
        <v>3600000</v>
      </c>
      <c r="M8" s="44">
        <f ca="1">L8/$L$21</f>
        <v>0.19407512367706806</v>
      </c>
    </row>
    <row r="9" spans="1:13" x14ac:dyDescent="0.2">
      <c r="A9" s="1"/>
      <c r="B9" s="40" t="s">
        <v>9</v>
      </c>
      <c r="C9" s="8">
        <f>'Detailed Cap Table'!G5</f>
        <v>3600000</v>
      </c>
      <c r="D9" s="1"/>
      <c r="E9" s="1"/>
      <c r="F9" s="1"/>
      <c r="G9" s="1"/>
      <c r="H9" s="1"/>
      <c r="I9" s="1"/>
      <c r="J9" s="1"/>
      <c r="K9" s="1"/>
      <c r="L9" s="20">
        <f>C9+E9+H9+J9</f>
        <v>3600000</v>
      </c>
      <c r="M9" s="44">
        <f ca="1">L9/$L$21</f>
        <v>0.19407512367706806</v>
      </c>
    </row>
    <row r="10" spans="1:13" x14ac:dyDescent="0.2">
      <c r="A10" s="1"/>
      <c r="B10" s="40" t="s">
        <v>79</v>
      </c>
      <c r="C10" s="8">
        <f>'Detailed Cap Table'!G6+'Detailed Cap Table'!G7+'Detailed Cap Table'!G8+'Detailed Cap Table'!G9+'Detailed Cap Table'!G10+'Detailed Cap Table'!G11+'Detailed Cap Table'!G14+'Detailed Cap Table'!G15+'Detailed Cap Table'!G16</f>
        <v>2243587</v>
      </c>
      <c r="D10" s="1"/>
      <c r="E10" s="1"/>
      <c r="F10" s="1"/>
      <c r="G10" s="1"/>
      <c r="H10" s="1"/>
      <c r="I10" s="1"/>
      <c r="J10" s="1"/>
      <c r="K10" s="1"/>
      <c r="L10" s="20">
        <f>C10+E10+H10+J10</f>
        <v>2243587</v>
      </c>
      <c r="M10" s="44">
        <f ca="1">L10/$L$21</f>
        <v>0.12095122902923947</v>
      </c>
    </row>
    <row r="11" spans="1:13" x14ac:dyDescent="0.2">
      <c r="A11" s="1"/>
      <c r="B11" s="40" t="s">
        <v>80</v>
      </c>
      <c r="C11" s="8">
        <f>'Detailed Cap Table'!G12+'Detailed Cap Table'!G13+'Detailed Cap Table'!G17+'Detailed Cap Table'!G18+'Detailed Cap Table'!G19+'Detailed Cap Table'!G20</f>
        <v>231571</v>
      </c>
      <c r="D11" s="1"/>
      <c r="E11" s="1"/>
      <c r="F11" s="1"/>
      <c r="G11" s="1"/>
      <c r="H11" s="1"/>
      <c r="I11" s="1"/>
      <c r="J11" s="1"/>
      <c r="K11" s="1"/>
      <c r="L11" s="20">
        <f>C11+E11+H11+J11</f>
        <v>231571</v>
      </c>
      <c r="M11" s="44">
        <f ca="1">L11/$L$21</f>
        <v>1.248393624028398E-2</v>
      </c>
    </row>
    <row r="12" spans="1:13" x14ac:dyDescent="0.2">
      <c r="A12" s="1"/>
      <c r="B12" s="40" t="s">
        <v>81</v>
      </c>
      <c r="C12" s="8">
        <f>'Detailed Cap Table'!G21</f>
        <v>65105</v>
      </c>
      <c r="D12" s="1"/>
      <c r="E12" s="1"/>
      <c r="F12" s="1"/>
      <c r="G12" s="1"/>
      <c r="H12" s="1"/>
      <c r="I12" s="1"/>
      <c r="J12" s="7">
        <f ca="1">IFERROR(ROUND($C$34*$L$21-C12,0),0)</f>
        <v>1789847</v>
      </c>
      <c r="K12" s="1"/>
      <c r="L12" s="20">
        <f ca="1">C12+E12+H12+J12</f>
        <v>1854952</v>
      </c>
      <c r="M12" s="44">
        <f ca="1">L12/$L$21</f>
        <v>0.10000001078195131</v>
      </c>
    </row>
    <row r="13" spans="1:13" ht="13.5" customHeight="1" x14ac:dyDescent="0.2">
      <c r="A13" s="1"/>
      <c r="B13" s="16"/>
      <c r="C13" s="7"/>
      <c r="D13" s="1"/>
      <c r="E13" s="1"/>
      <c r="F13" s="1"/>
      <c r="G13" s="1"/>
      <c r="H13" s="1"/>
      <c r="I13" s="1"/>
      <c r="J13" s="7"/>
      <c r="K13" s="1"/>
      <c r="L13" s="20"/>
      <c r="M13" s="44"/>
    </row>
    <row r="14" spans="1:13" x14ac:dyDescent="0.2">
      <c r="A14" s="1"/>
      <c r="B14" s="41" t="s">
        <v>67</v>
      </c>
      <c r="C14" s="48">
        <f>SUM(C8:C13)</f>
        <v>9740263</v>
      </c>
      <c r="D14" s="1"/>
      <c r="E14" s="7">
        <f>SUM(E8:E13)</f>
        <v>0</v>
      </c>
      <c r="F14" s="1"/>
      <c r="G14" s="1"/>
      <c r="H14" s="7">
        <f>SUM(H8:H13)</f>
        <v>0</v>
      </c>
      <c r="I14" s="1"/>
      <c r="J14" s="13">
        <f ca="1">SUM(J8:J13)</f>
        <v>1789847</v>
      </c>
      <c r="K14" s="1"/>
      <c r="L14" s="46">
        <f ca="1">SUM(L8:L13)</f>
        <v>11530110</v>
      </c>
      <c r="M14" s="44">
        <f ca="1">L14/$L$21</f>
        <v>0.62158542340561085</v>
      </c>
    </row>
    <row r="15" spans="1:13" x14ac:dyDescent="0.2">
      <c r="A15" s="1"/>
      <c r="B15" s="41" t="s">
        <v>68</v>
      </c>
      <c r="C15" s="1"/>
      <c r="D15" s="1"/>
      <c r="E15" s="7"/>
      <c r="F15" s="1"/>
      <c r="G15" s="1"/>
      <c r="H15" s="7"/>
      <c r="I15" s="1"/>
      <c r="J15" s="1"/>
      <c r="K15" s="1"/>
      <c r="L15" s="20"/>
      <c r="M15" s="44"/>
    </row>
    <row r="16" spans="1:13" x14ac:dyDescent="0.2">
      <c r="A16" s="1"/>
      <c r="B16" s="40" t="s">
        <v>42</v>
      </c>
      <c r="C16" s="1"/>
      <c r="D16" s="47">
        <f>'SAFE Investments'!C6+'SAFE Investments'!C7+'SAFE Investments'!C8+'SAFE Investments'!C15+'SAFE Investments'!C16+'SAFE Investments'!C17+'SAFE Investments'!C21+'SAFE Investments'!C24</f>
        <v>8000000</v>
      </c>
      <c r="E16" s="7">
        <f>IFERROR(ROUND(D16/$E$23,0),0)</f>
        <v>1939582</v>
      </c>
      <c r="F16" s="1"/>
      <c r="G16" s="63">
        <v>5000000</v>
      </c>
      <c r="H16" s="7">
        <f ca="1">IFERROR(ROUND(G16/$H$23,0),0)</f>
        <v>1159340</v>
      </c>
      <c r="I16" s="1"/>
      <c r="J16" s="1"/>
      <c r="K16" s="1"/>
      <c r="L16" s="20">
        <f ca="1">C16+E16+H16+J16</f>
        <v>3098922</v>
      </c>
      <c r="M16" s="44">
        <f ca="1">L16/$L$21</f>
        <v>0.1670621306709964</v>
      </c>
    </row>
    <row r="17" spans="1:13" x14ac:dyDescent="0.2">
      <c r="A17" s="1"/>
      <c r="B17" s="40" t="s">
        <v>82</v>
      </c>
      <c r="C17" s="1"/>
      <c r="D17" s="47">
        <f>'SAFE Investments'!C4+'SAFE Investments'!C5+'SAFE Investments'!C9+'SAFE Investments'!C10+'SAFE Investments'!C11+'SAFE Investments'!C12+'SAFE Investments'!C13+'SAFE Investments'!C14+'SAFE Investments'!C18+'SAFE Investments'!C19+'SAFE Investments'!C20+'SAFE Investments'!C22+'SAFE Investments'!C23+'SAFE Investments'!C25</f>
        <v>1825000</v>
      </c>
      <c r="E17" s="7">
        <f>IFERROR(ROUND(D17/$E$23,0),0)</f>
        <v>442467</v>
      </c>
      <c r="F17" s="1"/>
      <c r="G17" s="1"/>
      <c r="H17" s="7"/>
      <c r="I17" s="1"/>
      <c r="J17" s="1"/>
      <c r="K17" s="1"/>
      <c r="L17" s="20">
        <f>C17+E17+H17+J17</f>
        <v>442467</v>
      </c>
      <c r="M17" s="44">
        <f ca="1">L17/$L$21</f>
        <v>2.3853288263339243E-2</v>
      </c>
    </row>
    <row r="18" spans="1:13" x14ac:dyDescent="0.2">
      <c r="A18" s="1"/>
      <c r="B18" s="40">
        <v>1011</v>
      </c>
      <c r="C18" s="1"/>
      <c r="D18" s="1"/>
      <c r="E18" s="1"/>
      <c r="F18" s="1"/>
      <c r="G18" s="63">
        <v>12000000</v>
      </c>
      <c r="H18" s="7">
        <f ca="1">IFERROR(ROUND(G18/$H$23,0),0)</f>
        <v>2782415</v>
      </c>
      <c r="I18" s="1"/>
      <c r="J18" s="1"/>
      <c r="K18" s="1"/>
      <c r="L18" s="20">
        <f ca="1">C18+E18+H18+J18</f>
        <v>2782415</v>
      </c>
      <c r="M18" s="44">
        <f ca="1">L18/$L$21</f>
        <v>0.14999931534609148</v>
      </c>
    </row>
    <row r="19" spans="1:13" x14ac:dyDescent="0.2">
      <c r="A19" s="1"/>
      <c r="B19" s="40" t="s">
        <v>69</v>
      </c>
      <c r="C19" s="1"/>
      <c r="D19" s="1"/>
      <c r="E19" s="1"/>
      <c r="F19" s="1"/>
      <c r="G19" s="63">
        <v>3000000</v>
      </c>
      <c r="H19" s="7">
        <f ca="1">IFERROR(ROUND(G19/$H$23,0),0)</f>
        <v>695604</v>
      </c>
      <c r="I19" s="1"/>
      <c r="J19" s="1"/>
      <c r="K19" s="1"/>
      <c r="L19" s="20">
        <f ca="1">C19+E19+H19+J19</f>
        <v>695604</v>
      </c>
      <c r="M19" s="44">
        <f ca="1">L19/$L$21</f>
        <v>3.7499842313962015E-2</v>
      </c>
    </row>
    <row r="20" spans="1:13" x14ac:dyDescent="0.2">
      <c r="A20" s="1"/>
      <c r="B20" s="16"/>
      <c r="C20" s="1"/>
      <c r="D20" s="1"/>
      <c r="E20" s="1"/>
      <c r="F20" s="1"/>
      <c r="G20" s="1"/>
      <c r="H20" s="1"/>
      <c r="I20" s="1"/>
      <c r="J20" s="1"/>
      <c r="K20" s="1"/>
      <c r="L20" s="20"/>
      <c r="M20" s="44"/>
    </row>
    <row r="21" spans="1:13" x14ac:dyDescent="0.2">
      <c r="A21" s="1"/>
      <c r="B21" s="41" t="s">
        <v>70</v>
      </c>
      <c r="C21" s="56">
        <f>C14+SUM(C16:C19)</f>
        <v>9740263</v>
      </c>
      <c r="D21" s="70">
        <f>SUM(D16:D20)</f>
        <v>9825000</v>
      </c>
      <c r="E21" s="14">
        <f>SUM(E16:E20)</f>
        <v>2382049</v>
      </c>
      <c r="F21" s="1"/>
      <c r="G21" s="20">
        <f>SUM(G16:G20)</f>
        <v>20000000</v>
      </c>
      <c r="H21" s="7">
        <f ca="1">SUM(H16:H20)</f>
        <v>4637359</v>
      </c>
      <c r="I21" s="1"/>
      <c r="J21" s="13">
        <f ca="1">J12</f>
        <v>1789847</v>
      </c>
      <c r="K21" s="1"/>
      <c r="L21" s="71">
        <f ca="1">SUM(L16:L20)+L14</f>
        <v>18549518</v>
      </c>
      <c r="M21" s="65">
        <f ca="1">SUM(M16:M19)+M14</f>
        <v>1</v>
      </c>
    </row>
    <row r="22" spans="1:13" ht="13.75" customHeight="1" thickBot="1" x14ac:dyDescent="0.25">
      <c r="A22" s="1"/>
      <c r="B22" s="16"/>
      <c r="C22" s="22"/>
      <c r="D22" s="1"/>
      <c r="E22" s="1"/>
      <c r="F22" s="1"/>
      <c r="G22" s="1"/>
      <c r="H22" s="1"/>
      <c r="I22" s="1"/>
      <c r="J22" s="22"/>
      <c r="K22" s="1"/>
      <c r="L22" s="1"/>
      <c r="M22" s="54"/>
    </row>
    <row r="23" spans="1:13" ht="13.75" customHeight="1" thickBot="1" x14ac:dyDescent="0.25">
      <c r="A23" s="1"/>
      <c r="B23" s="40" t="s">
        <v>88</v>
      </c>
      <c r="C23" s="1"/>
      <c r="D23" s="1"/>
      <c r="E23" s="64">
        <f>IFERROR(ROUND(($C$35-D21)/'Detailed Cap Table'!G23, 4), 0)</f>
        <v>4.1246</v>
      </c>
      <c r="F23" s="1"/>
      <c r="G23" s="1"/>
      <c r="H23" s="64">
        <f ca="1">IFERROR(ROUND(H24/(L21-H21), 4), 0)</f>
        <v>4.3128000000000002</v>
      </c>
      <c r="I23" s="1"/>
      <c r="J23" s="1"/>
      <c r="K23" s="1"/>
      <c r="L23" s="1"/>
      <c r="M23" s="54"/>
    </row>
    <row r="24" spans="1:13" x14ac:dyDescent="0.2">
      <c r="A24" s="1"/>
      <c r="B24" s="40" t="s">
        <v>71</v>
      </c>
      <c r="C24" s="1"/>
      <c r="D24" s="1"/>
      <c r="E24" s="1"/>
      <c r="F24" s="1"/>
      <c r="G24" s="1"/>
      <c r="H24" s="21">
        <f>H25-G21</f>
        <v>60000000</v>
      </c>
      <c r="I24" s="1"/>
      <c r="J24" s="1"/>
      <c r="K24" s="1"/>
      <c r="L24" s="1"/>
      <c r="M24" s="54"/>
    </row>
    <row r="25" spans="1:13" ht="13.75" customHeight="1" thickBot="1" x14ac:dyDescent="0.25">
      <c r="A25" s="1"/>
      <c r="B25" s="42" t="s">
        <v>72</v>
      </c>
      <c r="C25" s="15"/>
      <c r="D25" s="15"/>
      <c r="E25" s="15"/>
      <c r="F25" s="15"/>
      <c r="G25" s="15"/>
      <c r="H25" s="69">
        <f>C29+C30</f>
        <v>80000000</v>
      </c>
      <c r="I25" s="15"/>
      <c r="J25" s="15"/>
      <c r="K25" s="15"/>
      <c r="L25" s="15"/>
      <c r="M25" s="55"/>
    </row>
    <row r="26" spans="1:1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">
      <c r="A27" s="1"/>
      <c r="B27" s="30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">
      <c r="A29" s="1"/>
      <c r="B29" s="1" t="s">
        <v>71</v>
      </c>
      <c r="C29" s="63">
        <v>60000000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">
      <c r="A30" s="1"/>
      <c r="B30" s="1" t="s">
        <v>74</v>
      </c>
      <c r="C30" s="63">
        <v>20000000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">
      <c r="A31" s="1"/>
      <c r="B31" s="1" t="s">
        <v>89</v>
      </c>
      <c r="C31" s="63">
        <v>12000000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">
      <c r="A32" s="1"/>
      <c r="B32" s="1" t="s">
        <v>75</v>
      </c>
      <c r="C32" s="63">
        <v>5000000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">
      <c r="A33" s="1"/>
      <c r="B33" s="1" t="s">
        <v>83</v>
      </c>
      <c r="C33" s="63">
        <v>3000000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1"/>
      <c r="B34" s="1" t="s">
        <v>90</v>
      </c>
      <c r="C34" s="2">
        <v>0.1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1"/>
      <c r="B35" s="1" t="s">
        <v>92</v>
      </c>
      <c r="C35" s="63">
        <v>50000000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">
      <c r="A36" s="1"/>
      <c r="B36" s="1" t="s">
        <v>84</v>
      </c>
      <c r="C36" s="19">
        <f>'Detailed Cap Table'!G21</f>
        <v>65105</v>
      </c>
      <c r="D36" s="1"/>
      <c r="E36" s="1"/>
      <c r="F36" s="1"/>
      <c r="G36" s="1"/>
      <c r="H36" s="1"/>
      <c r="I36" s="1"/>
      <c r="J36" s="1"/>
      <c r="K36" s="1"/>
      <c r="L36" s="1"/>
      <c r="M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301E-6D67-AE4E-986B-4C583A8DE8F6}">
  <dimension ref="A1:R40"/>
  <sheetViews>
    <sheetView showGridLines="0" tabSelected="1" workbookViewId="0"/>
  </sheetViews>
  <sheetFormatPr baseColWidth="10" defaultRowHeight="16" x14ac:dyDescent="0.2"/>
  <cols>
    <col min="1" max="1" width="6.33203125" customWidth="1"/>
    <col min="2" max="2" width="35.5" customWidth="1"/>
    <col min="3" max="3" width="16.83203125" customWidth="1"/>
    <col min="4" max="4" width="17.6640625" customWidth="1"/>
    <col min="5" max="5" width="16.83203125" customWidth="1"/>
    <col min="6" max="6" width="3.33203125" customWidth="1"/>
    <col min="7" max="7" width="13.83203125" customWidth="1"/>
    <col min="8" max="8" width="16.83203125" customWidth="1"/>
    <col min="9" max="9" width="3.33203125" customWidth="1"/>
    <col min="10" max="10" width="13.83203125" customWidth="1"/>
    <col min="11" max="11" width="3.33203125" customWidth="1"/>
    <col min="12" max="12" width="17.6640625" customWidth="1"/>
    <col min="13" max="13" width="16.83203125" customWidth="1"/>
    <col min="14" max="14" width="3.33203125" customWidth="1"/>
    <col min="15" max="15" width="13.83203125" customWidth="1"/>
    <col min="16" max="16" width="3.33203125" customWidth="1"/>
    <col min="17" max="17" width="15.5" customWidth="1"/>
    <col min="18" max="18" width="9.33203125" customWidth="1"/>
  </cols>
  <sheetData>
    <row r="1" spans="1:18" x14ac:dyDescent="0.2">
      <c r="A1" s="1"/>
      <c r="B1" s="12" t="s">
        <v>93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5.5" customHeight="1" x14ac:dyDescent="0.2">
      <c r="A2" s="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6.25" customHeight="1" thickBot="1" x14ac:dyDescent="0.25">
      <c r="A3" s="1"/>
      <c r="B3" s="6" t="s">
        <v>93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3.75" customHeight="1" thickBot="1" x14ac:dyDescent="0.25">
      <c r="A4" s="1"/>
      <c r="B4" s="1"/>
      <c r="C4" s="31" t="s">
        <v>52</v>
      </c>
      <c r="D4" s="50" t="s">
        <v>86</v>
      </c>
      <c r="E4" s="51"/>
      <c r="F4" s="1"/>
      <c r="G4" s="50" t="s">
        <v>54</v>
      </c>
      <c r="H4" s="51"/>
      <c r="I4" s="1"/>
      <c r="J4" s="38" t="s">
        <v>53</v>
      </c>
      <c r="K4" s="1"/>
      <c r="L4" s="50" t="s">
        <v>76</v>
      </c>
      <c r="M4" s="51"/>
      <c r="N4" s="1"/>
      <c r="O4" s="38" t="s">
        <v>53</v>
      </c>
      <c r="P4" s="1"/>
      <c r="Q4" s="50" t="s">
        <v>55</v>
      </c>
      <c r="R4" s="51"/>
    </row>
    <row r="5" spans="1:18" x14ac:dyDescent="0.2">
      <c r="A5" s="1"/>
      <c r="B5" s="1"/>
      <c r="C5" s="31" t="s">
        <v>56</v>
      </c>
      <c r="D5" s="35" t="s">
        <v>57</v>
      </c>
      <c r="E5" s="36" t="s">
        <v>58</v>
      </c>
      <c r="F5" s="1"/>
      <c r="G5" s="35" t="s">
        <v>57</v>
      </c>
      <c r="H5" s="36" t="s">
        <v>58</v>
      </c>
      <c r="I5" s="1"/>
      <c r="J5" s="37" t="s">
        <v>59</v>
      </c>
      <c r="K5" s="1"/>
      <c r="L5" s="35" t="s">
        <v>57</v>
      </c>
      <c r="M5" s="36" t="s">
        <v>58</v>
      </c>
      <c r="N5" s="1"/>
      <c r="O5" s="37" t="s">
        <v>59</v>
      </c>
      <c r="P5" s="1"/>
      <c r="Q5" s="35" t="s">
        <v>60</v>
      </c>
      <c r="R5" s="36" t="s">
        <v>61</v>
      </c>
    </row>
    <row r="6" spans="1:18" ht="13.75" customHeight="1" thickBot="1" x14ac:dyDescent="0.25">
      <c r="A6" s="1"/>
      <c r="B6" s="1"/>
      <c r="C6" s="31" t="s">
        <v>62</v>
      </c>
      <c r="D6" s="33" t="s">
        <v>63</v>
      </c>
      <c r="E6" s="34" t="s">
        <v>62</v>
      </c>
      <c r="F6" s="1"/>
      <c r="G6" s="33" t="s">
        <v>63</v>
      </c>
      <c r="H6" s="34" t="s">
        <v>62</v>
      </c>
      <c r="I6" s="1"/>
      <c r="J6" s="37" t="s">
        <v>64</v>
      </c>
      <c r="K6" s="1"/>
      <c r="L6" s="33" t="s">
        <v>63</v>
      </c>
      <c r="M6" s="34" t="s">
        <v>62</v>
      </c>
      <c r="N6" s="1"/>
      <c r="O6" s="37" t="s">
        <v>77</v>
      </c>
      <c r="P6" s="1"/>
      <c r="Q6" s="33" t="s">
        <v>62</v>
      </c>
      <c r="R6" s="34" t="s">
        <v>65</v>
      </c>
    </row>
    <row r="7" spans="1:18" x14ac:dyDescent="0.2">
      <c r="A7" s="1"/>
      <c r="B7" s="39" t="s">
        <v>66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52"/>
    </row>
    <row r="8" spans="1:18" x14ac:dyDescent="0.2">
      <c r="A8" s="1"/>
      <c r="B8" s="16" t="s">
        <v>8</v>
      </c>
      <c r="C8" s="19">
        <f>'Series A'!C8</f>
        <v>3600000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0">
        <f>C8+E8+H8+J8+M8+O8</f>
        <v>3600000</v>
      </c>
      <c r="R8" s="53">
        <f ca="1">Q8/$Q$21</f>
        <v>0.14814400255466101</v>
      </c>
    </row>
    <row r="9" spans="1:18" x14ac:dyDescent="0.2">
      <c r="A9" s="1"/>
      <c r="B9" s="16" t="s">
        <v>9</v>
      </c>
      <c r="C9" s="19">
        <f>'Series A'!C9</f>
        <v>3600000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0">
        <f>C9+E9+H9+J9+M9+O9</f>
        <v>3600000</v>
      </c>
      <c r="R9" s="53">
        <f ca="1">Q9/$Q$21</f>
        <v>0.14814400255466101</v>
      </c>
    </row>
    <row r="10" spans="1:18" x14ac:dyDescent="0.2">
      <c r="A10" s="1"/>
      <c r="B10" s="16" t="s">
        <v>79</v>
      </c>
      <c r="C10" s="19">
        <f>'Series A'!C10</f>
        <v>2243587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0">
        <f>C10+E10+H10+J10+M10+O10</f>
        <v>2243587</v>
      </c>
      <c r="R10" s="53">
        <f ca="1">Q10/$Q$21</f>
        <v>9.2326099516556737E-2</v>
      </c>
    </row>
    <row r="11" spans="1:18" x14ac:dyDescent="0.2">
      <c r="A11" s="1"/>
      <c r="B11" s="16" t="s">
        <v>80</v>
      </c>
      <c r="C11" s="19">
        <f>'Series A'!C11</f>
        <v>231571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0">
        <f>C11+E11+H11+J11+M11+O11</f>
        <v>231571</v>
      </c>
      <c r="R11" s="53">
        <f ca="1">Q11/$Q$21</f>
        <v>9.5294041154403916E-3</v>
      </c>
    </row>
    <row r="12" spans="1:18" x14ac:dyDescent="0.2">
      <c r="A12" s="1"/>
      <c r="B12" s="16" t="s">
        <v>81</v>
      </c>
      <c r="C12" s="19">
        <f>'Series A'!C12</f>
        <v>65105</v>
      </c>
      <c r="D12" s="1"/>
      <c r="E12" s="1"/>
      <c r="F12" s="1"/>
      <c r="G12" s="1"/>
      <c r="H12" s="1"/>
      <c r="I12" s="1"/>
      <c r="J12" s="19">
        <f ca="1">'Series A'!J12</f>
        <v>1789847</v>
      </c>
      <c r="K12" s="1"/>
      <c r="L12" s="1"/>
      <c r="M12" s="1"/>
      <c r="N12" s="1"/>
      <c r="O12" s="20">
        <f ca="1">IFERROR(ROUND($C$34*$Q$21,0),0)</f>
        <v>1701048</v>
      </c>
      <c r="P12" s="1"/>
      <c r="Q12" s="20">
        <f ca="1">C12+E12+H12+J12+M12+O12</f>
        <v>3556000</v>
      </c>
      <c r="R12" s="53">
        <f ca="1">Q12/$Q$21</f>
        <v>0.1463333536345485</v>
      </c>
    </row>
    <row r="13" spans="1:18" ht="13.5" customHeight="1" x14ac:dyDescent="0.2">
      <c r="A13" s="1"/>
      <c r="B13" s="16"/>
      <c r="C13" s="20"/>
      <c r="D13" s="1"/>
      <c r="E13" s="1"/>
      <c r="F13" s="1"/>
      <c r="G13" s="1"/>
      <c r="H13" s="1"/>
      <c r="I13" s="1"/>
      <c r="J13" s="20"/>
      <c r="K13" s="1"/>
      <c r="L13" s="1"/>
      <c r="M13" s="1"/>
      <c r="N13" s="1"/>
      <c r="O13" s="20"/>
      <c r="P13" s="1"/>
      <c r="Q13" s="20"/>
      <c r="R13" s="53"/>
    </row>
    <row r="14" spans="1:18" x14ac:dyDescent="0.2">
      <c r="A14" s="1"/>
      <c r="B14" s="17" t="s">
        <v>67</v>
      </c>
      <c r="C14" s="56">
        <f>SUM(C8:C13)</f>
        <v>9740263</v>
      </c>
      <c r="D14" s="1"/>
      <c r="E14" s="20">
        <f>SUM(E8:E13)</f>
        <v>0</v>
      </c>
      <c r="F14" s="1"/>
      <c r="G14" s="1"/>
      <c r="H14" s="20">
        <f>SUM(H8:H13)</f>
        <v>0</v>
      </c>
      <c r="I14" s="1"/>
      <c r="J14" s="56">
        <f ca="1">SUM(J8:J13)</f>
        <v>1789847</v>
      </c>
      <c r="K14" s="1"/>
      <c r="L14" s="1"/>
      <c r="M14" s="20">
        <f>SUM(M8:M13)</f>
        <v>0</v>
      </c>
      <c r="N14" s="1"/>
      <c r="O14" s="56">
        <f ca="1">SUM(O8:O13)</f>
        <v>1701048</v>
      </c>
      <c r="P14" s="1"/>
      <c r="Q14" s="20">
        <f ca="1">SUM(Q8:Q13)</f>
        <v>13231158</v>
      </c>
      <c r="R14" s="53">
        <f ca="1">Q14/$Q$21</f>
        <v>0.54447686237586768</v>
      </c>
    </row>
    <row r="15" spans="1:18" x14ac:dyDescent="0.2">
      <c r="A15" s="1"/>
      <c r="B15" s="41" t="s">
        <v>68</v>
      </c>
      <c r="C15" s="1"/>
      <c r="D15" s="1"/>
      <c r="E15" s="20"/>
      <c r="F15" s="1"/>
      <c r="G15" s="1"/>
      <c r="H15" s="20"/>
      <c r="I15" s="1"/>
      <c r="J15" s="1"/>
      <c r="K15" s="1"/>
      <c r="L15" s="1"/>
      <c r="M15" s="20"/>
      <c r="N15" s="1"/>
      <c r="O15" s="1"/>
      <c r="P15" s="1"/>
      <c r="Q15" s="20"/>
      <c r="R15" s="53"/>
    </row>
    <row r="16" spans="1:18" x14ac:dyDescent="0.2">
      <c r="A16" s="1"/>
      <c r="B16" s="16" t="s">
        <v>42</v>
      </c>
      <c r="C16" s="1"/>
      <c r="D16" s="47">
        <f>'Series A'!D16</f>
        <v>8000000</v>
      </c>
      <c r="E16" s="19">
        <f>'Series A'!E16</f>
        <v>1939582</v>
      </c>
      <c r="F16" s="1"/>
      <c r="G16" s="19">
        <f>'Series A'!G16</f>
        <v>5000000</v>
      </c>
      <c r="H16" s="19">
        <f ca="1">'Series A'!H16</f>
        <v>1159340</v>
      </c>
      <c r="I16" s="1"/>
      <c r="J16" s="1"/>
      <c r="K16" s="1"/>
      <c r="L16" s="21">
        <f>C38*C32</f>
        <v>3750000</v>
      </c>
      <c r="M16" s="20">
        <f ca="1">IFERROR(ROUND(L16/$M$23,0),0)</f>
        <v>506264</v>
      </c>
      <c r="N16" s="1"/>
      <c r="O16" s="1"/>
      <c r="P16" s="1"/>
      <c r="Q16" s="20">
        <f ca="1">C16+E16+H16+J16+M16+O16</f>
        <v>3605186</v>
      </c>
      <c r="R16" s="53">
        <f ca="1">Q16/$Q$21</f>
        <v>0.14835741222056337</v>
      </c>
    </row>
    <row r="17" spans="1:18" x14ac:dyDescent="0.2">
      <c r="A17" s="1"/>
      <c r="B17" s="16" t="s">
        <v>82</v>
      </c>
      <c r="C17" s="1"/>
      <c r="D17" s="47">
        <f>'Series A'!D17</f>
        <v>1825000</v>
      </c>
      <c r="E17" s="19">
        <f>'Series A'!E17</f>
        <v>442467</v>
      </c>
      <c r="F17" s="1"/>
      <c r="G17" s="1"/>
      <c r="H17" s="20"/>
      <c r="I17" s="1"/>
      <c r="J17" s="1"/>
      <c r="K17" s="1"/>
      <c r="L17" s="21"/>
      <c r="M17" s="20"/>
      <c r="N17" s="1"/>
      <c r="O17" s="1"/>
      <c r="P17" s="1"/>
      <c r="Q17" s="20">
        <f>C17+E17+H17+J17+M17+O17</f>
        <v>442467</v>
      </c>
      <c r="R17" s="53">
        <f ca="1">Q17/$Q$21</f>
        <v>1.8208008993986998E-2</v>
      </c>
    </row>
    <row r="18" spans="1:18" x14ac:dyDescent="0.2">
      <c r="A18" s="1"/>
      <c r="B18" s="16">
        <v>1011</v>
      </c>
      <c r="C18" s="1"/>
      <c r="D18" s="1"/>
      <c r="E18" s="1"/>
      <c r="F18" s="1"/>
      <c r="G18" s="19">
        <f>'Series A'!G18</f>
        <v>12000000</v>
      </c>
      <c r="H18" s="19">
        <f ca="1">'Series A'!H18</f>
        <v>2782415</v>
      </c>
      <c r="I18" s="1"/>
      <c r="J18" s="1"/>
      <c r="K18" s="1"/>
      <c r="L18" s="21">
        <f>C37*C32</f>
        <v>9000000</v>
      </c>
      <c r="M18" s="20">
        <f ca="1">IFERROR(ROUND(L18/$M$23,0),0)</f>
        <v>1215034</v>
      </c>
      <c r="N18" s="1"/>
      <c r="O18" s="1"/>
      <c r="P18" s="1"/>
      <c r="Q18" s="20">
        <f ca="1">C18+E18+H18+J18+M18+O18</f>
        <v>3997449</v>
      </c>
      <c r="R18" s="53">
        <f ca="1">Q18/$Q$21</f>
        <v>0.16449947079670199</v>
      </c>
    </row>
    <row r="19" spans="1:18" x14ac:dyDescent="0.2">
      <c r="A19" s="1"/>
      <c r="B19" s="16" t="s">
        <v>69</v>
      </c>
      <c r="C19" s="1"/>
      <c r="D19" s="1"/>
      <c r="E19" s="1"/>
      <c r="F19" s="1"/>
      <c r="G19" s="19">
        <f>'Series A'!G19</f>
        <v>3000000</v>
      </c>
      <c r="H19" s="19">
        <f ca="1">'Series A'!H19</f>
        <v>695604</v>
      </c>
      <c r="I19" s="1"/>
      <c r="J19" s="1"/>
      <c r="K19" s="1"/>
      <c r="L19" s="21">
        <f>C39*C32</f>
        <v>2250000</v>
      </c>
      <c r="M19" s="20">
        <f ca="1">IFERROR(ROUND(L19/$M$23,0),0)</f>
        <v>303759</v>
      </c>
      <c r="N19" s="1"/>
      <c r="O19" s="1"/>
      <c r="P19" s="1"/>
      <c r="Q19" s="20">
        <f ca="1">C19+E19+H19+J19+M19+O19</f>
        <v>999363</v>
      </c>
      <c r="R19" s="53">
        <f ca="1">Q19/$Q$21</f>
        <v>4.1124898562509359E-2</v>
      </c>
    </row>
    <row r="20" spans="1:18" x14ac:dyDescent="0.2">
      <c r="A20" s="1"/>
      <c r="B20" s="16" t="s">
        <v>85</v>
      </c>
      <c r="C20" s="1"/>
      <c r="D20" s="1"/>
      <c r="E20" s="1"/>
      <c r="F20" s="1"/>
      <c r="G20" s="1"/>
      <c r="H20" s="1"/>
      <c r="I20" s="1"/>
      <c r="J20" s="1"/>
      <c r="K20" s="1"/>
      <c r="L20" s="62">
        <v>15000000</v>
      </c>
      <c r="M20" s="20">
        <f ca="1">IFERROR(ROUND(L20/$M$23,0),0)</f>
        <v>2025057</v>
      </c>
      <c r="N20" s="1"/>
      <c r="O20" s="1"/>
      <c r="P20" s="1"/>
      <c r="Q20" s="20">
        <f ca="1">C20+E20+H20+J20+M20+O20</f>
        <v>2025057</v>
      </c>
      <c r="R20" s="53">
        <f ca="1">Q20/$Q$21</f>
        <v>8.3333347050370613E-2</v>
      </c>
    </row>
    <row r="21" spans="1:18" x14ac:dyDescent="0.2">
      <c r="A21" s="1"/>
      <c r="B21" s="17" t="s">
        <v>70</v>
      </c>
      <c r="C21" s="57">
        <f>C14+SUM(C16:C20)</f>
        <v>9740263</v>
      </c>
      <c r="D21" s="70">
        <f>SUM(D16:D20)</f>
        <v>9825000</v>
      </c>
      <c r="E21" s="57">
        <f>SUM(E16:E20)</f>
        <v>2382049</v>
      </c>
      <c r="F21" s="1"/>
      <c r="G21" s="20">
        <f>SUM(G16:G20)</f>
        <v>20000000</v>
      </c>
      <c r="H21" s="20">
        <f ca="1">SUM(H16:H20)</f>
        <v>4637359</v>
      </c>
      <c r="I21" s="1"/>
      <c r="J21" s="56">
        <f ca="1">J12</f>
        <v>1789847</v>
      </c>
      <c r="K21" s="1"/>
      <c r="L21" s="21">
        <f>SUM(L16:L20)</f>
        <v>30000000</v>
      </c>
      <c r="M21" s="20">
        <f ca="1">SUM(M16:M20)</f>
        <v>4050114</v>
      </c>
      <c r="N21" s="1"/>
      <c r="O21" s="56">
        <f ca="1">O12</f>
        <v>1701048</v>
      </c>
      <c r="P21" s="1"/>
      <c r="Q21" s="57">
        <f ca="1">SUM(Q16:Q20)+Q14</f>
        <v>24300680</v>
      </c>
      <c r="R21" s="58">
        <f ca="1">SUM(R16:R20)+R14</f>
        <v>1</v>
      </c>
    </row>
    <row r="22" spans="1:18" ht="13.75" customHeight="1" thickBot="1" x14ac:dyDescent="0.25">
      <c r="A22" s="1"/>
      <c r="B22" s="1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54"/>
    </row>
    <row r="23" spans="1:18" ht="13.75" customHeight="1" thickBot="1" x14ac:dyDescent="0.25">
      <c r="A23" s="1"/>
      <c r="B23" s="16" t="s">
        <v>88</v>
      </c>
      <c r="C23" s="1"/>
      <c r="D23" s="1"/>
      <c r="E23" s="66">
        <f>'Series A'!E23</f>
        <v>4.1246</v>
      </c>
      <c r="F23" s="1"/>
      <c r="G23" s="1"/>
      <c r="H23" s="66">
        <f ca="1">'Series A'!H23</f>
        <v>4.3128000000000002</v>
      </c>
      <c r="I23" s="1"/>
      <c r="J23" s="1"/>
      <c r="K23" s="1"/>
      <c r="L23" s="1"/>
      <c r="M23" s="64">
        <f ca="1">IFERROR(ROUND(M24/(Q21-M21), 4), 0)</f>
        <v>7.4071999999999996</v>
      </c>
      <c r="N23" s="1"/>
      <c r="O23" s="1"/>
      <c r="P23" s="1"/>
      <c r="Q23" s="1"/>
      <c r="R23" s="54"/>
    </row>
    <row r="24" spans="1:18" x14ac:dyDescent="0.2">
      <c r="A24" s="1"/>
      <c r="B24" s="16" t="s">
        <v>71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21">
        <f>M25-L21</f>
        <v>150000000</v>
      </c>
      <c r="N24" s="1"/>
      <c r="O24" s="1"/>
      <c r="P24" s="1"/>
      <c r="Q24" s="1"/>
      <c r="R24" s="54"/>
    </row>
    <row r="25" spans="1:18" ht="13.75" customHeight="1" thickBot="1" x14ac:dyDescent="0.25">
      <c r="A25" s="1"/>
      <c r="B25" s="18" t="s">
        <v>72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69">
        <f>C29+C30</f>
        <v>180000000</v>
      </c>
      <c r="N25" s="15"/>
      <c r="O25" s="15"/>
      <c r="P25" s="15"/>
      <c r="Q25" s="15"/>
      <c r="R25" s="55"/>
    </row>
    <row r="26" spans="1:18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/>
      <c r="B27" s="30" t="s">
        <v>78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/>
      <c r="B29" s="1" t="s">
        <v>71</v>
      </c>
      <c r="C29" s="63">
        <v>150000000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1" t="s">
        <v>74</v>
      </c>
      <c r="C30" s="63">
        <v>30000000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1" t="s">
        <v>85</v>
      </c>
      <c r="C31" s="63">
        <v>15000000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1" t="s">
        <v>94</v>
      </c>
      <c r="C32" s="20">
        <f>C30-C31</f>
        <v>15000000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">
      <c r="A33" s="1"/>
      <c r="B33" s="1" t="s">
        <v>95</v>
      </c>
      <c r="C33" s="1" t="s">
        <v>96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">
      <c r="A34" s="1"/>
      <c r="B34" s="1" t="s">
        <v>97</v>
      </c>
      <c r="C34" s="2">
        <v>7.0000000000000007E-2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">
      <c r="A36" s="1"/>
      <c r="B36" s="1" t="s">
        <v>98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">
      <c r="A37" s="1"/>
      <c r="B37" s="1" t="s">
        <v>99</v>
      </c>
      <c r="C37" s="45">
        <f>'Series A'!G18/'Series A'!G21</f>
        <v>0.6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">
      <c r="A38" s="1"/>
      <c r="B38" s="1" t="s">
        <v>100</v>
      </c>
      <c r="C38" s="45">
        <f>'Series A'!G16/'Series A'!G21</f>
        <v>0.25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">
      <c r="A39" s="1"/>
      <c r="B39" s="1" t="s">
        <v>101</v>
      </c>
      <c r="C39" s="45">
        <f>'Series A'!G19/'Series A'!G21</f>
        <v>0.15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__temp__</vt:lpstr>
      <vt:lpstr>Detailed Cap Table</vt:lpstr>
      <vt:lpstr>SAFE Investments</vt:lpstr>
      <vt:lpstr>Series A</vt:lpstr>
      <vt:lpstr>Series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Sidarth Subramanian</cp:lastModifiedBy>
  <dcterms:modified xsi:type="dcterms:W3CDTF">2026-04-16T00:00:37Z</dcterms:modified>
</cp:coreProperties>
</file>