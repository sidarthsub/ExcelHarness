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idsub/Documents/ExcelHarness/runs/20260415-193545/models/"/>
    </mc:Choice>
  </mc:AlternateContent>
  <xr:revisionPtr revIDLastSave="0" documentId="13_ncr:1_{F870C7EF-FB22-D045-8EE2-03716B0E15E3}" xr6:coauthVersionLast="47" xr6:coauthVersionMax="47" xr10:uidLastSave="{00000000-0000-0000-0000-000000000000}"/>
  <bookViews>
    <workbookView xWindow="0" yWindow="760" windowWidth="29400" windowHeight="17160" activeTab="6" xr2:uid="{00000000-000D-0000-FFFF-FFFF00000000}"/>
  </bookViews>
  <sheets>
    <sheet name="__temp__" sheetId="1" r:id="rId1"/>
    <sheet name="Detailed Cap Table" sheetId="2" r:id="rId2"/>
    <sheet name="SAFE Investments" sheetId="3" r:id="rId3"/>
    <sheet name="Series A" sheetId="4" r:id="rId4"/>
    <sheet name="Series B" sheetId="5" r:id="rId5"/>
    <sheet name="PostBReturns" sheetId="10" r:id="rId6"/>
    <sheet name="PostAReturns" sheetId="11" r:id="rId7"/>
  </sheets>
  <calcPr calcId="191029" calcMode="manual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8" i="11" l="1"/>
  <c r="R78" i="11"/>
  <c r="S78" i="11"/>
  <c r="T78" i="11"/>
  <c r="I72" i="11"/>
  <c r="I78" i="11" s="1"/>
  <c r="J72" i="11"/>
  <c r="J78" i="11" s="1"/>
  <c r="K72" i="11"/>
  <c r="K78" i="11" s="1"/>
  <c r="L72" i="11"/>
  <c r="L78" i="11" s="1"/>
  <c r="M72" i="11"/>
  <c r="M78" i="11" s="1"/>
  <c r="N72" i="11"/>
  <c r="N78" i="11" s="1"/>
  <c r="O72" i="11"/>
  <c r="O78" i="11" s="1"/>
  <c r="P72" i="11"/>
  <c r="P78" i="11" s="1"/>
  <c r="Q72" i="11"/>
  <c r="R72" i="11"/>
  <c r="S72" i="11"/>
  <c r="T72" i="11"/>
  <c r="U72" i="11"/>
  <c r="U78" i="11" s="1"/>
  <c r="V72" i="11"/>
  <c r="V78" i="11" s="1"/>
  <c r="W72" i="11"/>
  <c r="W78" i="11" s="1"/>
  <c r="X72" i="11"/>
  <c r="X78" i="11" s="1"/>
  <c r="I29" i="11"/>
  <c r="J29" i="11"/>
  <c r="M29" i="11"/>
  <c r="N29" i="11"/>
  <c r="Q29" i="11"/>
  <c r="S29" i="11"/>
  <c r="T29" i="11"/>
  <c r="U29" i="11"/>
  <c r="V29" i="11"/>
  <c r="I20" i="11"/>
  <c r="J20" i="11"/>
  <c r="K20" i="11"/>
  <c r="K29" i="11" s="1"/>
  <c r="L20" i="11"/>
  <c r="L29" i="11" s="1"/>
  <c r="O20" i="11"/>
  <c r="O29" i="11" s="1"/>
  <c r="P20" i="11"/>
  <c r="P29" i="11" s="1"/>
  <c r="Q20" i="11"/>
  <c r="R20" i="11"/>
  <c r="R29" i="11" s="1"/>
  <c r="S20" i="11"/>
  <c r="T20" i="11"/>
  <c r="U20" i="11"/>
  <c r="V20" i="11"/>
  <c r="I11" i="11"/>
  <c r="I12" i="11" s="1"/>
  <c r="I4" i="11"/>
  <c r="J4" i="11"/>
  <c r="J7" i="11"/>
  <c r="J5" i="11"/>
  <c r="K5" i="11"/>
  <c r="L5" i="11"/>
  <c r="M5" i="11"/>
  <c r="N5" i="11" s="1"/>
  <c r="O5" i="11" s="1"/>
  <c r="P5" i="11" s="1"/>
  <c r="Q5" i="11" s="1"/>
  <c r="R5" i="11" s="1"/>
  <c r="S5" i="11"/>
  <c r="T5" i="11"/>
  <c r="U5" i="11" s="1"/>
  <c r="V5" i="11" s="1"/>
  <c r="W5" i="11" s="1"/>
  <c r="X5" i="11" s="1"/>
  <c r="D79" i="11"/>
  <c r="F20" i="11"/>
  <c r="M20" i="11" s="1"/>
  <c r="G20" i="11"/>
  <c r="N20" i="11" s="1"/>
  <c r="B20" i="11"/>
  <c r="B19" i="11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N20" i="10"/>
  <c r="N29" i="10" s="1"/>
  <c r="O20" i="10"/>
  <c r="O29" i="10" s="1"/>
  <c r="P20" i="10"/>
  <c r="P29" i="10" s="1"/>
  <c r="J12" i="10"/>
  <c r="I11" i="10"/>
  <c r="I12" i="10" s="1"/>
  <c r="I4" i="10"/>
  <c r="J4" i="10"/>
  <c r="J7" i="10"/>
  <c r="J11" i="10" s="1"/>
  <c r="J5" i="10"/>
  <c r="K5" i="10"/>
  <c r="L5" i="10" s="1"/>
  <c r="M5" i="10" s="1"/>
  <c r="N5" i="10" s="1"/>
  <c r="O5" i="10" s="1"/>
  <c r="P5" i="10" s="1"/>
  <c r="Q5" i="10" s="1"/>
  <c r="R5" i="10" s="1"/>
  <c r="S5" i="10"/>
  <c r="T5" i="10"/>
  <c r="U5" i="10"/>
  <c r="V5" i="10"/>
  <c r="W5" i="10" s="1"/>
  <c r="X5" i="10" s="1"/>
  <c r="D82" i="10"/>
  <c r="D83" i="10" s="1"/>
  <c r="B21" i="10"/>
  <c r="F20" i="10"/>
  <c r="Q20" i="10" s="1"/>
  <c r="Q29" i="10" s="1"/>
  <c r="G20" i="10"/>
  <c r="I20" i="10" s="1"/>
  <c r="B20" i="10"/>
  <c r="B19" i="10"/>
  <c r="H25" i="4"/>
  <c r="G21" i="4"/>
  <c r="C38" i="5" s="1"/>
  <c r="D17" i="4"/>
  <c r="D17" i="5" s="1"/>
  <c r="D16" i="4"/>
  <c r="D16" i="5" s="1"/>
  <c r="H14" i="4"/>
  <c r="E14" i="4"/>
  <c r="C27" i="3"/>
  <c r="F23" i="2"/>
  <c r="E23" i="2"/>
  <c r="D23" i="2"/>
  <c r="C23" i="2"/>
  <c r="G21" i="2"/>
  <c r="C36" i="4" s="1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C9" i="4" s="1"/>
  <c r="G4" i="2"/>
  <c r="C32" i="5"/>
  <c r="M25" i="5"/>
  <c r="G19" i="5"/>
  <c r="G18" i="5"/>
  <c r="G16" i="5"/>
  <c r="M14" i="5"/>
  <c r="H14" i="5"/>
  <c r="E14" i="5"/>
  <c r="J12" i="11" l="1"/>
  <c r="K7" i="11"/>
  <c r="J11" i="11"/>
  <c r="X20" i="11"/>
  <c r="X29" i="11" s="1"/>
  <c r="W20" i="11"/>
  <c r="W29" i="11" s="1"/>
  <c r="I29" i="10"/>
  <c r="R20" i="10"/>
  <c r="R29" i="10" s="1"/>
  <c r="X20" i="10"/>
  <c r="X29" i="10" s="1"/>
  <c r="W20" i="10"/>
  <c r="W29" i="10" s="1"/>
  <c r="M20" i="10"/>
  <c r="M29" i="10" s="1"/>
  <c r="K7" i="10"/>
  <c r="V20" i="10"/>
  <c r="V29" i="10" s="1"/>
  <c r="L20" i="10"/>
  <c r="L29" i="10" s="1"/>
  <c r="U20" i="10"/>
  <c r="U29" i="10" s="1"/>
  <c r="K20" i="10"/>
  <c r="K29" i="10" s="1"/>
  <c r="T20" i="10"/>
  <c r="T29" i="10" s="1"/>
  <c r="J20" i="10"/>
  <c r="J29" i="10" s="1"/>
  <c r="S20" i="10"/>
  <c r="S29" i="10" s="1"/>
  <c r="D21" i="5"/>
  <c r="C39" i="5"/>
  <c r="L19" i="5" s="1"/>
  <c r="G21" i="5"/>
  <c r="L16" i="5"/>
  <c r="C10" i="4"/>
  <c r="C11" i="4"/>
  <c r="C11" i="5" s="1"/>
  <c r="Q11" i="5" s="1"/>
  <c r="H24" i="4"/>
  <c r="L10" i="4"/>
  <c r="C10" i="5"/>
  <c r="Q10" i="5" s="1"/>
  <c r="H19" i="2"/>
  <c r="C9" i="5"/>
  <c r="Q9" i="5" s="1"/>
  <c r="L9" i="4"/>
  <c r="G23" i="2"/>
  <c r="H11" i="2" s="1"/>
  <c r="C8" i="4"/>
  <c r="C12" i="4"/>
  <c r="C37" i="5"/>
  <c r="L18" i="5" s="1"/>
  <c r="D21" i="4"/>
  <c r="E23" i="4" s="1"/>
  <c r="E23" i="5" s="1"/>
  <c r="L7" i="11" l="1"/>
  <c r="K11" i="11"/>
  <c r="K12" i="11" s="1"/>
  <c r="K4" i="11"/>
  <c r="K11" i="10"/>
  <c r="L7" i="10"/>
  <c r="K12" i="10"/>
  <c r="K4" i="10"/>
  <c r="L11" i="4"/>
  <c r="H20" i="2"/>
  <c r="H5" i="2"/>
  <c r="L21" i="5"/>
  <c r="M24" i="5" s="1"/>
  <c r="C12" i="5"/>
  <c r="C14" i="4"/>
  <c r="C21" i="4" s="1"/>
  <c r="C8" i="5"/>
  <c r="L8" i="4"/>
  <c r="E17" i="4"/>
  <c r="H13" i="2"/>
  <c r="H8" i="2"/>
  <c r="H18" i="2"/>
  <c r="H10" i="2"/>
  <c r="H9" i="2"/>
  <c r="E16" i="4"/>
  <c r="H17" i="2"/>
  <c r="H7" i="2"/>
  <c r="H21" i="2"/>
  <c r="H15" i="2"/>
  <c r="H16" i="2"/>
  <c r="H6" i="2"/>
  <c r="H12" i="2"/>
  <c r="H14" i="2"/>
  <c r="H4" i="2"/>
  <c r="M7" i="11" l="1"/>
  <c r="L4" i="11"/>
  <c r="L11" i="11"/>
  <c r="L12" i="11" s="1"/>
  <c r="L11" i="10"/>
  <c r="M7" i="10"/>
  <c r="L4" i="10"/>
  <c r="L12" i="10"/>
  <c r="Q8" i="5"/>
  <c r="C14" i="5"/>
  <c r="C21" i="5" s="1"/>
  <c r="E21" i="4"/>
  <c r="E16" i="5"/>
  <c r="L17" i="4"/>
  <c r="E17" i="5"/>
  <c r="Q17" i="5" s="1"/>
  <c r="M11" i="11" l="1"/>
  <c r="M4" i="11"/>
  <c r="M12" i="11"/>
  <c r="N7" i="11"/>
  <c r="M4" i="10"/>
  <c r="M11" i="10"/>
  <c r="M12" i="10"/>
  <c r="N7" i="10"/>
  <c r="E21" i="5"/>
  <c r="N11" i="11" l="1"/>
  <c r="N4" i="11"/>
  <c r="O7" i="11"/>
  <c r="N12" i="11"/>
  <c r="N4" i="10"/>
  <c r="N11" i="10"/>
  <c r="N12" i="10" s="1"/>
  <c r="O7" i="10"/>
  <c r="P7" i="11" l="1"/>
  <c r="O4" i="11"/>
  <c r="O11" i="11"/>
  <c r="O12" i="11"/>
  <c r="O4" i="10"/>
  <c r="P7" i="10"/>
  <c r="O11" i="10"/>
  <c r="O12" i="10" s="1"/>
  <c r="Q7" i="11" l="1"/>
  <c r="P4" i="11"/>
  <c r="P11" i="11"/>
  <c r="P12" i="11" s="1"/>
  <c r="P4" i="10"/>
  <c r="P11" i="10"/>
  <c r="P12" i="10" s="1"/>
  <c r="Q7" i="10"/>
  <c r="Q4" i="11" l="1"/>
  <c r="R7" i="11"/>
  <c r="Q12" i="11"/>
  <c r="Q11" i="11"/>
  <c r="R7" i="10"/>
  <c r="Q4" i="10"/>
  <c r="Q11" i="10"/>
  <c r="Q12" i="10" s="1"/>
  <c r="R4" i="11" l="1"/>
  <c r="R11" i="11"/>
  <c r="S7" i="11"/>
  <c r="R12" i="11"/>
  <c r="S7" i="10"/>
  <c r="R12" i="10"/>
  <c r="R11" i="10"/>
  <c r="R4" i="10"/>
  <c r="S4" i="11" l="1"/>
  <c r="T7" i="11"/>
  <c r="S11" i="11"/>
  <c r="S12" i="11" s="1"/>
  <c r="S11" i="10"/>
  <c r="S12" i="10" s="1"/>
  <c r="T7" i="10"/>
  <c r="S4" i="10"/>
  <c r="T11" i="11" l="1"/>
  <c r="T12" i="11" s="1"/>
  <c r="T4" i="11"/>
  <c r="U7" i="11"/>
  <c r="T11" i="10"/>
  <c r="U7" i="10"/>
  <c r="T4" i="10"/>
  <c r="T12" i="10"/>
  <c r="V7" i="11" l="1"/>
  <c r="U11" i="11"/>
  <c r="U4" i="11"/>
  <c r="U12" i="11"/>
  <c r="U11" i="10"/>
  <c r="V7" i="10"/>
  <c r="U4" i="10"/>
  <c r="U12" i="10"/>
  <c r="W7" i="11" l="1"/>
  <c r="V11" i="11"/>
  <c r="V12" i="11" s="1"/>
  <c r="V4" i="11"/>
  <c r="V11" i="10"/>
  <c r="V4" i="10"/>
  <c r="V12" i="10"/>
  <c r="W7" i="10"/>
  <c r="W11" i="11" l="1"/>
  <c r="W12" i="11"/>
  <c r="X7" i="11"/>
  <c r="W4" i="11"/>
  <c r="W4" i="10"/>
  <c r="W11" i="10"/>
  <c r="X7" i="10"/>
  <c r="W12" i="10"/>
  <c r="X11" i="11" l="1"/>
  <c r="X12" i="11"/>
  <c r="X4" i="11"/>
  <c r="X4" i="10"/>
  <c r="X11" i="10"/>
  <c r="X12" i="10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H20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W26" i="11"/>
  <c r="X26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W27" i="11"/>
  <c r="X27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U30" i="11"/>
  <c r="V30" i="11"/>
  <c r="W30" i="11"/>
  <c r="X30" i="11"/>
  <c r="I31" i="11"/>
  <c r="J31" i="11"/>
  <c r="K31" i="11"/>
  <c r="L31" i="11"/>
  <c r="M31" i="11"/>
  <c r="N31" i="11"/>
  <c r="O31" i="11"/>
  <c r="P31" i="11"/>
  <c r="Q31" i="11"/>
  <c r="R31" i="11"/>
  <c r="S31" i="11"/>
  <c r="T31" i="11"/>
  <c r="U31" i="11"/>
  <c r="V31" i="11"/>
  <c r="W31" i="11"/>
  <c r="X31" i="11"/>
  <c r="I32" i="11"/>
  <c r="J32" i="11"/>
  <c r="K32" i="11"/>
  <c r="L32" i="11"/>
  <c r="M32" i="11"/>
  <c r="N32" i="11"/>
  <c r="O32" i="11"/>
  <c r="P32" i="11"/>
  <c r="Q32" i="11"/>
  <c r="R32" i="11"/>
  <c r="S32" i="11"/>
  <c r="T32" i="11"/>
  <c r="U32" i="11"/>
  <c r="V32" i="11"/>
  <c r="W32" i="11"/>
  <c r="X32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U39" i="11"/>
  <c r="V39" i="11"/>
  <c r="W39" i="11"/>
  <c r="X39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U42" i="11"/>
  <c r="V42" i="11"/>
  <c r="W42" i="11"/>
  <c r="X42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U46" i="11"/>
  <c r="V46" i="11"/>
  <c r="W46" i="11"/>
  <c r="X46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U47" i="11"/>
  <c r="V47" i="11"/>
  <c r="W47" i="11"/>
  <c r="X47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U48" i="11"/>
  <c r="V48" i="11"/>
  <c r="W48" i="11"/>
  <c r="X48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U51" i="11"/>
  <c r="V51" i="11"/>
  <c r="W51" i="11"/>
  <c r="X51" i="11"/>
  <c r="I52" i="11"/>
  <c r="J52" i="11"/>
  <c r="K52" i="11"/>
  <c r="L52" i="11"/>
  <c r="M52" i="11"/>
  <c r="N52" i="11"/>
  <c r="O52" i="11"/>
  <c r="P52" i="11"/>
  <c r="Q52" i="11"/>
  <c r="R52" i="11"/>
  <c r="S52" i="11"/>
  <c r="T52" i="11"/>
  <c r="U52" i="11"/>
  <c r="V52" i="11"/>
  <c r="W52" i="11"/>
  <c r="X52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U53" i="11"/>
  <c r="V53" i="11"/>
  <c r="W53" i="11"/>
  <c r="X53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U54" i="11"/>
  <c r="V54" i="11"/>
  <c r="W54" i="11"/>
  <c r="X54" i="11"/>
  <c r="I57" i="11"/>
  <c r="J57" i="11"/>
  <c r="K57" i="11"/>
  <c r="L57" i="11"/>
  <c r="M57" i="11"/>
  <c r="N57" i="11"/>
  <c r="O57" i="11"/>
  <c r="P57" i="11"/>
  <c r="Q57" i="11"/>
  <c r="R57" i="11"/>
  <c r="S57" i="11"/>
  <c r="T57" i="11"/>
  <c r="U57" i="11"/>
  <c r="V57" i="11"/>
  <c r="W57" i="11"/>
  <c r="X57" i="11"/>
  <c r="I58" i="11"/>
  <c r="J58" i="11"/>
  <c r="K58" i="11"/>
  <c r="L58" i="11"/>
  <c r="M58" i="11"/>
  <c r="N58" i="11"/>
  <c r="O58" i="11"/>
  <c r="P58" i="11"/>
  <c r="Q58" i="11"/>
  <c r="R58" i="11"/>
  <c r="S58" i="11"/>
  <c r="T58" i="11"/>
  <c r="U58" i="11"/>
  <c r="V58" i="11"/>
  <c r="W58" i="11"/>
  <c r="X58" i="11"/>
  <c r="I59" i="11"/>
  <c r="J59" i="11"/>
  <c r="K59" i="11"/>
  <c r="L59" i="11"/>
  <c r="M59" i="11"/>
  <c r="N59" i="11"/>
  <c r="O59" i="11"/>
  <c r="P59" i="11"/>
  <c r="Q59" i="11"/>
  <c r="R59" i="11"/>
  <c r="S59" i="11"/>
  <c r="T59" i="11"/>
  <c r="U59" i="11"/>
  <c r="V59" i="11"/>
  <c r="W59" i="11"/>
  <c r="X59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U60" i="11"/>
  <c r="V60" i="11"/>
  <c r="W60" i="11"/>
  <c r="X60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U61" i="11"/>
  <c r="V61" i="11"/>
  <c r="W61" i="11"/>
  <c r="X61" i="11"/>
  <c r="I62" i="11"/>
  <c r="J62" i="11"/>
  <c r="K62" i="11"/>
  <c r="L62" i="11"/>
  <c r="M62" i="11"/>
  <c r="N62" i="11"/>
  <c r="O62" i="11"/>
  <c r="P62" i="11"/>
  <c r="Q62" i="11"/>
  <c r="R62" i="11"/>
  <c r="S62" i="11"/>
  <c r="T62" i="11"/>
  <c r="U62" i="11"/>
  <c r="V62" i="11"/>
  <c r="W62" i="11"/>
  <c r="X62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U63" i="11"/>
  <c r="V63" i="11"/>
  <c r="W63" i="11"/>
  <c r="X63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U64" i="11"/>
  <c r="V64" i="11"/>
  <c r="W64" i="11"/>
  <c r="X64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U65" i="11"/>
  <c r="V65" i="11"/>
  <c r="W65" i="11"/>
  <c r="X65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U67" i="11"/>
  <c r="V67" i="11"/>
  <c r="W67" i="11"/>
  <c r="X67" i="11"/>
  <c r="I71" i="11"/>
  <c r="J71" i="11"/>
  <c r="K71" i="11"/>
  <c r="L71" i="11"/>
  <c r="M71" i="11"/>
  <c r="N71" i="11"/>
  <c r="O71" i="11"/>
  <c r="P71" i="11"/>
  <c r="Q71" i="11"/>
  <c r="R71" i="11"/>
  <c r="S71" i="11"/>
  <c r="T71" i="11"/>
  <c r="U71" i="11"/>
  <c r="V71" i="11"/>
  <c r="W71" i="11"/>
  <c r="X71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U73" i="11"/>
  <c r="V73" i="11"/>
  <c r="W73" i="11"/>
  <c r="X73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U74" i="11"/>
  <c r="V74" i="11"/>
  <c r="W74" i="11"/>
  <c r="X74" i="11"/>
  <c r="I75" i="11"/>
  <c r="J75" i="11"/>
  <c r="K75" i="11"/>
  <c r="L75" i="11"/>
  <c r="M75" i="11"/>
  <c r="N75" i="11"/>
  <c r="O75" i="11"/>
  <c r="P75" i="11"/>
  <c r="Q75" i="11"/>
  <c r="R75" i="11"/>
  <c r="S75" i="11"/>
  <c r="T75" i="11"/>
  <c r="U75" i="11"/>
  <c r="V75" i="11"/>
  <c r="W75" i="11"/>
  <c r="X75" i="11"/>
  <c r="I76" i="11"/>
  <c r="J76" i="11"/>
  <c r="K76" i="11"/>
  <c r="L76" i="11"/>
  <c r="M76" i="11"/>
  <c r="N76" i="11"/>
  <c r="O76" i="11"/>
  <c r="P76" i="11"/>
  <c r="Q76" i="11"/>
  <c r="R76" i="11"/>
  <c r="S76" i="11"/>
  <c r="T76" i="11"/>
  <c r="U76" i="11"/>
  <c r="V76" i="11"/>
  <c r="W76" i="11"/>
  <c r="X76" i="11"/>
  <c r="I79" i="11"/>
  <c r="J79" i="11"/>
  <c r="K79" i="11"/>
  <c r="L79" i="11"/>
  <c r="M79" i="11"/>
  <c r="N79" i="11"/>
  <c r="O79" i="11"/>
  <c r="P79" i="11"/>
  <c r="Q79" i="11"/>
  <c r="R79" i="11"/>
  <c r="S79" i="11"/>
  <c r="T79" i="11"/>
  <c r="U79" i="11"/>
  <c r="V79" i="11"/>
  <c r="W79" i="11"/>
  <c r="X79" i="11"/>
  <c r="I14" i="10"/>
  <c r="J14" i="10"/>
  <c r="K14" i="10"/>
  <c r="L14" i="10"/>
  <c r="M14" i="10"/>
  <c r="N14" i="10"/>
  <c r="O14" i="10"/>
  <c r="P14" i="10"/>
  <c r="Q14" i="10"/>
  <c r="R14" i="10"/>
  <c r="S14" i="10"/>
  <c r="T14" i="10"/>
  <c r="U14" i="10"/>
  <c r="V14" i="10"/>
  <c r="W14" i="10"/>
  <c r="X14" i="10"/>
  <c r="I16" i="10"/>
  <c r="J16" i="10"/>
  <c r="K16" i="10"/>
  <c r="L16" i="10"/>
  <c r="M16" i="10"/>
  <c r="N16" i="10"/>
  <c r="O16" i="10"/>
  <c r="P16" i="10"/>
  <c r="Q16" i="10"/>
  <c r="R16" i="10"/>
  <c r="S16" i="10"/>
  <c r="T16" i="10"/>
  <c r="U16" i="10"/>
  <c r="V16" i="10"/>
  <c r="W16" i="10"/>
  <c r="X16" i="10"/>
  <c r="F19" i="10"/>
  <c r="G19" i="10"/>
  <c r="H19" i="10"/>
  <c r="I19" i="10"/>
  <c r="J19" i="10"/>
  <c r="K19" i="10"/>
  <c r="L19" i="10"/>
  <c r="M19" i="10"/>
  <c r="N19" i="10"/>
  <c r="O19" i="10"/>
  <c r="P19" i="10"/>
  <c r="Q19" i="10"/>
  <c r="R19" i="10"/>
  <c r="S19" i="10"/>
  <c r="T19" i="10"/>
  <c r="U19" i="10"/>
  <c r="V19" i="10"/>
  <c r="W19" i="10"/>
  <c r="X19" i="10"/>
  <c r="H20" i="10"/>
  <c r="F21" i="10"/>
  <c r="G21" i="10"/>
  <c r="H21" i="10"/>
  <c r="I21" i="10"/>
  <c r="J21" i="10"/>
  <c r="K21" i="10"/>
  <c r="L21" i="10"/>
  <c r="M21" i="10"/>
  <c r="N21" i="10"/>
  <c r="O21" i="10"/>
  <c r="P21" i="10"/>
  <c r="Q21" i="10"/>
  <c r="R21" i="10"/>
  <c r="S21" i="10"/>
  <c r="T21" i="10"/>
  <c r="U21" i="10"/>
  <c r="V21" i="10"/>
  <c r="W21" i="10"/>
  <c r="X21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I25" i="10"/>
  <c r="J25" i="10"/>
  <c r="K25" i="10"/>
  <c r="L25" i="10"/>
  <c r="M25" i="10"/>
  <c r="N25" i="10"/>
  <c r="O25" i="10"/>
  <c r="P25" i="10"/>
  <c r="Q25" i="10"/>
  <c r="R25" i="10"/>
  <c r="S25" i="10"/>
  <c r="T25" i="10"/>
  <c r="U25" i="10"/>
  <c r="V25" i="10"/>
  <c r="W25" i="10"/>
  <c r="X25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I27" i="10"/>
  <c r="J27" i="10"/>
  <c r="K27" i="10"/>
  <c r="L27" i="10"/>
  <c r="M27" i="10"/>
  <c r="N27" i="10"/>
  <c r="O27" i="10"/>
  <c r="P27" i="10"/>
  <c r="Q27" i="10"/>
  <c r="R27" i="10"/>
  <c r="S27" i="10"/>
  <c r="T27" i="10"/>
  <c r="U27" i="10"/>
  <c r="V27" i="10"/>
  <c r="W27" i="10"/>
  <c r="X27" i="10"/>
  <c r="I30" i="10"/>
  <c r="J30" i="10"/>
  <c r="K30" i="10"/>
  <c r="L30" i="10"/>
  <c r="M30" i="10"/>
  <c r="N30" i="10"/>
  <c r="O30" i="10"/>
  <c r="P30" i="10"/>
  <c r="Q30" i="10"/>
  <c r="R30" i="10"/>
  <c r="S30" i="10"/>
  <c r="T30" i="10"/>
  <c r="U30" i="10"/>
  <c r="V30" i="10"/>
  <c r="W30" i="10"/>
  <c r="X30" i="10"/>
  <c r="I31" i="10"/>
  <c r="J31" i="10"/>
  <c r="K31" i="10"/>
  <c r="L31" i="10"/>
  <c r="M31" i="10"/>
  <c r="N31" i="10"/>
  <c r="O31" i="10"/>
  <c r="P31" i="10"/>
  <c r="Q31" i="10"/>
  <c r="R31" i="10"/>
  <c r="S31" i="10"/>
  <c r="T31" i="10"/>
  <c r="U31" i="10"/>
  <c r="V31" i="10"/>
  <c r="W31" i="10"/>
  <c r="X31" i="10"/>
  <c r="I32" i="10"/>
  <c r="J32" i="10"/>
  <c r="K32" i="10"/>
  <c r="L32" i="10"/>
  <c r="M32" i="10"/>
  <c r="N32" i="10"/>
  <c r="O32" i="10"/>
  <c r="P32" i="10"/>
  <c r="Q32" i="10"/>
  <c r="R32" i="10"/>
  <c r="S32" i="10"/>
  <c r="T32" i="10"/>
  <c r="U32" i="10"/>
  <c r="V32" i="10"/>
  <c r="W32" i="10"/>
  <c r="X32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I35" i="10"/>
  <c r="J35" i="10"/>
  <c r="K35" i="10"/>
  <c r="L35" i="10"/>
  <c r="M35" i="10"/>
  <c r="N35" i="10"/>
  <c r="O35" i="10"/>
  <c r="P35" i="10"/>
  <c r="Q35" i="10"/>
  <c r="R35" i="10"/>
  <c r="S35" i="10"/>
  <c r="T35" i="10"/>
  <c r="U35" i="10"/>
  <c r="V35" i="10"/>
  <c r="W35" i="10"/>
  <c r="X35" i="10"/>
  <c r="I36" i="10"/>
  <c r="J36" i="10"/>
  <c r="K36" i="10"/>
  <c r="L36" i="10"/>
  <c r="M36" i="10"/>
  <c r="N36" i="10"/>
  <c r="O36" i="10"/>
  <c r="P36" i="10"/>
  <c r="Q36" i="10"/>
  <c r="R36" i="10"/>
  <c r="S36" i="10"/>
  <c r="T36" i="10"/>
  <c r="U36" i="10"/>
  <c r="V36" i="10"/>
  <c r="W36" i="10"/>
  <c r="X36" i="10"/>
  <c r="I37" i="10"/>
  <c r="J37" i="10"/>
  <c r="K37" i="10"/>
  <c r="L37" i="10"/>
  <c r="M37" i="10"/>
  <c r="N37" i="10"/>
  <c r="O37" i="10"/>
  <c r="P37" i="10"/>
  <c r="Q37" i="10"/>
  <c r="R37" i="10"/>
  <c r="S37" i="10"/>
  <c r="T37" i="10"/>
  <c r="U37" i="10"/>
  <c r="V37" i="10"/>
  <c r="W37" i="10"/>
  <c r="X37" i="10"/>
  <c r="I39" i="10"/>
  <c r="J39" i="10"/>
  <c r="K39" i="10"/>
  <c r="L39" i="10"/>
  <c r="M39" i="10"/>
  <c r="N39" i="10"/>
  <c r="O39" i="10"/>
  <c r="P39" i="10"/>
  <c r="Q39" i="10"/>
  <c r="R39" i="10"/>
  <c r="S39" i="10"/>
  <c r="T39" i="10"/>
  <c r="U39" i="10"/>
  <c r="V39" i="10"/>
  <c r="W39" i="10"/>
  <c r="X39" i="10"/>
  <c r="I42" i="10"/>
  <c r="J42" i="10"/>
  <c r="K42" i="10"/>
  <c r="L42" i="10"/>
  <c r="M42" i="10"/>
  <c r="N42" i="10"/>
  <c r="O42" i="10"/>
  <c r="P42" i="10"/>
  <c r="Q42" i="10"/>
  <c r="R42" i="10"/>
  <c r="S42" i="10"/>
  <c r="T42" i="10"/>
  <c r="U42" i="10"/>
  <c r="V42" i="10"/>
  <c r="W42" i="10"/>
  <c r="X42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M8" i="4"/>
  <c r="M9" i="4"/>
  <c r="M10" i="4"/>
  <c r="M11" i="4"/>
  <c r="J12" i="4"/>
  <c r="L12" i="4"/>
  <c r="M12" i="4"/>
  <c r="J14" i="4"/>
  <c r="L14" i="4"/>
  <c r="M14" i="4"/>
  <c r="H16" i="4"/>
  <c r="L16" i="4"/>
  <c r="M16" i="4"/>
  <c r="M17" i="4"/>
  <c r="H18" i="4"/>
  <c r="L18" i="4"/>
  <c r="M18" i="4"/>
  <c r="H19" i="4"/>
  <c r="L19" i="4"/>
  <c r="M19" i="4"/>
  <c r="H21" i="4"/>
  <c r="J21" i="4"/>
  <c r="L21" i="4"/>
  <c r="M21" i="4"/>
  <c r="H23" i="4"/>
  <c r="R8" i="5"/>
  <c r="R9" i="5"/>
  <c r="R10" i="5"/>
  <c r="R11" i="5"/>
  <c r="J12" i="5"/>
  <c r="O12" i="5"/>
  <c r="Q12" i="5"/>
  <c r="R12" i="5"/>
  <c r="J14" i="5"/>
  <c r="O14" i="5"/>
  <c r="Q14" i="5"/>
  <c r="R14" i="5"/>
  <c r="H16" i="5"/>
  <c r="M16" i="5"/>
  <c r="Q16" i="5"/>
  <c r="R16" i="5"/>
  <c r="R17" i="5"/>
  <c r="H18" i="5"/>
  <c r="M18" i="5"/>
  <c r="Q18" i="5"/>
  <c r="R18" i="5"/>
  <c r="H19" i="5"/>
  <c r="M19" i="5"/>
  <c r="Q19" i="5"/>
  <c r="R19" i="5"/>
  <c r="M20" i="5"/>
  <c r="Q20" i="5"/>
  <c r="R20" i="5"/>
  <c r="H21" i="5"/>
  <c r="J21" i="5"/>
  <c r="M21" i="5"/>
  <c r="O21" i="5"/>
  <c r="Q21" i="5"/>
  <c r="R21" i="5"/>
  <c r="H23" i="5"/>
  <c r="M23" i="5"/>
</calcChain>
</file>

<file path=xl/sharedStrings.xml><?xml version="1.0" encoding="utf-8"?>
<sst xmlns="http://schemas.openxmlformats.org/spreadsheetml/2006/main" count="354" uniqueCount="152">
  <si>
    <t>THINK MORE SECURITY &amp; TEN ELEVEN SERIES B</t>
  </si>
  <si>
    <t xml:space="preserve">Common </t>
  </si>
  <si>
    <t>SAFE Preferred</t>
  </si>
  <si>
    <t>Series A</t>
  </si>
  <si>
    <t xml:space="preserve">Option </t>
  </si>
  <si>
    <t>Series B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</si>
  <si>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</si>
  <si>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</si>
  <si>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</si>
  <si>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</si>
  <si>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</si>
  <si>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</si>
  <si>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</si>
  <si>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</si>
  <si>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 xml:space="preserve"> Invested</t>
  </si>
  <si>
    <t>Pre A</t>
  </si>
  <si>
    <t>Pre B</t>
  </si>
  <si>
    <t>FD</t>
  </si>
  <si>
    <t>Common Stock and Options:</t>
  </si>
  <si>
    <t>Brian Hazzard</t>
  </si>
  <si>
    <t>David Wolpoff</t>
  </si>
  <si>
    <t>Other Common Shareholders</t>
  </si>
  <si>
    <t>ESOP Issued &amp; Outstanding</t>
  </si>
  <si>
    <t>ESOP Available</t>
  </si>
  <si>
    <t>Total Common</t>
  </si>
  <si>
    <t>Preferred Rounds</t>
  </si>
  <si>
    <t>Accomplice</t>
  </si>
  <si>
    <t>Other SAFE Investors</t>
  </si>
  <si>
    <t>Other Series A Investors</t>
  </si>
  <si>
    <t>Other Series B Investors</t>
  </si>
  <si>
    <t>Totals</t>
  </si>
  <si>
    <t xml:space="preserve">Price per Share </t>
  </si>
  <si>
    <t>Pre-Money Valuation</t>
  </si>
  <si>
    <t>Post-Money Valuation</t>
  </si>
  <si>
    <t>Series B Assumptions:</t>
  </si>
  <si>
    <t>Total Raised</t>
  </si>
  <si>
    <t>Pro Rata Pool (remaining)</t>
  </si>
  <si>
    <t>Pro Rata Basis</t>
  </si>
  <si>
    <t>Series A new money</t>
  </si>
  <si>
    <t>Option Pool Gross Top-up Target</t>
  </si>
  <si>
    <t>Pro Rata Splits:</t>
  </si>
  <si>
    <t>1011 % of pro rata</t>
  </si>
  <si>
    <t>Accomplice % of pro rata</t>
  </si>
  <si>
    <t>Other Series A % of pro rata</t>
  </si>
  <si>
    <t>Current</t>
  </si>
  <si>
    <t>Shareholder</t>
  </si>
  <si>
    <t>Founders CS</t>
  </si>
  <si>
    <t>RSA</t>
  </si>
  <si>
    <t>Options</t>
  </si>
  <si>
    <t>Exercised Options</t>
  </si>
  <si>
    <t>Total</t>
  </si>
  <si>
    <t>% FDS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</si>
  <si>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</si>
  <si>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</si>
  <si>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</si>
  <si>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</si>
  <si>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</si>
  <si>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</si>
  <si>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</si>
  <si>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</si>
  <si>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</si>
  <si>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</si>
  <si>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</si>
  <si>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</si>
  <si>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</si>
  <si>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</si>
  <si>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</si>
  <si>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</si>
  <si>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</si>
  <si>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</si>
  <si>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</si>
  <si>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</si>
  <si>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</si>
  <si>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</si>
  <si>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Transfer from Owl Rocl Capital II, LLC (Accomplice)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</si>
  <si>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</si>
  <si>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</si>
  <si>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</si>
  <si>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</si>
  <si>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</si>
  <si>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</si>
  <si>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</si>
  <si>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</si>
  <si>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</si>
  <si>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</si>
  <si>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</si>
  <si>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</si>
  <si>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</si>
  <si>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</si>
  <si>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</si>
  <si>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</si>
  <si>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</si>
  <si>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</si>
  <si>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</si>
  <si>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THINK MORE SECURITY &amp; TEN ELEVEN SERIES A</t>
  </si>
  <si>
    <t>Series A Assumptions:</t>
  </si>
  <si>
    <t>1011 Investment</t>
  </si>
  <si>
    <t>Accomplice Investment</t>
  </si>
  <si>
    <t>Other Series A Investment</t>
  </si>
  <si>
    <t>Option Pool Target</t>
  </si>
  <si>
    <t>SAFE Post-Money Cap</t>
  </si>
  <si>
    <t>Existing Unallocated Options</t>
  </si>
  <si>
    <t>Think More Security — Post-A Returns Analysis</t>
  </si>
  <si>
    <t>Assumptions:</t>
  </si>
  <si>
    <t>Assumed ARR</t>
  </si>
  <si>
    <t>(x) Multiple</t>
  </si>
  <si>
    <t>Gross purchase price</t>
  </si>
  <si>
    <t>less: bank debt</t>
  </si>
  <si>
    <t>plus: cash</t>
  </si>
  <si>
    <t>plus:  NWC (estimated M&amp;A closing adjustment)</t>
  </si>
  <si>
    <t>less:  transaction expenses (estimated)</t>
  </si>
  <si>
    <t>Net equity value</t>
  </si>
  <si>
    <t>Management Carveout</t>
  </si>
  <si>
    <t>Remaining Tier 1</t>
  </si>
  <si>
    <t>Tier 1 Payments (SAFE, Series A Preferred)</t>
  </si>
  <si>
    <t>Aggregate Series A Preference at Point of Sale</t>
  </si>
  <si>
    <t>Does Series A Convert/Lose Preference?</t>
  </si>
  <si>
    <t>Series A total Preferred Payment</t>
  </si>
  <si>
    <t>Series A Preferred Payment per Share</t>
  </si>
  <si>
    <t>Aggregate SAFE Preferred Preference at Point of Sale</t>
  </si>
  <si>
    <t>Does SAFE Preferred Convert/Lose Preference?</t>
  </si>
  <si>
    <t>SAFE Preferred total Preferred Payment</t>
  </si>
  <si>
    <t>SAFE Preferred Payment per Share</t>
  </si>
  <si>
    <t>Remaining for Tier 2</t>
  </si>
  <si>
    <t>Tier 2 Payments (Common Stock plus As-Converted Preferred)</t>
  </si>
  <si>
    <t>Denominator for Tier 2 (common plus as-converted pref)</t>
  </si>
  <si>
    <t>Amount of Tier 2 Payment per Share</t>
  </si>
  <si>
    <t>Total Payments per Share</t>
  </si>
  <si>
    <t>Common</t>
  </si>
  <si>
    <t>Total Payments ($)</t>
  </si>
  <si>
    <t>Aggregate Payments to Stockholder Groups</t>
  </si>
  <si>
    <t>Check:</t>
  </si>
  <si>
    <t>Ten Eleven Returns Analysis</t>
  </si>
  <si>
    <t>Ten Eleven Payout</t>
  </si>
  <si>
    <t>Ten Eleven Investment</t>
  </si>
  <si>
    <t>Gross Gain on Investment</t>
  </si>
  <si>
    <t>Ten Eleven's Cash-on-Cash Multiple</t>
  </si>
  <si>
    <t>Ten Eleven's CoC Multiple for Series A Investment</t>
  </si>
  <si>
    <t>IRR</t>
  </si>
  <si>
    <t>Data for IRR:</t>
  </si>
  <si>
    <t>Exit</t>
  </si>
  <si>
    <t>Preference</t>
  </si>
  <si>
    <t>PX</t>
  </si>
  <si>
    <t>SerA</t>
  </si>
  <si>
    <t>Think More Security — Post-B Returns Analysis</t>
  </si>
  <si>
    <t>Tier 1 Payments (SAFE, Series A, Series B Preferred)</t>
  </si>
  <si>
    <t>Aggregate Series B Preference at Point of Sale</t>
  </si>
  <si>
    <t>Does Series B Convert/Lose Preference?</t>
  </si>
  <si>
    <t>Series B total Preferred Payment</t>
  </si>
  <si>
    <t>Series B Preferred Payment per Share</t>
  </si>
  <si>
    <t>Ten Eleven Investment (Series A + B)</t>
  </si>
  <si>
    <t>SerB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</si>
</sst>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5" formatCode="&quot;$&quot;#,##0_);\(&quot;$&quot;#,##0\)"/>
    <numFmt numFmtId="41" formatCode="_(* #,##0_);_(* \(#,##0\);_(* &quot;-&quot;_);_(@_)"/>
    <numFmt numFmtId="43" formatCode="_(* #,##0.00_);_(* \(#,##0.00\);_(* &quot;-&quot;??_);_(@_)"/>
    <numFmt numFmtId="164" formatCode="0.0%"/>
    <numFmt numFmtId="165" formatCode="&quot;$&quot;#,##0"/>
    <numFmt numFmtId="166" formatCode="_-[$$-409]* #,##0_-;_-[$$-409]* \(#,##0\)_-;_-[$$-409]* &quot;-&quot;??;_-@_-"/>
    <numFmt numFmtId="167" formatCode="_-[$$-409]* #,##0.0000_-;_-[$$-409]* \(#,##0.0000\)_-;_-[$$-409]* &quot;-&quot;??;_-@_-"/>
    <numFmt numFmtId="168" formatCode="m/d/yy;@"/>
    <numFmt numFmtId="169" formatCode="&quot;$&quot;#,##0_);\(&quot;$&quot;#,##0\);&quot;$&quot;#,##0_);@_)"/>
    <numFmt numFmtId="170" formatCode="0.0\x"/>
    <numFmt numFmtId="171" formatCode="&quot;$&quot;#,##0.00_);\(&quot;$&quot;#,##0.00\);&quot;$&quot;#,##0.00_);@_)"/>
    <numFmt numFmtId="172" formatCode="#,##0_);\(#,##0\);#,##0_);@_)"/>
    <numFmt numFmtId="173" formatCode="0.0%_);\(0.0%\);0.0%_);@_)"/>
  </numFmts>
  <fonts count="14" x14ac:knownFonts="1">
    <font>
      <sz val="12"/>
      <color theme="1"/>
      <name val="Aptos Narrow"/>
      <family val="2"/>
      <scheme val="minor"/>
    </font>
    <font>
      <sz val="10"/>
      <color theme="1"/>
      <name val="Garamond"/>
      <family val="1"/>
    </font>
    <font>
      <b/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Garamond"/>
      <family val="1"/>
    </font>
    <font>
      <sz val="10"/>
      <color rgb="FF000000"/>
      <name val="Garamond"/>
      <family val="1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  <font>
      <b/>
      <sz val="10"/>
      <color rgb="FF0000FF"/>
      <name val="Garamond"/>
      <family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CE6F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0" borderId="0" xfId="0" applyFont="1"/>
    <xf numFmtId="164" fontId="3" fillId="2" borderId="0" xfId="0" applyNumberFormat="1" applyFont="1" applyFill="1"/>
    <xf numFmtId="0" fontId="5" fillId="0" borderId="0" xfId="0" applyFont="1"/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7" fillId="0" borderId="0" xfId="0" applyFont="1"/>
    <xf numFmtId="37" fontId="1" fillId="0" borderId="0" xfId="0" applyNumberFormat="1" applyFont="1" applyAlignment="1">
      <alignment horizontal="center"/>
    </xf>
    <xf numFmtId="37" fontId="4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0" fontId="9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Continuous"/>
    </xf>
    <xf numFmtId="37" fontId="1" fillId="0" borderId="1" xfId="0" applyNumberFormat="1" applyFont="1" applyBorder="1" applyAlignment="1">
      <alignment horizontal="center"/>
    </xf>
    <xf numFmtId="37" fontId="1" fillId="0" borderId="2" xfId="0" applyNumberFormat="1" applyFont="1" applyBorder="1" applyAlignment="1">
      <alignment horizontal="center"/>
    </xf>
    <xf numFmtId="0" fontId="1" fillId="0" borderId="4" xfId="0" applyFont="1" applyBorder="1"/>
    <xf numFmtId="0" fontId="1" fillId="0" borderId="6" xfId="0" applyFont="1" applyBorder="1"/>
    <xf numFmtId="0" fontId="2" fillId="0" borderId="6" xfId="0" applyFont="1" applyBorder="1"/>
    <xf numFmtId="0" fontId="1" fillId="0" borderId="5" xfId="0" applyFont="1" applyBorder="1"/>
    <xf numFmtId="37" fontId="4" fillId="0" borderId="0" xfId="0" applyNumberFormat="1" applyFont="1"/>
    <xf numFmtId="37" fontId="1" fillId="0" borderId="0" xfId="0" applyNumberFormat="1" applyFont="1"/>
    <xf numFmtId="166" fontId="1" fillId="0" borderId="0" xfId="0" applyNumberFormat="1" applyFont="1"/>
    <xf numFmtId="0" fontId="1" fillId="0" borderId="1" xfId="0" applyFont="1" applyBorder="1"/>
    <xf numFmtId="0" fontId="1" fillId="0" borderId="3" xfId="0" applyFont="1" applyBorder="1"/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3" fontId="10" fillId="0" borderId="0" xfId="0" applyNumberFormat="1" applyFont="1" applyAlignment="1">
      <alignment horizontal="center"/>
    </xf>
    <xf numFmtId="10" fontId="10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10" xfId="0" applyFont="1" applyBorder="1" applyAlignment="1">
      <alignment horizontal="center"/>
    </xf>
    <xf numFmtId="0" fontId="12" fillId="0" borderId="14" xfId="0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2" fillId="0" borderId="10" xfId="0" applyFont="1" applyBorder="1"/>
    <xf numFmtId="0" fontId="8" fillId="0" borderId="6" xfId="0" applyFont="1" applyBorder="1"/>
    <xf numFmtId="0" fontId="12" fillId="0" borderId="6" xfId="0" applyFont="1" applyBorder="1"/>
    <xf numFmtId="0" fontId="8" fillId="0" borderId="5" xfId="0" applyFont="1" applyBorder="1"/>
    <xf numFmtId="3" fontId="9" fillId="0" borderId="0" xfId="0" applyNumberFormat="1" applyFont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4" fillId="0" borderId="0" xfId="0" applyNumberFormat="1" applyFont="1"/>
    <xf numFmtId="37" fontId="2" fillId="0" borderId="0" xfId="0" applyNumberFormat="1" applyFont="1"/>
    <xf numFmtId="166" fontId="4" fillId="0" borderId="0" xfId="0" applyNumberFormat="1" applyFont="1"/>
    <xf numFmtId="37" fontId="2" fillId="0" borderId="1" xfId="0" applyNumberFormat="1" applyFont="1" applyBorder="1" applyAlignment="1">
      <alignment horizontal="center"/>
    </xf>
    <xf numFmtId="3" fontId="11" fillId="0" borderId="0" xfId="0" applyNumberFormat="1" applyFont="1" applyAlignment="1">
      <alignment horizontal="center"/>
    </xf>
    <xf numFmtId="0" fontId="12" fillId="0" borderId="10" xfId="0" applyFont="1" applyBorder="1" applyAlignment="1">
      <alignment horizontal="centerContinuous"/>
    </xf>
    <xf numFmtId="0" fontId="12" fillId="0" borderId="14" xfId="0" applyFont="1" applyBorder="1" applyAlignment="1">
      <alignment horizontal="centerContinuous"/>
    </xf>
    <xf numFmtId="0" fontId="1" fillId="0" borderId="14" xfId="0" applyFont="1" applyBorder="1"/>
    <xf numFmtId="164" fontId="1" fillId="0" borderId="8" xfId="0" applyNumberFormat="1" applyFont="1" applyBorder="1"/>
    <xf numFmtId="0" fontId="1" fillId="0" borderId="8" xfId="0" applyFont="1" applyBorder="1"/>
    <xf numFmtId="0" fontId="1" fillId="0" borderId="7" xfId="0" applyFont="1" applyBorder="1"/>
    <xf numFmtId="37" fontId="1" fillId="0" borderId="1" xfId="0" applyNumberFormat="1" applyFont="1" applyBorder="1"/>
    <xf numFmtId="37" fontId="1" fillId="0" borderId="2" xfId="0" applyNumberFormat="1" applyFont="1" applyBorder="1"/>
    <xf numFmtId="164" fontId="1" fillId="0" borderId="9" xfId="0" applyNumberFormat="1" applyFont="1" applyBorder="1"/>
    <xf numFmtId="3" fontId="9" fillId="0" borderId="0" xfId="0" applyNumberFormat="1" applyFont="1"/>
    <xf numFmtId="39" fontId="12" fillId="0" borderId="0" xfId="0" applyNumberFormat="1" applyFont="1" applyAlignment="1">
      <alignment horizontal="center"/>
    </xf>
    <xf numFmtId="39" fontId="12" fillId="0" borderId="6" xfId="0" applyNumberFormat="1" applyFont="1" applyBorder="1" applyAlignment="1">
      <alignment horizontal="center"/>
    </xf>
    <xf numFmtId="166" fontId="3" fillId="2" borderId="0" xfId="0" applyNumberFormat="1" applyFont="1" applyFill="1"/>
    <xf numFmtId="37" fontId="3" fillId="2" borderId="0" xfId="0" applyNumberFormat="1" applyFont="1" applyFill="1"/>
    <xf numFmtId="167" fontId="1" fillId="0" borderId="11" xfId="0" applyNumberFormat="1" applyFont="1" applyBorder="1"/>
    <xf numFmtId="164" fontId="1" fillId="0" borderId="9" xfId="0" applyNumberFormat="1" applyFont="1" applyBorder="1" applyAlignment="1">
      <alignment horizontal="center"/>
    </xf>
    <xf numFmtId="167" fontId="4" fillId="0" borderId="11" xfId="0" applyNumberFormat="1" applyFont="1" applyBorder="1"/>
    <xf numFmtId="39" fontId="12" fillId="0" borderId="3" xfId="0" applyNumberFormat="1" applyFont="1" applyBorder="1" applyAlignment="1">
      <alignment horizontal="center"/>
    </xf>
    <xf numFmtId="39" fontId="1" fillId="0" borderId="3" xfId="0" applyNumberFormat="1" applyFont="1" applyBorder="1"/>
    <xf numFmtId="166" fontId="1" fillId="0" borderId="4" xfId="0" applyNumberFormat="1" applyFont="1" applyBorder="1"/>
    <xf numFmtId="166" fontId="1" fillId="0" borderId="2" xfId="0" applyNumberFormat="1" applyFont="1" applyBorder="1"/>
    <xf numFmtId="37" fontId="2" fillId="0" borderId="2" xfId="0" applyNumberFormat="1" applyFont="1" applyBorder="1"/>
    <xf numFmtId="0" fontId="2" fillId="0" borderId="0" xfId="0" applyFont="1" applyAlignment="1">
      <alignment horizontal="centerContinuous"/>
    </xf>
    <xf numFmtId="0" fontId="2" fillId="0" borderId="0" xfId="0" applyFont="1"/>
    <xf numFmtId="168" fontId="1" fillId="0" borderId="0" xfId="0" applyNumberFormat="1" applyFont="1"/>
    <xf numFmtId="168" fontId="3" fillId="0" borderId="0" xfId="0" applyNumberFormat="1" applyFont="1"/>
    <xf numFmtId="0" fontId="1" fillId="3" borderId="0" xfId="0" applyFont="1" applyFill="1"/>
    <xf numFmtId="169" fontId="1" fillId="0" borderId="0" xfId="0" applyNumberFormat="1" applyFont="1"/>
    <xf numFmtId="170" fontId="3" fillId="0" borderId="0" xfId="0" applyNumberFormat="1" applyFont="1"/>
    <xf numFmtId="170" fontId="1" fillId="0" borderId="0" xfId="0" applyNumberFormat="1" applyFont="1"/>
    <xf numFmtId="5" fontId="13" fillId="2" borderId="0" xfId="0" applyNumberFormat="1" applyFont="1" applyFill="1"/>
    <xf numFmtId="5" fontId="1" fillId="0" borderId="0" xfId="0" applyNumberFormat="1" applyFont="1"/>
    <xf numFmtId="41" fontId="1" fillId="0" borderId="0" xfId="0" applyNumberFormat="1" applyFont="1"/>
    <xf numFmtId="171" fontId="1" fillId="0" borderId="0" xfId="0" applyNumberFormat="1" applyFont="1"/>
    <xf numFmtId="172" fontId="4" fillId="0" borderId="0" xfId="0" applyNumberFormat="1" applyFont="1"/>
    <xf numFmtId="43" fontId="1" fillId="0" borderId="0" xfId="0" applyNumberFormat="1" applyFont="1"/>
    <xf numFmtId="172" fontId="1" fillId="0" borderId="0" xfId="0" applyNumberFormat="1" applyFont="1"/>
    <xf numFmtId="164" fontId="1" fillId="0" borderId="0" xfId="0" applyNumberFormat="1" applyFont="1"/>
    <xf numFmtId="173" fontId="3" fillId="0" borderId="0" xfId="0" applyNumberFormat="1" applyFont="1"/>
    <xf numFmtId="171" fontId="4" fillId="0" borderId="0" xfId="0" applyNumberFormat="1" applyFont="1"/>
    <xf numFmtId="17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3"/>
  <sheetViews>
    <sheetView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0" x14ac:dyDescent="0.2">
      <c r="A1" s="9"/>
      <c r="B1" s="9"/>
      <c r="C1" s="9"/>
      <c r="D1" s="9"/>
      <c r="E1" s="9"/>
      <c r="F1" s="9"/>
      <c r="G1" s="9"/>
      <c r="H1" s="9"/>
      <c r="I1" s="9"/>
      <c r="J1" s="9"/>
    </row>
    <row r="2" spans="1:10" x14ac:dyDescent="0.2">
      <c r="A2" s="9"/>
      <c r="B2" s="9"/>
      <c r="C2" s="9"/>
      <c r="D2" s="9"/>
      <c r="E2" s="9"/>
      <c r="F2" s="9"/>
      <c r="G2" s="9"/>
      <c r="H2" s="25" t="s">
        <v>44</v>
      </c>
      <c r="I2" s="9"/>
      <c r="J2" s="9"/>
    </row>
    <row r="3" spans="1:10" x14ac:dyDescent="0.2">
      <c r="A3" s="9"/>
      <c r="B3" s="25" t="s">
        <v>45</v>
      </c>
      <c r="C3" s="25" t="s">
        <v>46</v>
      </c>
      <c r="D3" s="25" t="s">
        <v>47</v>
      </c>
      <c r="E3" s="25" t="s">
        <v>48</v>
      </c>
      <c r="F3" s="25" t="s">
        <v>49</v>
      </c>
      <c r="G3" s="25" t="s">
        <v>50</v>
      </c>
      <c r="H3" s="25" t="s">
        <v>51</v>
      </c>
      <c r="I3" s="9"/>
      <c r="J3" s="9"/>
    </row>
    <row r="4" spans="1:10" x14ac:dyDescent="0.2">
      <c r="A4" s="9"/>
      <c r="B4" s="24" t="s">
        <v>19</v>
      </c>
      <c r="C4" s="26">
        <v>3600000</v>
      </c>
      <c r="D4" s="43"/>
      <c r="E4" s="43"/>
      <c r="F4" s="43"/>
      <c r="G4" s="26">
        <f t="shared" ref="G4:G21" si="0">SUM(C4:F4)</f>
        <v>3600000</v>
      </c>
      <c r="H4" s="27">
        <f t="shared" ref="H4:H21" si="1">G4/$G$23</f>
        <v>0.36959987630724139</v>
      </c>
      <c r="I4" s="10"/>
      <c r="J4" s="9"/>
    </row>
    <row r="5" spans="1:10" x14ac:dyDescent="0.2">
      <c r="A5" s="9"/>
      <c r="B5" s="24" t="s">
        <v>20</v>
      </c>
      <c r="C5" s="26">
        <v>3600000</v>
      </c>
      <c r="D5" s="43"/>
      <c r="E5" s="43"/>
      <c r="F5" s="43"/>
      <c r="G5" s="26">
        <f t="shared" si="0"/>
        <v>3600000</v>
      </c>
      <c r="H5" s="27">
        <f t="shared" si="1"/>
        <v>0.36959987630724139</v>
      </c>
      <c r="I5" s="10"/>
      <c r="J5" s="9"/>
    </row>
    <row r="6" spans="1:10" x14ac:dyDescent="0.2">
      <c r="A6" s="9"/>
      <c r="B6" s="24" t="s">
        <v>52</v>
      </c>
      <c r="C6" s="26">
        <v>222187</v>
      </c>
      <c r="D6" s="43"/>
      <c r="E6" s="43"/>
      <c r="F6" s="43"/>
      <c r="G6" s="26">
        <f t="shared" si="0"/>
        <v>222187</v>
      </c>
      <c r="H6" s="27">
        <f t="shared" si="1"/>
        <v>2.28111910325214E-2</v>
      </c>
      <c r="I6" s="10"/>
      <c r="J6" s="9"/>
    </row>
    <row r="7" spans="1:10" x14ac:dyDescent="0.2">
      <c r="A7" s="9"/>
      <c r="B7" s="24" t="s">
        <v>53</v>
      </c>
      <c r="C7" s="26">
        <v>592500</v>
      </c>
      <c r="D7" s="43"/>
      <c r="E7" s="43"/>
      <c r="F7" s="43"/>
      <c r="G7" s="26">
        <f t="shared" si="0"/>
        <v>592500</v>
      </c>
      <c r="H7" s="27">
        <f t="shared" si="1"/>
        <v>6.0829979642233481E-2</v>
      </c>
      <c r="I7" s="10"/>
      <c r="J7" s="9"/>
    </row>
    <row r="8" spans="1:10" x14ac:dyDescent="0.2">
      <c r="A8" s="9"/>
      <c r="B8" s="24" t="s">
        <v>54</v>
      </c>
      <c r="C8" s="26">
        <v>592500</v>
      </c>
      <c r="D8" s="43"/>
      <c r="E8" s="43"/>
      <c r="F8" s="43"/>
      <c r="G8" s="26">
        <f t="shared" si="0"/>
        <v>592500</v>
      </c>
      <c r="H8" s="27">
        <f t="shared" si="1"/>
        <v>6.0829979642233481E-2</v>
      </c>
      <c r="I8" s="10"/>
      <c r="J8" s="9"/>
    </row>
    <row r="9" spans="1:10" x14ac:dyDescent="0.2">
      <c r="A9" s="9"/>
      <c r="B9" s="24" t="s">
        <v>55</v>
      </c>
      <c r="C9" s="26">
        <v>13500</v>
      </c>
      <c r="D9" s="26">
        <v>98900</v>
      </c>
      <c r="E9" s="43"/>
      <c r="F9" s="43"/>
      <c r="G9" s="26">
        <f t="shared" si="0"/>
        <v>112400</v>
      </c>
      <c r="H9" s="27">
        <f t="shared" si="1"/>
        <v>1.1539729471370537E-2</v>
      </c>
      <c r="I9" s="10"/>
      <c r="J9" s="9"/>
    </row>
    <row r="10" spans="1:10" x14ac:dyDescent="0.2">
      <c r="A10" s="9"/>
      <c r="B10" s="24" t="s">
        <v>56</v>
      </c>
      <c r="C10" s="26">
        <v>9000</v>
      </c>
      <c r="D10" s="59"/>
      <c r="E10" s="43"/>
      <c r="F10" s="43"/>
      <c r="G10" s="26">
        <f t="shared" si="0"/>
        <v>9000</v>
      </c>
      <c r="H10" s="27">
        <f t="shared" si="1"/>
        <v>9.2399969076810353E-4</v>
      </c>
      <c r="I10" s="10"/>
      <c r="J10" s="9"/>
    </row>
    <row r="11" spans="1:10" x14ac:dyDescent="0.2">
      <c r="A11" s="9"/>
      <c r="B11" s="24" t="s">
        <v>57</v>
      </c>
      <c r="C11" s="43"/>
      <c r="D11" s="26">
        <v>95000</v>
      </c>
      <c r="E11" s="43"/>
      <c r="F11" s="43"/>
      <c r="G11" s="26">
        <f t="shared" si="0"/>
        <v>95000</v>
      </c>
      <c r="H11" s="27">
        <f t="shared" si="1"/>
        <v>9.7533300692188695E-3</v>
      </c>
      <c r="I11" s="10"/>
      <c r="J11" s="9"/>
    </row>
    <row r="12" spans="1:10" x14ac:dyDescent="0.2">
      <c r="A12" s="9"/>
      <c r="B12" s="24" t="s">
        <v>58</v>
      </c>
      <c r="C12" s="43"/>
      <c r="D12" s="59"/>
      <c r="E12" s="26">
        <v>25000</v>
      </c>
      <c r="F12" s="59"/>
      <c r="G12" s="26">
        <f t="shared" si="0"/>
        <v>25000</v>
      </c>
      <c r="H12" s="27">
        <f t="shared" si="1"/>
        <v>2.5666658076891765E-3</v>
      </c>
      <c r="I12" s="10"/>
      <c r="J12" s="9"/>
    </row>
    <row r="13" spans="1:10" x14ac:dyDescent="0.2">
      <c r="A13" s="9"/>
      <c r="B13" s="24" t="s">
        <v>59</v>
      </c>
      <c r="C13" s="43"/>
      <c r="D13" s="59"/>
      <c r="E13" s="26">
        <v>41562</v>
      </c>
      <c r="F13" s="59"/>
      <c r="G13" s="26">
        <f t="shared" si="0"/>
        <v>41562</v>
      </c>
      <c r="H13" s="27">
        <f t="shared" si="1"/>
        <v>4.2670305719671019E-3</v>
      </c>
      <c r="I13" s="10"/>
      <c r="J13" s="9"/>
    </row>
    <row r="14" spans="1:10" x14ac:dyDescent="0.2">
      <c r="A14" s="9"/>
      <c r="B14" s="24" t="s">
        <v>60</v>
      </c>
      <c r="C14" s="43"/>
      <c r="D14" s="26">
        <v>285000</v>
      </c>
      <c r="E14" s="59"/>
      <c r="F14" s="59"/>
      <c r="G14" s="26">
        <f t="shared" si="0"/>
        <v>285000</v>
      </c>
      <c r="H14" s="27">
        <f t="shared" si="1"/>
        <v>2.925999020765661E-2</v>
      </c>
      <c r="I14" s="10"/>
      <c r="J14" s="9"/>
    </row>
    <row r="15" spans="1:10" x14ac:dyDescent="0.2">
      <c r="A15" s="9"/>
      <c r="B15" s="24" t="s">
        <v>61</v>
      </c>
      <c r="C15" s="43"/>
      <c r="D15" s="26">
        <v>50000</v>
      </c>
      <c r="E15" s="59"/>
      <c r="F15" s="59"/>
      <c r="G15" s="26">
        <f t="shared" si="0"/>
        <v>50000</v>
      </c>
      <c r="H15" s="27">
        <f t="shared" si="1"/>
        <v>5.133331615378353E-3</v>
      </c>
      <c r="I15" s="10"/>
      <c r="J15" s="9"/>
    </row>
    <row r="16" spans="1:10" x14ac:dyDescent="0.2">
      <c r="A16" s="9"/>
      <c r="B16" s="24" t="s">
        <v>62</v>
      </c>
      <c r="C16" s="43"/>
      <c r="D16" s="26">
        <v>285000</v>
      </c>
      <c r="E16" s="59"/>
      <c r="F16" s="59"/>
      <c r="G16" s="26">
        <f t="shared" si="0"/>
        <v>285000</v>
      </c>
      <c r="H16" s="27">
        <f t="shared" si="1"/>
        <v>2.925999020765661E-2</v>
      </c>
      <c r="I16" s="10"/>
      <c r="J16" s="9"/>
    </row>
    <row r="17" spans="1:10" x14ac:dyDescent="0.2">
      <c r="A17" s="9"/>
      <c r="B17" s="24" t="s">
        <v>63</v>
      </c>
      <c r="C17" s="43"/>
      <c r="D17" s="59"/>
      <c r="E17" s="26">
        <v>96186</v>
      </c>
      <c r="F17" s="59"/>
      <c r="G17" s="26">
        <f t="shared" si="0"/>
        <v>96186</v>
      </c>
      <c r="H17" s="27">
        <f t="shared" si="1"/>
        <v>9.8750926951356455E-3</v>
      </c>
      <c r="I17" s="10"/>
      <c r="J17" s="9"/>
    </row>
    <row r="18" spans="1:10" x14ac:dyDescent="0.2">
      <c r="A18" s="9"/>
      <c r="B18" s="24" t="s">
        <v>64</v>
      </c>
      <c r="C18" s="43"/>
      <c r="D18" s="59"/>
      <c r="E18" s="26">
        <v>48095</v>
      </c>
      <c r="F18" s="59"/>
      <c r="G18" s="26">
        <f t="shared" si="0"/>
        <v>48095</v>
      </c>
      <c r="H18" s="27">
        <f t="shared" si="1"/>
        <v>4.9377516808324371E-3</v>
      </c>
      <c r="I18" s="10"/>
      <c r="J18" s="9"/>
    </row>
    <row r="19" spans="1:10" x14ac:dyDescent="0.2">
      <c r="A19" s="9"/>
      <c r="B19" s="24" t="s">
        <v>65</v>
      </c>
      <c r="C19" s="43"/>
      <c r="D19" s="59"/>
      <c r="E19" s="59"/>
      <c r="F19" s="26">
        <v>12395</v>
      </c>
      <c r="G19" s="26">
        <f t="shared" si="0"/>
        <v>12395</v>
      </c>
      <c r="H19" s="27">
        <f t="shared" si="1"/>
        <v>1.2725529074522936E-3</v>
      </c>
      <c r="I19" s="10"/>
      <c r="J19" s="9"/>
    </row>
    <row r="20" spans="1:10" x14ac:dyDescent="0.2">
      <c r="A20" s="9"/>
      <c r="B20" s="24" t="s">
        <v>66</v>
      </c>
      <c r="C20" s="43"/>
      <c r="D20" s="59"/>
      <c r="E20" s="59"/>
      <c r="F20" s="26">
        <v>8333</v>
      </c>
      <c r="G20" s="26">
        <f t="shared" si="0"/>
        <v>8333</v>
      </c>
      <c r="H20" s="27">
        <f t="shared" si="1"/>
        <v>8.5552104701895626E-4</v>
      </c>
      <c r="I20" s="10"/>
      <c r="J20" s="9"/>
    </row>
    <row r="21" spans="1:10" ht="15.75" customHeight="1" x14ac:dyDescent="0.2">
      <c r="A21" s="9"/>
      <c r="B21" s="24" t="s">
        <v>67</v>
      </c>
      <c r="C21" s="43"/>
      <c r="D21" s="26">
        <v>65105</v>
      </c>
      <c r="E21" s="59"/>
      <c r="F21" s="59"/>
      <c r="G21" s="26">
        <f t="shared" si="0"/>
        <v>65105</v>
      </c>
      <c r="H21" s="27">
        <f t="shared" si="1"/>
        <v>6.6841110963841528E-3</v>
      </c>
      <c r="I21" s="10"/>
      <c r="J21" s="9"/>
    </row>
    <row r="22" spans="1:10" ht="15.75" customHeight="1" x14ac:dyDescent="0.2">
      <c r="A22" s="9"/>
      <c r="B22" s="9"/>
      <c r="C22" s="9"/>
      <c r="D22" s="9"/>
      <c r="E22" s="9"/>
      <c r="F22" s="9"/>
      <c r="G22" s="59"/>
      <c r="H22" s="10"/>
      <c r="I22" s="10"/>
      <c r="J22" s="9"/>
    </row>
    <row r="23" spans="1:10" ht="15.75" customHeight="1" x14ac:dyDescent="0.2">
      <c r="A23" s="9"/>
      <c r="B23" s="25" t="s">
        <v>50</v>
      </c>
      <c r="C23" s="49">
        <f>SUM(C4:C21)</f>
        <v>8629687</v>
      </c>
      <c r="D23" s="49">
        <f>SUM(D4:D21)</f>
        <v>879005</v>
      </c>
      <c r="E23" s="49">
        <f>SUM(E4:E21)</f>
        <v>210843</v>
      </c>
      <c r="F23" s="49">
        <f>SUM(F4:F21)</f>
        <v>20728</v>
      </c>
      <c r="G23" s="49">
        <f>SUM(G4:G21)</f>
        <v>9740263</v>
      </c>
      <c r="H23" s="43"/>
      <c r="I23" s="43"/>
      <c r="J23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7"/>
  <sheetViews>
    <sheetView workbookViewId="0"/>
  </sheetViews>
  <sheetFormatPr baseColWidth="10" defaultRowHeight="16" x14ac:dyDescent="0.2"/>
  <cols>
    <col min="1" max="1" width="11.33203125" customWidth="1"/>
    <col min="2" max="2" width="51.33203125" customWidth="1"/>
    <col min="3" max="3" width="12.33203125" customWidth="1"/>
    <col min="4" max="4" width="3.33203125" customWidth="1"/>
    <col min="5" max="5" width="60.1640625" customWidth="1"/>
  </cols>
  <sheetData>
    <row r="1" spans="1:6" x14ac:dyDescent="0.2">
      <c r="A1" s="4"/>
      <c r="B1" s="3"/>
      <c r="C1" s="3"/>
      <c r="D1" s="3"/>
      <c r="E1" s="3"/>
      <c r="F1" s="3"/>
    </row>
    <row r="2" spans="1:6" x14ac:dyDescent="0.2">
      <c r="A2" s="4"/>
      <c r="B2" s="3"/>
      <c r="C2" s="11"/>
      <c r="D2" s="3"/>
      <c r="E2" s="3"/>
      <c r="F2" s="3"/>
    </row>
    <row r="3" spans="1:6" x14ac:dyDescent="0.2">
      <c r="A3" s="4"/>
      <c r="B3" s="25" t="s">
        <v>45</v>
      </c>
      <c r="C3" s="28" t="s">
        <v>68</v>
      </c>
      <c r="D3" s="4"/>
      <c r="E3" s="25" t="s">
        <v>69</v>
      </c>
      <c r="F3" s="3"/>
    </row>
    <row r="4" spans="1:6" x14ac:dyDescent="0.2">
      <c r="A4" s="4"/>
      <c r="B4" s="24" t="s">
        <v>55</v>
      </c>
      <c r="C4" s="29">
        <v>25000</v>
      </c>
      <c r="D4" s="4"/>
      <c r="E4" s="24" t="s">
        <v>70</v>
      </c>
      <c r="F4" s="3"/>
    </row>
    <row r="5" spans="1:6" x14ac:dyDescent="0.2">
      <c r="A5" s="4"/>
      <c r="B5" s="24" t="s">
        <v>56</v>
      </c>
      <c r="C5" s="29">
        <v>25000</v>
      </c>
      <c r="D5" s="4"/>
      <c r="E5" s="4"/>
      <c r="F5" s="3"/>
    </row>
    <row r="6" spans="1:6" ht="15.75" customHeight="1" x14ac:dyDescent="0.2">
      <c r="A6" s="4"/>
      <c r="B6" s="24" t="s">
        <v>71</v>
      </c>
      <c r="C6" s="29">
        <v>137170.75</v>
      </c>
      <c r="D6" s="4"/>
      <c r="E6" s="4"/>
      <c r="F6" s="3"/>
    </row>
    <row r="7" spans="1:6" ht="15.75" customHeight="1" x14ac:dyDescent="0.2">
      <c r="A7" s="4"/>
      <c r="B7" s="24" t="s">
        <v>72</v>
      </c>
      <c r="C7" s="29">
        <v>3846829.25</v>
      </c>
      <c r="D7" s="4"/>
      <c r="E7" s="4"/>
      <c r="F7" s="3"/>
    </row>
    <row r="8" spans="1:6" ht="15.75" customHeight="1" x14ac:dyDescent="0.2">
      <c r="A8" s="4"/>
      <c r="B8" s="24" t="s">
        <v>73</v>
      </c>
      <c r="C8" s="29">
        <v>16566</v>
      </c>
      <c r="D8" s="4"/>
      <c r="E8" s="24" t="s">
        <v>74</v>
      </c>
      <c r="F8" s="3"/>
    </row>
    <row r="9" spans="1:6" ht="15.75" customHeight="1" x14ac:dyDescent="0.2">
      <c r="A9" s="4"/>
      <c r="B9" s="24" t="s">
        <v>75</v>
      </c>
      <c r="C9" s="29">
        <v>250000</v>
      </c>
      <c r="D9" s="4"/>
      <c r="E9" s="4"/>
      <c r="F9" s="3"/>
    </row>
    <row r="10" spans="1:6" ht="15.75" customHeight="1" x14ac:dyDescent="0.2">
      <c r="A10" s="4"/>
      <c r="B10" s="24" t="s">
        <v>76</v>
      </c>
      <c r="C10" s="29">
        <v>100000</v>
      </c>
      <c r="D10" s="4"/>
      <c r="E10" s="4"/>
      <c r="F10" s="3"/>
    </row>
    <row r="11" spans="1:6" ht="15.75" customHeight="1" x14ac:dyDescent="0.2">
      <c r="A11" s="4"/>
      <c r="B11" s="24" t="s">
        <v>77</v>
      </c>
      <c r="C11" s="29">
        <v>300000</v>
      </c>
      <c r="D11" s="4"/>
      <c r="E11" s="24" t="s">
        <v>70</v>
      </c>
      <c r="F11" s="3"/>
    </row>
    <row r="12" spans="1:6" ht="15.75" customHeight="1" x14ac:dyDescent="0.2">
      <c r="A12" s="4"/>
      <c r="B12" s="24" t="s">
        <v>78</v>
      </c>
      <c r="C12" s="29">
        <v>37500</v>
      </c>
      <c r="D12" s="4"/>
      <c r="E12" s="24" t="s">
        <v>79</v>
      </c>
      <c r="F12" s="3"/>
    </row>
    <row r="13" spans="1:6" ht="15.75" customHeight="1" x14ac:dyDescent="0.2">
      <c r="A13" s="4"/>
      <c r="B13" s="24" t="s">
        <v>80</v>
      </c>
      <c r="C13" s="29">
        <v>250000</v>
      </c>
      <c r="D13" s="4"/>
      <c r="E13" s="4"/>
      <c r="F13" s="3"/>
    </row>
    <row r="14" spans="1:6" ht="15.75" customHeight="1" x14ac:dyDescent="0.2">
      <c r="A14" s="4"/>
      <c r="B14" s="24" t="s">
        <v>81</v>
      </c>
      <c r="C14" s="29">
        <v>100000</v>
      </c>
      <c r="D14" s="4"/>
      <c r="E14" s="4"/>
      <c r="F14" s="3"/>
    </row>
    <row r="15" spans="1:6" ht="15.75" customHeight="1" x14ac:dyDescent="0.2">
      <c r="A15" s="4"/>
      <c r="B15" s="24" t="s">
        <v>82</v>
      </c>
      <c r="C15" s="29">
        <v>41164</v>
      </c>
      <c r="D15" s="4"/>
      <c r="E15" s="24" t="s">
        <v>74</v>
      </c>
      <c r="F15" s="3"/>
    </row>
    <row r="16" spans="1:6" ht="15.75" customHeight="1" x14ac:dyDescent="0.2">
      <c r="A16" s="4"/>
      <c r="B16" s="24" t="s">
        <v>83</v>
      </c>
      <c r="C16" s="29">
        <v>2328778</v>
      </c>
      <c r="D16" s="4"/>
      <c r="E16" s="24" t="s">
        <v>74</v>
      </c>
      <c r="F16" s="3"/>
    </row>
    <row r="17" spans="1:6" ht="15.75" customHeight="1" x14ac:dyDescent="0.2">
      <c r="A17" s="4"/>
      <c r="B17" s="24" t="s">
        <v>84</v>
      </c>
      <c r="C17" s="29">
        <v>1506000</v>
      </c>
      <c r="D17" s="4"/>
      <c r="E17" s="24" t="s">
        <v>26</v>
      </c>
      <c r="F17" s="3"/>
    </row>
    <row r="18" spans="1:6" ht="15.75" customHeight="1" x14ac:dyDescent="0.2">
      <c r="A18" s="4"/>
      <c r="B18" s="24" t="s">
        <v>85</v>
      </c>
      <c r="C18" s="29">
        <v>50000</v>
      </c>
      <c r="D18" s="4"/>
      <c r="E18" s="4"/>
      <c r="F18" s="3"/>
    </row>
    <row r="19" spans="1:6" ht="15.75" customHeight="1" x14ac:dyDescent="0.2">
      <c r="A19" s="4"/>
      <c r="B19" s="24" t="s">
        <v>86</v>
      </c>
      <c r="C19" s="29">
        <v>212500</v>
      </c>
      <c r="D19" s="4"/>
      <c r="E19" s="24" t="s">
        <v>79</v>
      </c>
      <c r="F19" s="3"/>
    </row>
    <row r="20" spans="1:6" ht="15.75" customHeight="1" x14ac:dyDescent="0.2">
      <c r="A20" s="4"/>
      <c r="B20" s="24" t="s">
        <v>87</v>
      </c>
      <c r="C20" s="29">
        <v>25000</v>
      </c>
      <c r="D20" s="4"/>
      <c r="E20" s="4"/>
      <c r="F20" s="3"/>
    </row>
    <row r="21" spans="1:6" ht="15.75" customHeight="1" x14ac:dyDescent="0.2">
      <c r="A21" s="4"/>
      <c r="B21" s="24" t="s">
        <v>88</v>
      </c>
      <c r="C21" s="29">
        <v>61746</v>
      </c>
      <c r="D21" s="4"/>
      <c r="E21" s="24" t="s">
        <v>74</v>
      </c>
      <c r="F21" s="3"/>
    </row>
    <row r="22" spans="1:6" ht="15.75" customHeight="1" x14ac:dyDescent="0.2">
      <c r="A22" s="4"/>
      <c r="B22" s="24" t="s">
        <v>89</v>
      </c>
      <c r="C22" s="29">
        <v>100000</v>
      </c>
      <c r="D22" s="4"/>
      <c r="E22" s="4"/>
      <c r="F22" s="3"/>
    </row>
    <row r="23" spans="1:6" ht="15.75" customHeight="1" x14ac:dyDescent="0.2">
      <c r="A23" s="4"/>
      <c r="B23" s="24" t="s">
        <v>90</v>
      </c>
      <c r="C23" s="29">
        <v>100000</v>
      </c>
      <c r="D23" s="4"/>
      <c r="E23" s="4"/>
      <c r="F23" s="3"/>
    </row>
    <row r="24" spans="1:6" ht="15.75" customHeight="1" x14ac:dyDescent="0.2">
      <c r="A24" s="4"/>
      <c r="B24" s="24" t="s">
        <v>91</v>
      </c>
      <c r="C24" s="29">
        <v>61746</v>
      </c>
      <c r="D24" s="4"/>
      <c r="E24" s="24" t="s">
        <v>74</v>
      </c>
      <c r="F24" s="3"/>
    </row>
    <row r="25" spans="1:6" ht="15.75" customHeight="1" x14ac:dyDescent="0.2">
      <c r="A25" s="4"/>
      <c r="B25" s="24" t="s">
        <v>92</v>
      </c>
      <c r="C25" s="29">
        <v>250000</v>
      </c>
      <c r="D25" s="4"/>
      <c r="E25" s="24" t="s">
        <v>93</v>
      </c>
      <c r="F25" s="3"/>
    </row>
    <row r="26" spans="1:6" ht="15.75" customHeight="1" x14ac:dyDescent="0.2">
      <c r="A26" s="4"/>
      <c r="B26" s="3"/>
      <c r="C26" s="5"/>
      <c r="D26" s="4"/>
      <c r="E26" s="3"/>
      <c r="F26" s="3"/>
    </row>
    <row r="27" spans="1:6" ht="15.75" customHeight="1" x14ac:dyDescent="0.2">
      <c r="A27" s="4"/>
      <c r="B27" s="24" t="s">
        <v>50</v>
      </c>
      <c r="C27" s="28">
        <f>SUM(C4:C25)</f>
        <v>9825000</v>
      </c>
      <c r="D27" s="4"/>
      <c r="E27" s="3"/>
      <c r="F2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6"/>
  <sheetViews>
    <sheetView showGridLines="0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6.83203125" customWidth="1"/>
    <col min="4" max="4" width="17.6640625" customWidth="1"/>
    <col min="5" max="5" width="16.83203125" customWidth="1"/>
    <col min="6" max="6" width="3.33203125" customWidth="1"/>
    <col min="7" max="7" width="13.83203125" customWidth="1"/>
    <col min="8" max="8" width="16.83203125" customWidth="1"/>
    <col min="9" max="9" width="3.33203125" customWidth="1"/>
    <col min="10" max="10" width="13.83203125" customWidth="1"/>
    <col min="11" max="11" width="3.33203125" customWidth="1"/>
    <col min="12" max="12" width="15.5" customWidth="1"/>
    <col min="13" max="13" width="9.33203125" customWidth="1"/>
  </cols>
  <sheetData>
    <row r="1" spans="1:13" x14ac:dyDescent="0.2">
      <c r="A1" s="1"/>
      <c r="B1" s="12" t="s">
        <v>94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spans="1:13" ht="15.5" customHeight="1" x14ac:dyDescent="0.2">
      <c r="A2" s="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</row>
    <row r="3" spans="1:13" ht="16.25" customHeight="1" thickBot="1" x14ac:dyDescent="0.25">
      <c r="A3" s="1"/>
      <c r="B3" s="6" t="s">
        <v>94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3.75" customHeight="1" thickBot="1" x14ac:dyDescent="0.25">
      <c r="A4" s="1"/>
      <c r="B4" s="1"/>
      <c r="C4" s="32" t="s">
        <v>1</v>
      </c>
      <c r="D4" s="50" t="s">
        <v>2</v>
      </c>
      <c r="E4" s="51"/>
      <c r="F4" s="1"/>
      <c r="G4" s="50" t="s">
        <v>3</v>
      </c>
      <c r="H4" s="51"/>
      <c r="I4" s="1"/>
      <c r="J4" s="38" t="s">
        <v>4</v>
      </c>
      <c r="K4" s="1"/>
      <c r="L4" s="50" t="s">
        <v>6</v>
      </c>
      <c r="M4" s="51"/>
    </row>
    <row r="5" spans="1:13" x14ac:dyDescent="0.2">
      <c r="A5" s="1"/>
      <c r="B5" s="1"/>
      <c r="C5" s="67" t="s">
        <v>7</v>
      </c>
      <c r="D5" s="35" t="s">
        <v>8</v>
      </c>
      <c r="E5" s="36" t="s">
        <v>9</v>
      </c>
      <c r="F5" s="1"/>
      <c r="G5" s="35" t="s">
        <v>8</v>
      </c>
      <c r="H5" s="36" t="s">
        <v>9</v>
      </c>
      <c r="I5" s="1"/>
      <c r="J5" s="37" t="s">
        <v>10</v>
      </c>
      <c r="K5" s="1"/>
      <c r="L5" s="35" t="s">
        <v>11</v>
      </c>
      <c r="M5" s="36" t="s">
        <v>12</v>
      </c>
    </row>
    <row r="6" spans="1:13" ht="13.75" customHeight="1" thickBot="1" x14ac:dyDescent="0.25">
      <c r="A6" s="1"/>
      <c r="B6" s="1"/>
      <c r="C6" s="60" t="s">
        <v>13</v>
      </c>
      <c r="D6" s="61" t="s">
        <v>14</v>
      </c>
      <c r="E6" s="34" t="s">
        <v>13</v>
      </c>
      <c r="F6" s="1"/>
      <c r="G6" s="61" t="s">
        <v>14</v>
      </c>
      <c r="H6" s="34" t="s">
        <v>13</v>
      </c>
      <c r="I6" s="1"/>
      <c r="J6" s="37" t="s">
        <v>15</v>
      </c>
      <c r="K6" s="1"/>
      <c r="L6" s="33" t="s">
        <v>13</v>
      </c>
      <c r="M6" s="34" t="s">
        <v>17</v>
      </c>
    </row>
    <row r="7" spans="1:13" x14ac:dyDescent="0.2">
      <c r="A7" s="1"/>
      <c r="B7" s="39" t="s">
        <v>18</v>
      </c>
      <c r="C7" s="68"/>
      <c r="D7" s="23"/>
      <c r="E7" s="23"/>
      <c r="F7" s="23"/>
      <c r="G7" s="23"/>
      <c r="H7" s="23"/>
      <c r="I7" s="23"/>
      <c r="J7" s="23"/>
      <c r="K7" s="23"/>
      <c r="L7" s="23"/>
      <c r="M7" s="52"/>
    </row>
    <row r="8" spans="1:13" x14ac:dyDescent="0.2">
      <c r="A8" s="1"/>
      <c r="B8" s="40" t="s">
        <v>19</v>
      </c>
      <c r="C8" s="8">
        <f>'Detailed Cap Table'!G4</f>
        <v>3600000</v>
      </c>
      <c r="D8" s="1"/>
      <c r="E8" s="1"/>
      <c r="F8" s="1"/>
      <c r="G8" s="1"/>
      <c r="H8" s="1"/>
      <c r="I8" s="1"/>
      <c r="J8" s="1"/>
      <c r="K8" s="1"/>
      <c r="L8" s="20">
        <f>C8+E8+H8+J8</f>
        <v>3600000</v>
      </c>
      <c r="M8" s="44">
        <f ca="1">L8/$L$21</f>
        <v>0.19407512367706806</v>
      </c>
    </row>
    <row r="9" spans="1:13" x14ac:dyDescent="0.2">
      <c r="A9" s="1"/>
      <c r="B9" s="40" t="s">
        <v>20</v>
      </c>
      <c r="C9" s="8">
        <f>'Detailed Cap Table'!G5</f>
        <v>3600000</v>
      </c>
      <c r="D9" s="1"/>
      <c r="E9" s="1"/>
      <c r="F9" s="1"/>
      <c r="G9" s="1"/>
      <c r="H9" s="1"/>
      <c r="I9" s="1"/>
      <c r="J9" s="1"/>
      <c r="K9" s="1"/>
      <c r="L9" s="20">
        <f>C9+E9+H9+J9</f>
        <v>3600000</v>
      </c>
      <c r="M9" s="44">
        <f ca="1">L9/$L$21</f>
        <v>0.19407512367706806</v>
      </c>
    </row>
    <row r="10" spans="1:13" x14ac:dyDescent="0.2">
      <c r="A10" s="1"/>
      <c r="B10" s="40" t="s">
        <v>21</v>
      </c>
      <c r="C10" s="8">
        <f>'Detailed Cap Table'!G6+'Detailed Cap Table'!G7+'Detailed Cap Table'!G8+'Detailed Cap Table'!G9+'Detailed Cap Table'!G10+'Detailed Cap Table'!G11+'Detailed Cap Table'!G14+'Detailed Cap Table'!G15+'Detailed Cap Table'!G16</f>
        <v>2243587</v>
      </c>
      <c r="D10" s="1"/>
      <c r="E10" s="1"/>
      <c r="F10" s="1"/>
      <c r="G10" s="1"/>
      <c r="H10" s="1"/>
      <c r="I10" s="1"/>
      <c r="J10" s="1"/>
      <c r="K10" s="1"/>
      <c r="L10" s="20">
        <f>C10+E10+H10+J10</f>
        <v>2243587</v>
      </c>
      <c r="M10" s="44">
        <f ca="1">L10/$L$21</f>
        <v>0.12095122902923947</v>
      </c>
    </row>
    <row r="11" spans="1:13" x14ac:dyDescent="0.2">
      <c r="A11" s="1"/>
      <c r="B11" s="40" t="s">
        <v>22</v>
      </c>
      <c r="C11" s="8">
        <f>'Detailed Cap Table'!G12+'Detailed Cap Table'!G13+'Detailed Cap Table'!G17+'Detailed Cap Table'!G18+'Detailed Cap Table'!G19+'Detailed Cap Table'!G20</f>
        <v>231571</v>
      </c>
      <c r="D11" s="1"/>
      <c r="E11" s="1"/>
      <c r="F11" s="1"/>
      <c r="G11" s="1"/>
      <c r="H11" s="1"/>
      <c r="I11" s="1"/>
      <c r="J11" s="1"/>
      <c r="K11" s="1"/>
      <c r="L11" s="20">
        <f>C11+E11+H11+J11</f>
        <v>231571</v>
      </c>
      <c r="M11" s="44">
        <f ca="1">L11/$L$21</f>
        <v>1.248393624028398E-2</v>
      </c>
    </row>
    <row r="12" spans="1:13" x14ac:dyDescent="0.2">
      <c r="A12" s="1"/>
      <c r="B12" s="40" t="s">
        <v>23</v>
      </c>
      <c r="C12" s="8">
        <f>'Detailed Cap Table'!G21</f>
        <v>65105</v>
      </c>
      <c r="D12" s="1"/>
      <c r="E12" s="1"/>
      <c r="F12" s="1"/>
      <c r="G12" s="1"/>
      <c r="H12" s="1"/>
      <c r="I12" s="1"/>
      <c r="J12" s="7">
        <f ca="1">IFERROR(ROUND($C$34*$L$21-C12,0),0)</f>
        <v>1789847</v>
      </c>
      <c r="K12" s="1"/>
      <c r="L12" s="20">
        <f ca="1">C12+E12+H12+J12</f>
        <v>1854952</v>
      </c>
      <c r="M12" s="44">
        <f ca="1">L12/$L$21</f>
        <v>0.10000001078195131</v>
      </c>
    </row>
    <row r="13" spans="1:13" ht="13.5" customHeight="1" x14ac:dyDescent="0.2">
      <c r="A13" s="1"/>
      <c r="B13" s="16"/>
      <c r="C13" s="7"/>
      <c r="D13" s="1"/>
      <c r="E13" s="1"/>
      <c r="F13" s="1"/>
      <c r="G13" s="1"/>
      <c r="H13" s="1"/>
      <c r="I13" s="1"/>
      <c r="J13" s="7"/>
      <c r="K13" s="1"/>
      <c r="L13" s="20"/>
      <c r="M13" s="44"/>
    </row>
    <row r="14" spans="1:13" x14ac:dyDescent="0.2">
      <c r="A14" s="1"/>
      <c r="B14" s="41" t="s">
        <v>24</v>
      </c>
      <c r="C14" s="48">
        <f>SUM(C8:C13)</f>
        <v>9740263</v>
      </c>
      <c r="D14" s="1"/>
      <c r="E14" s="7">
        <f>SUM(E8:E13)</f>
        <v>0</v>
      </c>
      <c r="F14" s="1"/>
      <c r="G14" s="1"/>
      <c r="H14" s="7">
        <f>SUM(H8:H13)</f>
        <v>0</v>
      </c>
      <c r="I14" s="1"/>
      <c r="J14" s="13">
        <f ca="1">SUM(J8:J13)</f>
        <v>1789847</v>
      </c>
      <c r="K14" s="1"/>
      <c r="L14" s="46">
        <f ca="1">SUM(L8:L13)</f>
        <v>11530110</v>
      </c>
      <c r="M14" s="44">
        <f ca="1">L14/$L$21</f>
        <v>0.62158542340561085</v>
      </c>
    </row>
    <row r="15" spans="1:13" x14ac:dyDescent="0.2">
      <c r="A15" s="1"/>
      <c r="B15" s="41" t="s">
        <v>25</v>
      </c>
      <c r="C15" s="1"/>
      <c r="D15" s="1"/>
      <c r="E15" s="7"/>
      <c r="F15" s="1"/>
      <c r="G15" s="1"/>
      <c r="H15" s="7"/>
      <c r="I15" s="1"/>
      <c r="J15" s="1"/>
      <c r="K15" s="1"/>
      <c r="L15" s="20"/>
      <c r="M15" s="44"/>
    </row>
    <row r="16" spans="1:13" x14ac:dyDescent="0.2">
      <c r="A16" s="1"/>
      <c r="B16" s="40" t="s">
        <v>26</v>
      </c>
      <c r="C16" s="1"/>
      <c r="D16" s="47">
        <f>'SAFE Investments'!C6+'SAFE Investments'!C7+'SAFE Investments'!C8+'SAFE Investments'!C15+'SAFE Investments'!C16+'SAFE Investments'!C17+'SAFE Investments'!C21+'SAFE Investments'!C24</f>
        <v>8000000</v>
      </c>
      <c r="E16" s="7">
        <f>IFERROR(ROUND(D16/$E$23,0),0)</f>
        <v>1939582</v>
      </c>
      <c r="F16" s="1"/>
      <c r="G16" s="63">
        <v>5000000</v>
      </c>
      <c r="H16" s="7">
        <f ca="1">IFERROR(ROUND(G16/$H$23,0),0)</f>
        <v>1159340</v>
      </c>
      <c r="I16" s="1"/>
      <c r="J16" s="1"/>
      <c r="K16" s="1"/>
      <c r="L16" s="20">
        <f ca="1">C16+E16+H16+J16</f>
        <v>3098922</v>
      </c>
      <c r="M16" s="44">
        <f ca="1">L16/$L$21</f>
        <v>0.1670621306709964</v>
      </c>
    </row>
    <row r="17" spans="1:13" x14ac:dyDescent="0.2">
      <c r="A17" s="1"/>
      <c r="B17" s="40" t="s">
        <v>27</v>
      </c>
      <c r="C17" s="1"/>
      <c r="D17" s="47">
        <f>'SAFE Investments'!C4+'SAFE Investments'!C5+'SAFE Investments'!C9+'SAFE Investments'!C10+'SAFE Investments'!C11+'SAFE Investments'!C12+'SAFE Investments'!C13+'SAFE Investments'!C14+'SAFE Investments'!C18+'SAFE Investments'!C19+'SAFE Investments'!C20+'SAFE Investments'!C22+'SAFE Investments'!C23+'SAFE Investments'!C25</f>
        <v>1825000</v>
      </c>
      <c r="E17" s="7">
        <f>IFERROR(ROUND(D17/$E$23,0),0)</f>
        <v>442467</v>
      </c>
      <c r="F17" s="1"/>
      <c r="G17" s="1"/>
      <c r="H17" s="7"/>
      <c r="I17" s="1"/>
      <c r="J17" s="1"/>
      <c r="K17" s="1"/>
      <c r="L17" s="20">
        <f>C17+E17+H17+J17</f>
        <v>442467</v>
      </c>
      <c r="M17" s="44">
        <f ca="1">L17/$L$21</f>
        <v>2.3853288263339243E-2</v>
      </c>
    </row>
    <row r="18" spans="1:13" x14ac:dyDescent="0.2">
      <c r="A18" s="1"/>
      <c r="B18" s="40">
        <v>1011</v>
      </c>
      <c r="C18" s="1"/>
      <c r="D18" s="1"/>
      <c r="E18" s="1"/>
      <c r="F18" s="1"/>
      <c r="G18" s="63">
        <v>12000000</v>
      </c>
      <c r="H18" s="7">
        <f ca="1">IFERROR(ROUND(G18/$H$23,0),0)</f>
        <v>2782415</v>
      </c>
      <c r="I18" s="1"/>
      <c r="J18" s="1"/>
      <c r="K18" s="1"/>
      <c r="L18" s="20">
        <f ca="1">C18+E18+H18+J18</f>
        <v>2782415</v>
      </c>
      <c r="M18" s="44">
        <f ca="1">L18/$L$21</f>
        <v>0.14999931534609148</v>
      </c>
    </row>
    <row r="19" spans="1:13" x14ac:dyDescent="0.2">
      <c r="A19" s="1"/>
      <c r="B19" s="40" t="s">
        <v>28</v>
      </c>
      <c r="C19" s="1"/>
      <c r="D19" s="1"/>
      <c r="E19" s="1"/>
      <c r="F19" s="1"/>
      <c r="G19" s="63">
        <v>3000000</v>
      </c>
      <c r="H19" s="7">
        <f ca="1">IFERROR(ROUND(G19/$H$23,0),0)</f>
        <v>695604</v>
      </c>
      <c r="I19" s="1"/>
      <c r="J19" s="1"/>
      <c r="K19" s="1"/>
      <c r="L19" s="20">
        <f ca="1">C19+E19+H19+J19</f>
        <v>695604</v>
      </c>
      <c r="M19" s="44">
        <f ca="1">L19/$L$21</f>
        <v>3.7499842313962015E-2</v>
      </c>
    </row>
    <row r="20" spans="1:13" x14ac:dyDescent="0.2">
      <c r="A20" s="1"/>
      <c r="B20" s="16"/>
      <c r="C20" s="1"/>
      <c r="D20" s="1"/>
      <c r="E20" s="1"/>
      <c r="F20" s="1"/>
      <c r="G20" s="1"/>
      <c r="H20" s="1"/>
      <c r="I20" s="1"/>
      <c r="J20" s="1"/>
      <c r="K20" s="1"/>
      <c r="L20" s="20"/>
      <c r="M20" s="44"/>
    </row>
    <row r="21" spans="1:13" x14ac:dyDescent="0.2">
      <c r="A21" s="1"/>
      <c r="B21" s="41" t="s">
        <v>30</v>
      </c>
      <c r="C21" s="56">
        <f>C14+SUM(C16:C19)</f>
        <v>9740263</v>
      </c>
      <c r="D21" s="70">
        <f>SUM(D16:D20)</f>
        <v>9825000</v>
      </c>
      <c r="E21" s="14">
        <f>SUM(E16:E20)</f>
        <v>2382049</v>
      </c>
      <c r="F21" s="1"/>
      <c r="G21" s="20">
        <f>SUM(G16:G20)</f>
        <v>20000000</v>
      </c>
      <c r="H21" s="7">
        <f ca="1">SUM(H16:H20)</f>
        <v>4637359</v>
      </c>
      <c r="I21" s="1"/>
      <c r="J21" s="13">
        <f ca="1">J12</f>
        <v>1789847</v>
      </c>
      <c r="K21" s="1"/>
      <c r="L21" s="71">
        <f ca="1">SUM(L16:L20)+L14</f>
        <v>18549518</v>
      </c>
      <c r="M21" s="65">
        <f ca="1">SUM(M16:M19)+M14</f>
        <v>1</v>
      </c>
    </row>
    <row r="22" spans="1:13" ht="13.75" customHeight="1" thickBot="1" x14ac:dyDescent="0.25">
      <c r="A22" s="1"/>
      <c r="B22" s="16"/>
      <c r="C22" s="22"/>
      <c r="D22" s="1"/>
      <c r="E22" s="1"/>
      <c r="F22" s="1"/>
      <c r="G22" s="1"/>
      <c r="H22" s="1"/>
      <c r="I22" s="1"/>
      <c r="J22" s="22"/>
      <c r="K22" s="1"/>
      <c r="L22" s="1"/>
      <c r="M22" s="54"/>
    </row>
    <row r="23" spans="1:13" ht="13.75" customHeight="1" thickBot="1" x14ac:dyDescent="0.25">
      <c r="A23" s="1"/>
      <c r="B23" s="40" t="s">
        <v>31</v>
      </c>
      <c r="C23" s="1"/>
      <c r="D23" s="1"/>
      <c r="E23" s="64">
        <f>IFERROR(ROUND(($C$35-D21)/'Detailed Cap Table'!G23, 4), 0)</f>
        <v>4.1246</v>
      </c>
      <c r="F23" s="1"/>
      <c r="G23" s="1"/>
      <c r="H23" s="64">
        <f ca="1">IFERROR(ROUND(H24/(L21-H21), 4), 0)</f>
        <v>4.3128000000000002</v>
      </c>
      <c r="I23" s="1"/>
      <c r="J23" s="1"/>
      <c r="K23" s="1"/>
      <c r="L23" s="1"/>
      <c r="M23" s="54"/>
    </row>
    <row r="24" spans="1:13" x14ac:dyDescent="0.2">
      <c r="A24" s="1"/>
      <c r="B24" s="40" t="s">
        <v>32</v>
      </c>
      <c r="C24" s="1"/>
      <c r="D24" s="1"/>
      <c r="E24" s="1"/>
      <c r="F24" s="1"/>
      <c r="G24" s="1"/>
      <c r="H24" s="21">
        <f>H25-G21</f>
        <v>60000000</v>
      </c>
      <c r="I24" s="1"/>
      <c r="J24" s="1"/>
      <c r="K24" s="1"/>
      <c r="L24" s="1"/>
      <c r="M24" s="54"/>
    </row>
    <row r="25" spans="1:13" ht="13.75" customHeight="1" thickBot="1" x14ac:dyDescent="0.25">
      <c r="A25" s="1"/>
      <c r="B25" s="42" t="s">
        <v>33</v>
      </c>
      <c r="C25" s="15"/>
      <c r="D25" s="15"/>
      <c r="E25" s="15"/>
      <c r="F25" s="15"/>
      <c r="G25" s="15"/>
      <c r="H25" s="69">
        <f>C29+C30</f>
        <v>80000000</v>
      </c>
      <c r="I25" s="15"/>
      <c r="J25" s="15"/>
      <c r="K25" s="15"/>
      <c r="L25" s="15"/>
      <c r="M25" s="55"/>
    </row>
    <row r="26" spans="1:13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x14ac:dyDescent="0.2">
      <c r="A27" s="1"/>
      <c r="B27" s="30" t="s">
        <v>95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x14ac:dyDescent="0.2">
      <c r="A29" s="1"/>
      <c r="B29" s="1" t="s">
        <v>32</v>
      </c>
      <c r="C29" s="63">
        <v>60000000</v>
      </c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x14ac:dyDescent="0.2">
      <c r="A30" s="1"/>
      <c r="B30" s="1" t="s">
        <v>35</v>
      </c>
      <c r="C30" s="63">
        <v>20000000</v>
      </c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x14ac:dyDescent="0.2">
      <c r="A31" s="1"/>
      <c r="B31" s="1" t="s">
        <v>96</v>
      </c>
      <c r="C31" s="63">
        <v>12000000</v>
      </c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x14ac:dyDescent="0.2">
      <c r="A32" s="1"/>
      <c r="B32" s="1" t="s">
        <v>97</v>
      </c>
      <c r="C32" s="63">
        <v>5000000</v>
      </c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x14ac:dyDescent="0.2">
      <c r="A33" s="1"/>
      <c r="B33" s="1" t="s">
        <v>98</v>
      </c>
      <c r="C33" s="63">
        <v>3000000</v>
      </c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x14ac:dyDescent="0.2">
      <c r="A34" s="1"/>
      <c r="B34" s="1" t="s">
        <v>99</v>
      </c>
      <c r="C34" s="2">
        <v>0.1</v>
      </c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x14ac:dyDescent="0.2">
      <c r="A35" s="1"/>
      <c r="B35" s="1" t="s">
        <v>100</v>
      </c>
      <c r="C35" s="63">
        <v>50000000</v>
      </c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x14ac:dyDescent="0.2">
      <c r="A36" s="1"/>
      <c r="B36" s="1" t="s">
        <v>101</v>
      </c>
      <c r="C36" s="19">
        <f>'Detailed Cap Table'!G21</f>
        <v>65105</v>
      </c>
      <c r="D36" s="1"/>
      <c r="E36" s="1"/>
      <c r="F36" s="1"/>
      <c r="G36" s="1"/>
      <c r="H36" s="1"/>
      <c r="I36" s="1"/>
      <c r="J36" s="1"/>
      <c r="K36" s="1"/>
      <c r="L36" s="1"/>
      <c r="M3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81"/>
  <sheetViews>
    <sheetView showGridLines="0" workbookViewId="0"/>
  </sheetViews>
  <sheetFormatPr baseColWidth="10" defaultRowHeight="16" x14ac:dyDescent="0.2"/>
  <cols>
    <col min="1" max="1" width="9.6640625" customWidth="1"/>
    <col min="2" max="2" width="22" customWidth="1"/>
    <col min="3" max="3" width="11.1640625" customWidth="1"/>
    <col min="4" max="4" width="14.1640625" customWidth="1"/>
    <col min="5" max="6" width="9.6640625" customWidth="1"/>
    <col min="7" max="7" width="10.1640625" customWidth="1"/>
    <col min="8" max="8" width="9.6640625" customWidth="1"/>
    <col min="9" max="24" width="14.83203125" customWidth="1"/>
  </cols>
  <sheetData>
    <row r="1" spans="1:24" x14ac:dyDescent="0.2">
      <c r="A1" s="1"/>
      <c r="B1" s="72" t="s">
        <v>0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1"/>
      <c r="T1" s="1"/>
      <c r="U1" s="1"/>
      <c r="V1" s="1"/>
      <c r="W1" s="1"/>
      <c r="X1" s="1"/>
    </row>
    <row r="2" spans="1:24" ht="15.5" customHeight="1" x14ac:dyDescent="0.2">
      <c r="A2" s="1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1"/>
      <c r="T2" s="1"/>
      <c r="U2" s="1"/>
      <c r="V2" s="1"/>
      <c r="W2" s="1"/>
      <c r="X2" s="1"/>
    </row>
    <row r="3" spans="1:24" ht="16.25" customHeight="1" thickBot="1" x14ac:dyDescent="0.25">
      <c r="A3" s="1"/>
      <c r="B3" s="73" t="s">
        <v>0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1"/>
      <c r="T3" s="1"/>
      <c r="U3" s="1"/>
      <c r="V3" s="1"/>
      <c r="W3" s="1"/>
      <c r="X3" s="1"/>
    </row>
    <row r="4" spans="1:24" ht="13.75" customHeight="1" thickBot="1" x14ac:dyDescent="0.25">
      <c r="A4" s="1"/>
      <c r="B4" s="1"/>
      <c r="C4" s="31" t="s">
        <v>1</v>
      </c>
      <c r="D4" s="50" t="s">
        <v>2</v>
      </c>
      <c r="E4" s="51"/>
      <c r="F4" s="1"/>
      <c r="G4" s="50" t="s">
        <v>3</v>
      </c>
      <c r="H4" s="51"/>
      <c r="I4" s="1"/>
      <c r="J4" s="38" t="s">
        <v>4</v>
      </c>
      <c r="K4" s="1"/>
      <c r="L4" s="50" t="s">
        <v>5</v>
      </c>
      <c r="M4" s="51"/>
      <c r="N4" s="1"/>
      <c r="O4" s="38" t="s">
        <v>4</v>
      </c>
      <c r="P4" s="1"/>
      <c r="Q4" s="50" t="s">
        <v>6</v>
      </c>
      <c r="R4" s="51"/>
      <c r="S4" s="1"/>
      <c r="T4" s="1"/>
      <c r="U4" s="1"/>
      <c r="V4" s="1"/>
      <c r="W4" s="1"/>
      <c r="X4" s="1"/>
    </row>
    <row r="5" spans="1:24" x14ac:dyDescent="0.2">
      <c r="A5" s="1"/>
      <c r="B5" s="1"/>
      <c r="C5" s="31" t="s">
        <v>7</v>
      </c>
      <c r="D5" s="35" t="s">
        <v>8</v>
      </c>
      <c r="E5" s="36" t="s">
        <v>9</v>
      </c>
      <c r="F5" s="1"/>
      <c r="G5" s="35" t="s">
        <v>8</v>
      </c>
      <c r="H5" s="36" t="s">
        <v>9</v>
      </c>
      <c r="I5" s="1"/>
      <c r="J5" s="37" t="s">
        <v>10</v>
      </c>
      <c r="K5" s="1"/>
      <c r="L5" s="35" t="s">
        <v>8</v>
      </c>
      <c r="M5" s="36" t="s">
        <v>9</v>
      </c>
      <c r="N5" s="1"/>
      <c r="O5" s="37" t="s">
        <v>10</v>
      </c>
      <c r="P5" s="1"/>
      <c r="Q5" s="35" t="s">
        <v>11</v>
      </c>
      <c r="R5" s="36" t="s">
        <v>12</v>
      </c>
      <c r="S5" s="1"/>
      <c r="T5" s="1"/>
      <c r="U5" s="1"/>
      <c r="V5" s="1"/>
      <c r="W5" s="1"/>
      <c r="X5" s="1"/>
    </row>
    <row r="6" spans="1:24" ht="13.75" customHeight="1" thickBot="1" x14ac:dyDescent="0.25">
      <c r="A6" s="1"/>
      <c r="B6" s="1"/>
      <c r="C6" s="31" t="s">
        <v>13</v>
      </c>
      <c r="D6" s="33" t="s">
        <v>14</v>
      </c>
      <c r="E6" s="34" t="s">
        <v>13</v>
      </c>
      <c r="F6" s="1"/>
      <c r="G6" s="33" t="s">
        <v>14</v>
      </c>
      <c r="H6" s="34" t="s">
        <v>13</v>
      </c>
      <c r="I6" s="1"/>
      <c r="J6" s="37" t="s">
        <v>15</v>
      </c>
      <c r="K6" s="1"/>
      <c r="L6" s="33" t="s">
        <v>14</v>
      </c>
      <c r="M6" s="34" t="s">
        <v>13</v>
      </c>
      <c r="N6" s="1"/>
      <c r="O6" s="37" t="s">
        <v>16</v>
      </c>
      <c r="P6" s="1"/>
      <c r="Q6" s="33" t="s">
        <v>13</v>
      </c>
      <c r="R6" s="34" t="s">
        <v>17</v>
      </c>
      <c r="S6" s="1"/>
      <c r="T6" s="1"/>
      <c r="U6" s="1"/>
      <c r="V6" s="1"/>
      <c r="W6" s="1"/>
      <c r="X6" s="1"/>
    </row>
    <row r="7" spans="1:24" x14ac:dyDescent="0.2">
      <c r="A7" s="1"/>
      <c r="B7" s="39" t="s">
        <v>18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52"/>
      <c r="S7" s="1"/>
      <c r="T7" s="1"/>
      <c r="U7" s="1"/>
      <c r="V7" s="1"/>
      <c r="W7" s="1"/>
      <c r="X7" s="1"/>
    </row>
    <row r="8" spans="1:24" x14ac:dyDescent="0.2">
      <c r="A8" s="1"/>
      <c r="B8" s="16" t="s">
        <v>19</v>
      </c>
      <c r="C8" s="19">
        <f>'Series A'!C8</f>
        <v>3600000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20">
        <f>C8+E8+H8+J8+M8+O8</f>
        <v>3600000</v>
      </c>
      <c r="R8" s="53">
        <f ca="1">Q8/$Q$21</f>
        <v>0.14814400255466101</v>
      </c>
      <c r="S8" s="1"/>
      <c r="T8" s="1"/>
      <c r="U8" s="1"/>
      <c r="V8" s="1"/>
      <c r="W8" s="1"/>
      <c r="X8" s="1"/>
    </row>
    <row r="9" spans="1:24" x14ac:dyDescent="0.2">
      <c r="A9" s="1"/>
      <c r="B9" s="16" t="s">
        <v>20</v>
      </c>
      <c r="C9" s="19">
        <f>'Series A'!C9</f>
        <v>3600000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20">
        <f>C9+E9+H9+J9+M9+O9</f>
        <v>3600000</v>
      </c>
      <c r="R9" s="53">
        <f ca="1">Q9/$Q$21</f>
        <v>0.14814400255466101</v>
      </c>
      <c r="S9" s="1"/>
      <c r="T9" s="1"/>
      <c r="U9" s="1"/>
      <c r="V9" s="1"/>
      <c r="W9" s="1"/>
      <c r="X9" s="1"/>
    </row>
    <row r="10" spans="1:24" x14ac:dyDescent="0.2">
      <c r="A10" s="1"/>
      <c r="B10" s="16" t="s">
        <v>21</v>
      </c>
      <c r="C10" s="19">
        <f>'Series A'!C10</f>
        <v>2243587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20">
        <f>C10+E10+H10+J10+M10+O10</f>
        <v>2243587</v>
      </c>
      <c r="R10" s="53">
        <f ca="1">Q10/$Q$21</f>
        <v>9.2326099516556737E-2</v>
      </c>
      <c r="S10" s="1"/>
      <c r="T10" s="1"/>
      <c r="U10" s="1"/>
      <c r="V10" s="1"/>
      <c r="W10" s="1"/>
      <c r="X10" s="1"/>
    </row>
    <row r="11" spans="1:24" x14ac:dyDescent="0.2">
      <c r="A11" s="1"/>
      <c r="B11" s="16" t="s">
        <v>22</v>
      </c>
      <c r="C11" s="19">
        <f>'Series A'!C11</f>
        <v>231571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20">
        <f>C11+E11+H11+J11+M11+O11</f>
        <v>231571</v>
      </c>
      <c r="R11" s="53">
        <f ca="1">Q11/$Q$21</f>
        <v>9.5294041154403916E-3</v>
      </c>
      <c r="S11" s="1"/>
      <c r="T11" s="1"/>
      <c r="U11" s="1"/>
      <c r="V11" s="1"/>
      <c r="W11" s="1"/>
      <c r="X11" s="1"/>
    </row>
    <row r="12" spans="1:24" x14ac:dyDescent="0.2">
      <c r="A12" s="1"/>
      <c r="B12" s="16" t="s">
        <v>23</v>
      </c>
      <c r="C12" s="19">
        <f>'Series A'!C12</f>
        <v>65105</v>
      </c>
      <c r="D12" s="1"/>
      <c r="E12" s="1"/>
      <c r="F12" s="1"/>
      <c r="G12" s="1"/>
      <c r="H12" s="1"/>
      <c r="I12" s="1"/>
      <c r="J12" s="19">
        <f ca="1">'Series A'!J12</f>
        <v>1789847</v>
      </c>
      <c r="K12" s="1"/>
      <c r="L12" s="1"/>
      <c r="M12" s="1"/>
      <c r="N12" s="1"/>
      <c r="O12" s="20">
        <f ca="1">IFERROR(ROUND($C$34*$Q$21,0),0)</f>
        <v>1701048</v>
      </c>
      <c r="P12" s="1"/>
      <c r="Q12" s="20">
        <f ca="1">C12+E12+H12+J12+M12+O12</f>
        <v>3556000</v>
      </c>
      <c r="R12" s="53">
        <f ca="1">Q12/$Q$21</f>
        <v>0.1463333536345485</v>
      </c>
      <c r="S12" s="1"/>
      <c r="T12" s="1"/>
      <c r="U12" s="1"/>
      <c r="V12" s="1"/>
      <c r="W12" s="1"/>
      <c r="X12" s="1"/>
    </row>
    <row r="13" spans="1:24" ht="13.5" customHeight="1" x14ac:dyDescent="0.2">
      <c r="A13" s="1"/>
      <c r="B13" s="16"/>
      <c r="C13" s="20"/>
      <c r="D13" s="1"/>
      <c r="E13" s="1"/>
      <c r="F13" s="1"/>
      <c r="G13" s="1"/>
      <c r="H13" s="1"/>
      <c r="I13" s="1"/>
      <c r="J13" s="20"/>
      <c r="K13" s="1"/>
      <c r="L13" s="1"/>
      <c r="M13" s="1"/>
      <c r="N13" s="1"/>
      <c r="O13" s="20"/>
      <c r="P13" s="1"/>
      <c r="Q13" s="20"/>
      <c r="R13" s="53"/>
      <c r="S13" s="1"/>
      <c r="T13" s="1"/>
      <c r="U13" s="1"/>
      <c r="V13" s="1"/>
      <c r="W13" s="1"/>
      <c r="X13" s="1"/>
    </row>
    <row r="14" spans="1:24" x14ac:dyDescent="0.2">
      <c r="A14" s="1"/>
      <c r="B14" s="17" t="s">
        <v>24</v>
      </c>
      <c r="C14" s="56">
        <f>SUM(C8:C13)</f>
        <v>9740263</v>
      </c>
      <c r="D14" s="1"/>
      <c r="E14" s="20">
        <f>SUM(E8:E13)</f>
        <v>0</v>
      </c>
      <c r="F14" s="1"/>
      <c r="G14" s="1"/>
      <c r="H14" s="20">
        <f>SUM(H8:H13)</f>
        <v>0</v>
      </c>
      <c r="I14" s="1"/>
      <c r="J14" s="56">
        <f ca="1">SUM(J8:J13)</f>
        <v>1789847</v>
      </c>
      <c r="K14" s="1"/>
      <c r="L14" s="1"/>
      <c r="M14" s="20">
        <f>SUM(M8:M13)</f>
        <v>0</v>
      </c>
      <c r="N14" s="1"/>
      <c r="O14" s="56">
        <f ca="1">SUM(O8:O13)</f>
        <v>1701048</v>
      </c>
      <c r="P14" s="1"/>
      <c r="Q14" s="20">
        <f ca="1">SUM(Q8:Q13)</f>
        <v>13231158</v>
      </c>
      <c r="R14" s="53">
        <f ca="1">Q14/$Q$21</f>
        <v>0.54447686237586768</v>
      </c>
      <c r="S14" s="1"/>
      <c r="T14" s="1"/>
      <c r="U14" s="1"/>
      <c r="V14" s="1"/>
      <c r="W14" s="1"/>
      <c r="X14" s="1"/>
    </row>
    <row r="15" spans="1:24" x14ac:dyDescent="0.2">
      <c r="A15" s="1"/>
      <c r="B15" s="41" t="s">
        <v>25</v>
      </c>
      <c r="C15" s="1"/>
      <c r="D15" s="1"/>
      <c r="E15" s="20"/>
      <c r="F15" s="1"/>
      <c r="G15" s="1"/>
      <c r="H15" s="20"/>
      <c r="I15" s="1"/>
      <c r="J15" s="1"/>
      <c r="K15" s="1"/>
      <c r="L15" s="1"/>
      <c r="M15" s="20"/>
      <c r="N15" s="1"/>
      <c r="O15" s="1"/>
      <c r="P15" s="1"/>
      <c r="Q15" s="20"/>
      <c r="R15" s="53"/>
      <c r="S15" s="1"/>
      <c r="T15" s="1"/>
      <c r="U15" s="1"/>
      <c r="V15" s="1"/>
      <c r="W15" s="1"/>
      <c r="X15" s="1"/>
    </row>
    <row r="16" spans="1:24" x14ac:dyDescent="0.2">
      <c r="A16" s="1"/>
      <c r="B16" s="16" t="s">
        <v>26</v>
      </c>
      <c r="C16" s="1"/>
      <c r="D16" s="47">
        <f>'Series A'!D16</f>
        <v>8000000</v>
      </c>
      <c r="E16" s="19">
        <f>'Series A'!E16</f>
        <v>1939582</v>
      </c>
      <c r="F16" s="1"/>
      <c r="G16" s="19">
        <f>'Series A'!G16</f>
        <v>5000000</v>
      </c>
      <c r="H16" s="19">
        <f ca="1">'Series A'!H16</f>
        <v>1159340</v>
      </c>
      <c r="I16" s="1"/>
      <c r="J16" s="1"/>
      <c r="K16" s="1"/>
      <c r="L16" s="21">
        <f>C38*C32</f>
        <v>3750000</v>
      </c>
      <c r="M16" s="20">
        <f ca="1">IFERROR(ROUND(L16/$M$23,0),0)</f>
        <v>506264</v>
      </c>
      <c r="N16" s="1"/>
      <c r="O16" s="1"/>
      <c r="P16" s="1"/>
      <c r="Q16" s="20">
        <f ca="1">C16+E16+H16+J16+M16+O16</f>
        <v>3605186</v>
      </c>
      <c r="R16" s="53">
        <f ca="1">Q16/$Q$21</f>
        <v>0.14835741222056337</v>
      </c>
      <c r="S16" s="1"/>
      <c r="T16" s="1"/>
      <c r="U16" s="1"/>
      <c r="V16" s="1"/>
      <c r="W16" s="1"/>
      <c r="X16" s="1"/>
    </row>
    <row r="17" spans="1:24" x14ac:dyDescent="0.2">
      <c r="A17" s="1"/>
      <c r="B17" s="16" t="s">
        <v>27</v>
      </c>
      <c r="C17" s="1"/>
      <c r="D17" s="47">
        <f>'Series A'!D17</f>
        <v>1825000</v>
      </c>
      <c r="E17" s="19">
        <f>'Series A'!E17</f>
        <v>442467</v>
      </c>
      <c r="F17" s="1"/>
      <c r="G17" s="1"/>
      <c r="H17" s="20"/>
      <c r="I17" s="1"/>
      <c r="J17" s="1"/>
      <c r="K17" s="1"/>
      <c r="L17" s="21"/>
      <c r="M17" s="20"/>
      <c r="N17" s="1"/>
      <c r="O17" s="1"/>
      <c r="P17" s="1"/>
      <c r="Q17" s="20">
        <f>C17+E17+H17+J17+M17+O17</f>
        <v>442467</v>
      </c>
      <c r="R17" s="53">
        <f ca="1">Q17/$Q$21</f>
        <v>1.8208008993986998E-2</v>
      </c>
      <c r="S17" s="1"/>
      <c r="T17" s="1"/>
      <c r="U17" s="1"/>
      <c r="V17" s="1"/>
      <c r="W17" s="1"/>
      <c r="X17" s="1"/>
    </row>
    <row r="18" spans="1:24" x14ac:dyDescent="0.2">
      <c r="A18" s="1"/>
      <c r="B18" s="16">
        <v>1011</v>
      </c>
      <c r="C18" s="1"/>
      <c r="D18" s="1"/>
      <c r="E18" s="1"/>
      <c r="F18" s="1"/>
      <c r="G18" s="19">
        <f>'Series A'!G18</f>
        <v>12000000</v>
      </c>
      <c r="H18" s="19">
        <f ca="1">'Series A'!H18</f>
        <v>2782415</v>
      </c>
      <c r="I18" s="1"/>
      <c r="J18" s="1"/>
      <c r="K18" s="1"/>
      <c r="L18" s="21">
        <f>C37*C32</f>
        <v>9000000</v>
      </c>
      <c r="M18" s="20">
        <f ca="1">IFERROR(ROUND(L18/$M$23,0),0)</f>
        <v>1215034</v>
      </c>
      <c r="N18" s="1"/>
      <c r="O18" s="1"/>
      <c r="P18" s="1"/>
      <c r="Q18" s="20">
        <f ca="1">C18+E18+H18+J18+M18+O18</f>
        <v>3997449</v>
      </c>
      <c r="R18" s="53">
        <f ca="1">Q18/$Q$21</f>
        <v>0.16449947079670199</v>
      </c>
      <c r="S18" s="1"/>
      <c r="T18" s="1"/>
      <c r="U18" s="1"/>
      <c r="V18" s="1"/>
      <c r="W18" s="1"/>
      <c r="X18" s="1"/>
    </row>
    <row r="19" spans="1:24" x14ac:dyDescent="0.2">
      <c r="A19" s="1"/>
      <c r="B19" s="16" t="s">
        <v>28</v>
      </c>
      <c r="C19" s="1"/>
      <c r="D19" s="1"/>
      <c r="E19" s="1"/>
      <c r="F19" s="1"/>
      <c r="G19" s="19">
        <f>'Series A'!G19</f>
        <v>3000000</v>
      </c>
      <c r="H19" s="19">
        <f ca="1">'Series A'!H19</f>
        <v>695604</v>
      </c>
      <c r="I19" s="1"/>
      <c r="J19" s="1"/>
      <c r="K19" s="1"/>
      <c r="L19" s="21">
        <f>C39*C32</f>
        <v>2250000</v>
      </c>
      <c r="M19" s="20">
        <f ca="1">IFERROR(ROUND(L19/$M$23,0),0)</f>
        <v>303759</v>
      </c>
      <c r="N19" s="1"/>
      <c r="O19" s="1"/>
      <c r="P19" s="1"/>
      <c r="Q19" s="20">
        <f ca="1">C19+E19+H19+J19+M19+O19</f>
        <v>999363</v>
      </c>
      <c r="R19" s="53">
        <f ca="1">Q19/$Q$21</f>
        <v>4.1124898562509359E-2</v>
      </c>
      <c r="S19" s="1"/>
      <c r="T19" s="1"/>
      <c r="U19" s="1"/>
      <c r="V19" s="1"/>
      <c r="W19" s="1"/>
      <c r="X19" s="1"/>
    </row>
    <row r="20" spans="1:24" x14ac:dyDescent="0.2">
      <c r="A20" s="1"/>
      <c r="B20" s="16" t="s">
        <v>29</v>
      </c>
      <c r="C20" s="1"/>
      <c r="D20" s="1"/>
      <c r="E20" s="1"/>
      <c r="F20" s="1"/>
      <c r="G20" s="1"/>
      <c r="H20" s="1"/>
      <c r="I20" s="1"/>
      <c r="J20" s="1"/>
      <c r="K20" s="1"/>
      <c r="L20" s="62">
        <v>15000000</v>
      </c>
      <c r="M20" s="20">
        <f ca="1">IFERROR(ROUND(L20/$M$23,0),0)</f>
        <v>2025057</v>
      </c>
      <c r="N20" s="1"/>
      <c r="O20" s="1"/>
      <c r="P20" s="1"/>
      <c r="Q20" s="20">
        <f ca="1">C20+E20+H20+J20+M20+O20</f>
        <v>2025057</v>
      </c>
      <c r="R20" s="53">
        <f ca="1">Q20/$Q$21</f>
        <v>8.3333347050370613E-2</v>
      </c>
      <c r="S20" s="1"/>
      <c r="T20" s="1"/>
      <c r="U20" s="1"/>
      <c r="V20" s="1"/>
      <c r="W20" s="1"/>
      <c r="X20" s="1"/>
    </row>
    <row r="21" spans="1:24" x14ac:dyDescent="0.2">
      <c r="A21" s="1"/>
      <c r="B21" s="17" t="s">
        <v>30</v>
      </c>
      <c r="C21" s="57">
        <f>C14+SUM(C16:C20)</f>
        <v>9740263</v>
      </c>
      <c r="D21" s="70">
        <f>SUM(D16:D20)</f>
        <v>9825000</v>
      </c>
      <c r="E21" s="57">
        <f>SUM(E16:E20)</f>
        <v>2382049</v>
      </c>
      <c r="F21" s="1"/>
      <c r="G21" s="20">
        <f>SUM(G16:G20)</f>
        <v>20000000</v>
      </c>
      <c r="H21" s="20">
        <f ca="1">SUM(H16:H20)</f>
        <v>4637359</v>
      </c>
      <c r="I21" s="1"/>
      <c r="J21" s="56">
        <f ca="1">J12</f>
        <v>1789847</v>
      </c>
      <c r="K21" s="1"/>
      <c r="L21" s="21">
        <f>SUM(L16:L20)</f>
        <v>30000000</v>
      </c>
      <c r="M21" s="20">
        <f ca="1">SUM(M16:M20)</f>
        <v>4050114</v>
      </c>
      <c r="N21" s="1"/>
      <c r="O21" s="56">
        <f ca="1">O12</f>
        <v>1701048</v>
      </c>
      <c r="P21" s="1"/>
      <c r="Q21" s="57">
        <f ca="1">SUM(Q16:Q20)+Q14</f>
        <v>24300680</v>
      </c>
      <c r="R21" s="58">
        <f ca="1">SUM(R16:R20)+R14</f>
        <v>1</v>
      </c>
      <c r="S21" s="1"/>
      <c r="T21" s="1"/>
      <c r="U21" s="1"/>
      <c r="V21" s="1"/>
      <c r="W21" s="1"/>
      <c r="X21" s="1"/>
    </row>
    <row r="22" spans="1:24" ht="13.75" customHeight="1" thickBot="1" x14ac:dyDescent="0.25">
      <c r="A22" s="1"/>
      <c r="B22" s="16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54"/>
      <c r="S22" s="1"/>
      <c r="T22" s="1"/>
      <c r="U22" s="1"/>
      <c r="V22" s="1"/>
      <c r="W22" s="1"/>
      <c r="X22" s="1"/>
    </row>
    <row r="23" spans="1:24" ht="13.75" customHeight="1" thickBot="1" x14ac:dyDescent="0.25">
      <c r="A23" s="1"/>
      <c r="B23" s="16" t="s">
        <v>31</v>
      </c>
      <c r="C23" s="1"/>
      <c r="D23" s="1"/>
      <c r="E23" s="66">
        <f>'Series A'!E23</f>
        <v>4.1246</v>
      </c>
      <c r="F23" s="1"/>
      <c r="G23" s="1"/>
      <c r="H23" s="66">
        <f ca="1">'Series A'!H23</f>
        <v>4.3128000000000002</v>
      </c>
      <c r="I23" s="1"/>
      <c r="J23" s="1"/>
      <c r="K23" s="1"/>
      <c r="L23" s="1"/>
      <c r="M23" s="64">
        <f ca="1">IFERROR(ROUND(M24/(Q21-M21), 4), 0)</f>
        <v>7.4071999999999996</v>
      </c>
      <c r="N23" s="1"/>
      <c r="O23" s="1"/>
      <c r="P23" s="1"/>
      <c r="Q23" s="1"/>
      <c r="R23" s="54"/>
      <c r="S23" s="1"/>
      <c r="T23" s="1"/>
      <c r="U23" s="1"/>
      <c r="V23" s="1"/>
      <c r="W23" s="1"/>
      <c r="X23" s="1"/>
    </row>
    <row r="24" spans="1:24" x14ac:dyDescent="0.2">
      <c r="A24" s="1"/>
      <c r="B24" s="16" t="s">
        <v>32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21">
        <f>M25-L21</f>
        <v>150000000</v>
      </c>
      <c r="N24" s="1"/>
      <c r="O24" s="1"/>
      <c r="P24" s="1"/>
      <c r="Q24" s="1"/>
      <c r="R24" s="54"/>
      <c r="S24" s="1"/>
      <c r="T24" s="1"/>
      <c r="U24" s="1"/>
      <c r="V24" s="1"/>
      <c r="W24" s="1"/>
      <c r="X24" s="1"/>
    </row>
    <row r="25" spans="1:24" ht="13.75" customHeight="1" thickBot="1" x14ac:dyDescent="0.25">
      <c r="A25" s="1"/>
      <c r="B25" s="18" t="s">
        <v>33</v>
      </c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69">
        <f>C29+C30</f>
        <v>180000000</v>
      </c>
      <c r="N25" s="15"/>
      <c r="O25" s="15"/>
      <c r="P25" s="15"/>
      <c r="Q25" s="15"/>
      <c r="R25" s="55"/>
      <c r="S25" s="1"/>
      <c r="T25" s="1"/>
      <c r="U25" s="1"/>
      <c r="V25" s="1"/>
      <c r="W25" s="1"/>
      <c r="X25" s="1"/>
    </row>
    <row r="26" spans="1:24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2">
      <c r="A27" s="1"/>
      <c r="B27" s="30" t="s">
        <v>34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2">
      <c r="A29" s="1"/>
      <c r="B29" s="1" t="s">
        <v>32</v>
      </c>
      <c r="C29" s="63">
        <v>150000000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2">
      <c r="A30" s="1"/>
      <c r="B30" s="1" t="s">
        <v>35</v>
      </c>
      <c r="C30" s="63">
        <v>30000000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2">
      <c r="A31" s="1"/>
      <c r="B31" s="1" t="s">
        <v>29</v>
      </c>
      <c r="C31" s="63">
        <v>15000000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2">
      <c r="A32" s="1"/>
      <c r="B32" s="1" t="s">
        <v>36</v>
      </c>
      <c r="C32" s="20">
        <f>C30-C31</f>
        <v>15000000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2">
      <c r="A33" s="1"/>
      <c r="B33" s="1" t="s">
        <v>37</v>
      </c>
      <c r="C33" s="1" t="s">
        <v>38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2">
      <c r="A34" s="1"/>
      <c r="B34" s="1" t="s">
        <v>39</v>
      </c>
      <c r="C34" s="2">
        <v>7.0000000000000007E-2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2">
      <c r="A36" s="1"/>
      <c r="B36" s="1" t="s">
        <v>40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2">
      <c r="A37" s="1"/>
      <c r="B37" s="1" t="s">
        <v>41</v>
      </c>
      <c r="C37" s="45">
        <f>'Series A'!G18/'Series A'!G21</f>
        <v>0.6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2">
      <c r="A38" s="1"/>
      <c r="B38" s="1" t="s">
        <v>42</v>
      </c>
      <c r="C38" s="45">
        <f>'Series A'!G16/'Series A'!G21</f>
        <v>0.25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2">
      <c r="A39" s="1"/>
      <c r="B39" s="1" t="s">
        <v>43</v>
      </c>
      <c r="C39" s="45">
        <f>'Series A'!G19/'Series A'!G21</f>
        <v>0.15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ht="13.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ht="13.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40543-9B1E-FF4F-AD41-2E0E621B43A4}">
  <dimension ref="A1:X90"/>
  <sheetViews>
    <sheetView showGridLines="0" workbookViewId="0"/>
  </sheetViews>
  <sheetFormatPr baseColWidth="10" defaultRowHeight="16" x14ac:dyDescent="0.2"/>
  <cols>
    <col min="1" max="1" width="9.6640625" customWidth="1"/>
    <col min="2" max="2" width="22" customWidth="1"/>
    <col min="3" max="3" width="11.1640625" customWidth="1"/>
    <col min="4" max="4" width="14.1640625" customWidth="1"/>
    <col min="5" max="6" width="9.6640625" customWidth="1"/>
    <col min="7" max="7" width="10.1640625" customWidth="1"/>
    <col min="8" max="8" width="9.6640625" customWidth="1"/>
    <col min="9" max="24" width="14.83203125" customWidth="1"/>
  </cols>
  <sheetData>
    <row r="1" spans="1:24" x14ac:dyDescent="0.2">
      <c r="A1" s="1"/>
      <c r="B1" s="73" t="s">
        <v>144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 x14ac:dyDescent="0.2">
      <c r="A3" s="1"/>
      <c r="B3" s="1" t="s">
        <v>103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 x14ac:dyDescent="0.2">
      <c r="A4" s="1"/>
      <c r="B4" s="1" t="s">
        <v>104</v>
      </c>
      <c r="C4" s="1"/>
      <c r="D4" s="1"/>
      <c r="E4" s="1"/>
      <c r="F4" s="1"/>
      <c r="G4" s="1"/>
      <c r="H4" s="1"/>
      <c r="I4" s="77">
        <f>+I7/I5</f>
        <v>16666666.666666666</v>
      </c>
      <c r="J4" s="77">
        <f>+J7/J5</f>
        <v>21666666.666666668</v>
      </c>
      <c r="K4" s="77">
        <f>+K7/K5</f>
        <v>26666666.666666668</v>
      </c>
      <c r="L4" s="77">
        <f>+L7/L5</f>
        <v>31666666.666666668</v>
      </c>
      <c r="M4" s="77">
        <f>+M7/M5</f>
        <v>36666666.666666664</v>
      </c>
      <c r="N4" s="77">
        <f>+N7/N5</f>
        <v>41666666.666666664</v>
      </c>
      <c r="O4" s="77">
        <f>+O7/O5</f>
        <v>46666666.666666664</v>
      </c>
      <c r="P4" s="77">
        <f>+P7/P5</f>
        <v>51666666.666666664</v>
      </c>
      <c r="Q4" s="77">
        <f>+Q7/Q5</f>
        <v>56666666.666666664</v>
      </c>
      <c r="R4" s="77">
        <f>+R7/R5</f>
        <v>61666666.666666664</v>
      </c>
      <c r="S4" s="77">
        <f>+S7/S5</f>
        <v>66666666.666666664</v>
      </c>
      <c r="T4" s="77">
        <f>+T7/T5</f>
        <v>71666666.666666672</v>
      </c>
      <c r="U4" s="77">
        <f>+U7/U5</f>
        <v>76666666.666666672</v>
      </c>
      <c r="V4" s="77">
        <f>+V7/V5</f>
        <v>81666666.666666672</v>
      </c>
      <c r="W4" s="77">
        <f>+W7/W5</f>
        <v>86666666.666666672</v>
      </c>
      <c r="X4" s="77">
        <f>+X7/X5</f>
        <v>91666666.666666672</v>
      </c>
    </row>
    <row r="5" spans="1:24" x14ac:dyDescent="0.2">
      <c r="A5" s="1"/>
      <c r="B5" s="1" t="s">
        <v>105</v>
      </c>
      <c r="C5" s="1"/>
      <c r="D5" s="1"/>
      <c r="E5" s="1"/>
      <c r="F5" s="1"/>
      <c r="G5" s="1"/>
      <c r="H5" s="1"/>
      <c r="I5" s="78">
        <v>6</v>
      </c>
      <c r="J5" s="79">
        <f>+I5</f>
        <v>6</v>
      </c>
      <c r="K5" s="79">
        <f>+J5</f>
        <v>6</v>
      </c>
      <c r="L5" s="79">
        <f>+K5</f>
        <v>6</v>
      </c>
      <c r="M5" s="79">
        <f>+L5</f>
        <v>6</v>
      </c>
      <c r="N5" s="79">
        <f>+M5</f>
        <v>6</v>
      </c>
      <c r="O5" s="79">
        <f>+N5</f>
        <v>6</v>
      </c>
      <c r="P5" s="79">
        <f>+O5</f>
        <v>6</v>
      </c>
      <c r="Q5" s="79">
        <f>+P5</f>
        <v>6</v>
      </c>
      <c r="R5" s="79">
        <f>+Q5</f>
        <v>6</v>
      </c>
      <c r="S5" s="79">
        <f>+R5</f>
        <v>6</v>
      </c>
      <c r="T5" s="79">
        <f>+S5</f>
        <v>6</v>
      </c>
      <c r="U5" s="79">
        <f>+T5</f>
        <v>6</v>
      </c>
      <c r="V5" s="79">
        <f>+U5</f>
        <v>6</v>
      </c>
      <c r="W5" s="79">
        <f>+V5</f>
        <v>6</v>
      </c>
      <c r="X5" s="79">
        <f>+W5</f>
        <v>6</v>
      </c>
    </row>
    <row r="6" spans="1:24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2">
      <c r="A7" s="1"/>
      <c r="B7" s="30" t="s">
        <v>106</v>
      </c>
      <c r="C7" s="1"/>
      <c r="D7" s="1"/>
      <c r="E7" s="1"/>
      <c r="F7" s="1"/>
      <c r="G7" s="1"/>
      <c r="H7" s="1"/>
      <c r="I7" s="80">
        <v>100000000</v>
      </c>
      <c r="J7" s="81">
        <f>+I7+30000000</f>
        <v>130000000</v>
      </c>
      <c r="K7" s="81">
        <f>+J7+30000000</f>
        <v>160000000</v>
      </c>
      <c r="L7" s="81">
        <f>+K7+30000000</f>
        <v>190000000</v>
      </c>
      <c r="M7" s="81">
        <f>+L7+30000000</f>
        <v>220000000</v>
      </c>
      <c r="N7" s="81">
        <f>+M7+30000000</f>
        <v>250000000</v>
      </c>
      <c r="O7" s="81">
        <f>+N7+30000000</f>
        <v>280000000</v>
      </c>
      <c r="P7" s="81">
        <f>+O7+30000000</f>
        <v>310000000</v>
      </c>
      <c r="Q7" s="81">
        <f>+P7+30000000</f>
        <v>340000000</v>
      </c>
      <c r="R7" s="81">
        <f>+Q7+30000000</f>
        <v>370000000</v>
      </c>
      <c r="S7" s="81">
        <f>+R7+30000000</f>
        <v>400000000</v>
      </c>
      <c r="T7" s="81">
        <f>+S7+30000000</f>
        <v>430000000</v>
      </c>
      <c r="U7" s="81">
        <f>+T7+30000000</f>
        <v>460000000</v>
      </c>
      <c r="V7" s="81">
        <f>+U7+30000000</f>
        <v>490000000</v>
      </c>
      <c r="W7" s="81">
        <f>+V7+30000000</f>
        <v>520000000</v>
      </c>
      <c r="X7" s="81">
        <f>+W7+30000000</f>
        <v>550000000</v>
      </c>
    </row>
    <row r="8" spans="1:24" x14ac:dyDescent="0.2">
      <c r="A8" s="1"/>
      <c r="B8" s="1" t="s">
        <v>107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2">
      <c r="A9" s="1"/>
      <c r="B9" s="1" t="s">
        <v>108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2">
      <c r="A10" s="1"/>
      <c r="B10" s="1" t="s">
        <v>109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2">
      <c r="A11" s="1"/>
      <c r="B11" s="1" t="s">
        <v>110</v>
      </c>
      <c r="C11" s="1"/>
      <c r="D11" s="1"/>
      <c r="E11" s="88">
        <v>1.4999999999999999E-2</v>
      </c>
      <c r="F11" s="1"/>
      <c r="G11" s="1"/>
      <c r="H11" s="1"/>
      <c r="I11" s="82">
        <f>+-$E$11*I7</f>
        <v>-1500000</v>
      </c>
      <c r="J11" s="82">
        <f>+-$E$11*J7</f>
        <v>-1950000</v>
      </c>
      <c r="K11" s="82">
        <f>+-$E$11*K7</f>
        <v>-2400000</v>
      </c>
      <c r="L11" s="82">
        <f>+-$E$11*L7</f>
        <v>-2850000</v>
      </c>
      <c r="M11" s="82">
        <f>+-$E$11*M7</f>
        <v>-3300000</v>
      </c>
      <c r="N11" s="82">
        <f>+-$E$11*N7</f>
        <v>-3750000</v>
      </c>
      <c r="O11" s="82">
        <f>+-$E$11*O7</f>
        <v>-4200000</v>
      </c>
      <c r="P11" s="82">
        <f>+-$E$11*P7</f>
        <v>-4650000</v>
      </c>
      <c r="Q11" s="82">
        <f>+-$E$11*Q7</f>
        <v>-5100000</v>
      </c>
      <c r="R11" s="82">
        <f>+-$E$11*R7</f>
        <v>-5550000</v>
      </c>
      <c r="S11" s="82">
        <f>+-$E$11*S7</f>
        <v>-6000000</v>
      </c>
      <c r="T11" s="82">
        <f>+-$E$11*T7</f>
        <v>-6450000</v>
      </c>
      <c r="U11" s="82">
        <f>+-$E$11*U7</f>
        <v>-6900000</v>
      </c>
      <c r="V11" s="82">
        <f>+-$E$11*V7</f>
        <v>-7350000</v>
      </c>
      <c r="W11" s="82">
        <f>+-$E$11*W7</f>
        <v>-7800000</v>
      </c>
      <c r="X11" s="82">
        <f>+-$E$11*X7</f>
        <v>-8250000</v>
      </c>
    </row>
    <row r="12" spans="1:24" x14ac:dyDescent="0.2">
      <c r="A12" s="1"/>
      <c r="B12" s="30" t="s">
        <v>111</v>
      </c>
      <c r="C12" s="1"/>
      <c r="D12" s="1"/>
      <c r="E12" s="1"/>
      <c r="F12" s="1"/>
      <c r="G12" s="1"/>
      <c r="H12" s="1"/>
      <c r="I12" s="81">
        <f>+I7+SUM(I8:I11)</f>
        <v>98500000</v>
      </c>
      <c r="J12" s="81">
        <f>+J7+SUM(J8:J11)</f>
        <v>128050000</v>
      </c>
      <c r="K12" s="81">
        <f>+K7+SUM(K8:K11)</f>
        <v>157600000</v>
      </c>
      <c r="L12" s="81">
        <f>+L7+SUM(L8:L11)</f>
        <v>187150000</v>
      </c>
      <c r="M12" s="81">
        <f>+M7+SUM(M8:M11)</f>
        <v>216700000</v>
      </c>
      <c r="N12" s="81">
        <f>+N7+SUM(N8:N11)</f>
        <v>246250000</v>
      </c>
      <c r="O12" s="81">
        <f>+O7+SUM(O8:O11)</f>
        <v>275800000</v>
      </c>
      <c r="P12" s="81">
        <f>+P7+SUM(P8:P11)</f>
        <v>305350000</v>
      </c>
      <c r="Q12" s="81">
        <f>+Q7+SUM(Q8:Q11)</f>
        <v>334900000</v>
      </c>
      <c r="R12" s="81">
        <f>+R7+SUM(R8:R11)</f>
        <v>364450000</v>
      </c>
      <c r="S12" s="81">
        <f>+S7+SUM(S8:S11)</f>
        <v>394000000</v>
      </c>
      <c r="T12" s="81">
        <f>+T7+SUM(T8:T11)</f>
        <v>423550000</v>
      </c>
      <c r="U12" s="81">
        <f>+U7+SUM(U8:U11)</f>
        <v>453100000</v>
      </c>
      <c r="V12" s="81">
        <f>+V7+SUM(V8:V11)</f>
        <v>482650000</v>
      </c>
      <c r="W12" s="81">
        <f>+W7+SUM(W8:W11)</f>
        <v>512200000</v>
      </c>
      <c r="X12" s="81">
        <f>+X7+SUM(X8:X11)</f>
        <v>541750000</v>
      </c>
    </row>
    <row r="13" spans="1:24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2">
      <c r="A14" s="1"/>
      <c r="B14" s="1" t="s">
        <v>112</v>
      </c>
      <c r="C14" s="1"/>
      <c r="D14" s="1"/>
      <c r="E14" s="88">
        <v>0.1</v>
      </c>
      <c r="F14" s="1"/>
      <c r="G14" s="1"/>
      <c r="H14" s="1"/>
      <c r="I14" s="81">
        <f ca="1">+IF(I12&lt;(SUM(I19:I21)+($E$14*I12)),$E$14*I12,0)</f>
        <v>0</v>
      </c>
      <c r="J14" s="81">
        <f ca="1">+IF(J12&lt;(SUM(J19:J21)+($E$14*J12)),$E$14*J12,0)</f>
        <v>0</v>
      </c>
      <c r="K14" s="81">
        <f ca="1">+IF(K12&lt;(SUM(K19:K21)+($E$14*K12)),$E$14*K12,0)</f>
        <v>0</v>
      </c>
      <c r="L14" s="81">
        <f ca="1">+IF(L12&lt;(SUM(L19:L21)+($E$14*L12)),$E$14*L12,0)</f>
        <v>0</v>
      </c>
      <c r="M14" s="81">
        <f ca="1">+IF(M12&lt;(SUM(M19:M21)+($E$14*M12)),$E$14*M12,0)</f>
        <v>0</v>
      </c>
      <c r="N14" s="81">
        <f ca="1">+IF(N12&lt;(SUM(N19:N21)+($E$14*N12)),$E$14*N12,0)</f>
        <v>0</v>
      </c>
      <c r="O14" s="81">
        <f ca="1">+IF(O12&lt;(SUM(O19:O21)+($E$14*O12)),$E$14*O12,0)</f>
        <v>0</v>
      </c>
      <c r="P14" s="81">
        <f ca="1">+IF(P12&lt;(SUM(P19:P21)+($E$14*P12)),$E$14*P12,0)</f>
        <v>0</v>
      </c>
      <c r="Q14" s="81">
        <f ca="1">+IF(Q12&lt;(SUM(Q19:Q21)+($E$14*Q12)),$E$14*Q12,0)</f>
        <v>0</v>
      </c>
      <c r="R14" s="81">
        <f ca="1">+IF(R12&lt;(SUM(R19:R21)+($E$14*R12)),$E$14*R12,0)</f>
        <v>0</v>
      </c>
      <c r="S14" s="81">
        <f ca="1">+IF(S12&lt;(SUM(S19:S21)+($E$14*S12)),$E$14*S12,0)</f>
        <v>0</v>
      </c>
      <c r="T14" s="81">
        <f ca="1">+IF(T12&lt;(SUM(T19:T21)+($E$14*T12)),$E$14*T12,0)</f>
        <v>0</v>
      </c>
      <c r="U14" s="81">
        <f ca="1">+IF(U12&lt;(SUM(U19:U21)+($E$14*U12)),$E$14*U12,0)</f>
        <v>0</v>
      </c>
      <c r="V14" s="81">
        <f ca="1">+IF(V12&lt;(SUM(V19:V21)+($E$14*V12)),$E$14*V12,0)</f>
        <v>0</v>
      </c>
      <c r="W14" s="81">
        <f ca="1">+IF(W12&lt;(SUM(W19:W21)+($E$14*W12)),$E$14*W12,0)</f>
        <v>0</v>
      </c>
      <c r="X14" s="81">
        <f ca="1">+IF(X12&lt;(SUM(X19:X21)+($E$14*X12)),$E$14*X12,0)</f>
        <v>0</v>
      </c>
    </row>
    <row r="15" spans="1:24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2">
      <c r="A16" s="1"/>
      <c r="B16" s="30" t="s">
        <v>113</v>
      </c>
      <c r="C16" s="1"/>
      <c r="D16" s="1"/>
      <c r="E16" s="1"/>
      <c r="F16" s="1"/>
      <c r="G16" s="1"/>
      <c r="H16" s="1"/>
      <c r="I16" s="81">
        <f ca="1">+I12-I14</f>
        <v>98500000</v>
      </c>
      <c r="J16" s="81">
        <f ca="1">+J12-J14</f>
        <v>128050000</v>
      </c>
      <c r="K16" s="81">
        <f ca="1">+K12-K14</f>
        <v>157600000</v>
      </c>
      <c r="L16" s="81">
        <f ca="1">+L12-L14</f>
        <v>187150000</v>
      </c>
      <c r="M16" s="81">
        <f ca="1">+M12-M14</f>
        <v>216700000</v>
      </c>
      <c r="N16" s="81">
        <f ca="1">+N12-N14</f>
        <v>246250000</v>
      </c>
      <c r="O16" s="81">
        <f ca="1">+O12-O14</f>
        <v>275800000</v>
      </c>
      <c r="P16" s="81">
        <f ca="1">+P12-P14</f>
        <v>305350000</v>
      </c>
      <c r="Q16" s="81">
        <f ca="1">+Q12-Q14</f>
        <v>334900000</v>
      </c>
      <c r="R16" s="81">
        <f ca="1">+R12-R14</f>
        <v>364450000</v>
      </c>
      <c r="S16" s="81">
        <f ca="1">+S12-S14</f>
        <v>394000000</v>
      </c>
      <c r="T16" s="81">
        <f ca="1">+T12-T14</f>
        <v>423550000</v>
      </c>
      <c r="U16" s="81">
        <f ca="1">+U12-U14</f>
        <v>453100000</v>
      </c>
      <c r="V16" s="81">
        <f ca="1">+V12-V14</f>
        <v>482650000</v>
      </c>
      <c r="W16" s="81">
        <f ca="1">+W12-W14</f>
        <v>512200000</v>
      </c>
      <c r="X16" s="81">
        <f ca="1">+X12-X14</f>
        <v>541750000</v>
      </c>
    </row>
    <row r="17" spans="1:24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2">
      <c r="A18" s="1"/>
      <c r="B18" s="1"/>
      <c r="C18" s="1"/>
      <c r="D18" s="1"/>
      <c r="E18" s="30" t="s">
        <v>141</v>
      </c>
      <c r="F18" s="30" t="s">
        <v>142</v>
      </c>
      <c r="G18" s="30" t="s">
        <v>13</v>
      </c>
      <c r="H18" s="30" t="s">
        <v>12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2">
      <c r="A19" s="1" t="s">
        <v>143</v>
      </c>
      <c r="B19" s="1" t="str">
        <f>"Max Series A per Share before Convert to Common"</f>
        <v>Max Series A per Share before Convert to Common</v>
      </c>
      <c r="C19" s="1"/>
      <c r="D19" s="1"/>
      <c r="E19" s="78">
        <v>1</v>
      </c>
      <c r="F19" s="89">
        <f ca="1">'Series A'!H23</f>
        <v>4.3128000000000002</v>
      </c>
      <c r="G19" s="19">
        <f ca="1">'Series A'!H21</f>
        <v>4637359</v>
      </c>
      <c r="H19" s="90">
        <f ca="1">+I19/SUM($I$19:$I$21)</f>
        <v>0.33430839976462617</v>
      </c>
      <c r="I19" s="82">
        <f ca="1">+$G19*$F19*$E19</f>
        <v>20000001.895199999</v>
      </c>
      <c r="J19" s="82">
        <f ca="1">+$G19*$F19*$E19</f>
        <v>20000001.895199999</v>
      </c>
      <c r="K19" s="82">
        <f ca="1">+$G19*$F19*$E19</f>
        <v>20000001.895199999</v>
      </c>
      <c r="L19" s="82">
        <f ca="1">+$G19*$F19*$E19</f>
        <v>20000001.895199999</v>
      </c>
      <c r="M19" s="82">
        <f ca="1">+$G19*$F19*$E19</f>
        <v>20000001.895199999</v>
      </c>
      <c r="N19" s="82">
        <f ca="1">+$G19*$F19*$E19</f>
        <v>20000001.895199999</v>
      </c>
      <c r="O19" s="82">
        <f ca="1">+$G19*$F19*$E19</f>
        <v>20000001.895199999</v>
      </c>
      <c r="P19" s="82">
        <f ca="1">+$G19*$F19*$E19</f>
        <v>20000001.895199999</v>
      </c>
      <c r="Q19" s="82">
        <f ca="1">+$G19*$F19*$E19</f>
        <v>20000001.895199999</v>
      </c>
      <c r="R19" s="82">
        <f ca="1">+$G19*$F19*$E19</f>
        <v>20000001.895199999</v>
      </c>
      <c r="S19" s="82">
        <f ca="1">+$G19*$F19*$E19</f>
        <v>20000001.895199999</v>
      </c>
      <c r="T19" s="82">
        <f ca="1">+$G19*$F19*$E19</f>
        <v>20000001.895199999</v>
      </c>
      <c r="U19" s="82">
        <f ca="1">+$G19*$F19*$E19</f>
        <v>20000001.895199999</v>
      </c>
      <c r="V19" s="82">
        <f ca="1">+$G19*$F19*$E19</f>
        <v>20000001.895199999</v>
      </c>
      <c r="W19" s="82">
        <f ca="1">+$G19*$F19*$E19</f>
        <v>20000001.895199999</v>
      </c>
      <c r="X19" s="82">
        <f ca="1">+$G19*$F19*$E19</f>
        <v>20000001.895199999</v>
      </c>
    </row>
    <row r="20" spans="1:24" x14ac:dyDescent="0.2">
      <c r="A20" s="1" t="s">
        <v>68</v>
      </c>
      <c r="B20" s="1" t="str">
        <f>"Max SAFE Preferred per Share before Convert to Common"</f>
        <v>Max SAFE Preferred per Share before Convert to Common</v>
      </c>
      <c r="C20" s="1"/>
      <c r="D20" s="1"/>
      <c r="E20" s="78">
        <v>1</v>
      </c>
      <c r="F20" s="89">
        <f>'Series A'!E23</f>
        <v>4.1246</v>
      </c>
      <c r="G20" s="19">
        <f>'Series A'!E21</f>
        <v>2382049</v>
      </c>
      <c r="H20" s="90">
        <f ca="1">+I20/SUM($I$19:$I$21)</f>
        <v>0.16422897421150431</v>
      </c>
      <c r="I20" s="82">
        <f>+$G20*$F20*$E20</f>
        <v>9824999.3054000009</v>
      </c>
      <c r="J20" s="82">
        <f>+$G20*$F20*$E20</f>
        <v>9824999.3054000009</v>
      </c>
      <c r="K20" s="82">
        <f>+$G20*$F20*$E20</f>
        <v>9824999.3054000009</v>
      </c>
      <c r="L20" s="82">
        <f>+$G20*$F20*$E20</f>
        <v>9824999.3054000009</v>
      </c>
      <c r="M20" s="82">
        <f>+$G20*$F20*$E20</f>
        <v>9824999.3054000009</v>
      </c>
      <c r="N20" s="82">
        <f>+$G20*$F20*$E20</f>
        <v>9824999.3054000009</v>
      </c>
      <c r="O20" s="82">
        <f>+$G20*$F20*$E20</f>
        <v>9824999.3054000009</v>
      </c>
      <c r="P20" s="82">
        <f>+$G20*$F20*$E20</f>
        <v>9824999.3054000009</v>
      </c>
      <c r="Q20" s="82">
        <f>+$G20*$F20*$E20</f>
        <v>9824999.3054000009</v>
      </c>
      <c r="R20" s="82">
        <f>+$G20*$F20*$E20</f>
        <v>9824999.3054000009</v>
      </c>
      <c r="S20" s="82">
        <f>+$G20*$F20*$E20</f>
        <v>9824999.3054000009</v>
      </c>
      <c r="T20" s="82">
        <f>+$G20*$F20*$E20</f>
        <v>9824999.3054000009</v>
      </c>
      <c r="U20" s="82">
        <f>+$G20*$F20*$E20</f>
        <v>9824999.3054000009</v>
      </c>
      <c r="V20" s="82">
        <f>+$G20*$F20*$E20</f>
        <v>9824999.3054000009</v>
      </c>
      <c r="W20" s="82">
        <f>+$G20*$F20*$E20</f>
        <v>9824999.3054000009</v>
      </c>
      <c r="X20" s="82">
        <f>+$G20*$F20*$E20</f>
        <v>9824999.3054000009</v>
      </c>
    </row>
    <row r="21" spans="1:24" x14ac:dyDescent="0.2">
      <c r="A21" s="1" t="s">
        <v>151</v>
      </c>
      <c r="B21" s="1" t="str">
        <f>"Max Series B per Share before Convert to Common"</f>
        <v>Max Series B per Share before Convert to Common</v>
      </c>
      <c r="C21" s="1"/>
      <c r="D21" s="1"/>
      <c r="E21" s="78">
        <v>1</v>
      </c>
      <c r="F21" s="89">
        <f ca="1">'Series B'!M23</f>
        <v>7.4071999999999996</v>
      </c>
      <c r="G21" s="19">
        <f ca="1">'Series B'!M21</f>
        <v>4050114</v>
      </c>
      <c r="H21" s="90">
        <f ca="1">+I21/SUM($I$19:$I$21)</f>
        <v>0.50146262602386948</v>
      </c>
      <c r="I21" s="82">
        <f ca="1">+$G21*$F21*$E21</f>
        <v>30000004.420799997</v>
      </c>
      <c r="J21" s="82">
        <f ca="1">+$G21*$F21*$E21</f>
        <v>30000004.420799997</v>
      </c>
      <c r="K21" s="82">
        <f ca="1">+$G21*$F21*$E21</f>
        <v>30000004.420799997</v>
      </c>
      <c r="L21" s="82">
        <f ca="1">+$G21*$F21*$E21</f>
        <v>30000004.420799997</v>
      </c>
      <c r="M21" s="82">
        <f ca="1">+$G21*$F21*$E21</f>
        <v>30000004.420799997</v>
      </c>
      <c r="N21" s="82">
        <f ca="1">+$G21*$F21*$E21</f>
        <v>30000004.420799997</v>
      </c>
      <c r="O21" s="82">
        <f ca="1">+$G21*$F21*$E21</f>
        <v>30000004.420799997</v>
      </c>
      <c r="P21" s="82">
        <f ca="1">+$G21*$F21*$E21</f>
        <v>30000004.420799997</v>
      </c>
      <c r="Q21" s="82">
        <f ca="1">+$G21*$F21*$E21</f>
        <v>30000004.420799997</v>
      </c>
      <c r="R21" s="82">
        <f ca="1">+$G21*$F21*$E21</f>
        <v>30000004.420799997</v>
      </c>
      <c r="S21" s="82">
        <f ca="1">+$G21*$F21*$E21</f>
        <v>30000004.420799997</v>
      </c>
      <c r="T21" s="82">
        <f ca="1">+$G21*$F21*$E21</f>
        <v>30000004.420799997</v>
      </c>
      <c r="U21" s="82">
        <f ca="1">+$G21*$F21*$E21</f>
        <v>30000004.420799997</v>
      </c>
      <c r="V21" s="82">
        <f ca="1">+$G21*$F21*$E21</f>
        <v>30000004.420799997</v>
      </c>
      <c r="W21" s="82">
        <f ca="1">+$G21*$F21*$E21</f>
        <v>30000004.420799997</v>
      </c>
      <c r="X21" s="82">
        <f ca="1">+$G21*$F21*$E21</f>
        <v>30000004.420799997</v>
      </c>
    </row>
    <row r="22" spans="1:24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2">
      <c r="A23" s="1"/>
      <c r="B23" s="30" t="s">
        <v>145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2">
      <c r="A24" s="1" t="s">
        <v>143</v>
      </c>
      <c r="B24" s="1" t="s">
        <v>115</v>
      </c>
      <c r="C24" s="1"/>
      <c r="D24" s="1"/>
      <c r="E24" s="1"/>
      <c r="F24" s="1"/>
      <c r="G24" s="1"/>
      <c r="H24" s="1"/>
      <c r="I24" s="77">
        <f ca="1">+I19</f>
        <v>20000001.895199999</v>
      </c>
      <c r="J24" s="77">
        <f ca="1">+J19</f>
        <v>20000001.895199999</v>
      </c>
      <c r="K24" s="77">
        <f ca="1">+K19</f>
        <v>20000001.895199999</v>
      </c>
      <c r="L24" s="77">
        <f ca="1">+L19</f>
        <v>20000001.895199999</v>
      </c>
      <c r="M24" s="77">
        <f ca="1">+M19</f>
        <v>20000001.895199999</v>
      </c>
      <c r="N24" s="77">
        <f ca="1">+N19</f>
        <v>20000001.895199999</v>
      </c>
      <c r="O24" s="77">
        <f ca="1">+O19</f>
        <v>20000001.895199999</v>
      </c>
      <c r="P24" s="77">
        <f ca="1">+P19</f>
        <v>20000001.895199999</v>
      </c>
      <c r="Q24" s="77">
        <f ca="1">+Q19</f>
        <v>20000001.895199999</v>
      </c>
      <c r="R24" s="77">
        <f ca="1">+R19</f>
        <v>20000001.895199999</v>
      </c>
      <c r="S24" s="77">
        <f ca="1">+S19</f>
        <v>20000001.895199999</v>
      </c>
      <c r="T24" s="77">
        <f ca="1">+T19</f>
        <v>20000001.895199999</v>
      </c>
      <c r="U24" s="77">
        <f ca="1">+U19</f>
        <v>20000001.895199999</v>
      </c>
      <c r="V24" s="77">
        <f ca="1">+V19</f>
        <v>20000001.895199999</v>
      </c>
      <c r="W24" s="77">
        <f ca="1">+W19</f>
        <v>20000001.895199999</v>
      </c>
      <c r="X24" s="77">
        <f ca="1">+X19</f>
        <v>20000001.895199999</v>
      </c>
    </row>
    <row r="25" spans="1:24" x14ac:dyDescent="0.2">
      <c r="A25" s="1" t="s">
        <v>143</v>
      </c>
      <c r="B25" s="1" t="s">
        <v>116</v>
      </c>
      <c r="C25" s="1"/>
      <c r="D25" s="1"/>
      <c r="E25" s="1"/>
      <c r="F25" s="1"/>
      <c r="G25" s="1"/>
      <c r="H25" s="1"/>
      <c r="I25" s="82" t="str">
        <f ca="1">IF(I14&lt;&gt;0,"no",IF(I35="yes","yes",IF((I16-I$21)/('Series B'!$C$14+'Series B'!$J$12+'Series B'!$O$12+$G$19+$G$20)&gt;=$F$19,"yes","no")))</f>
        <v>no</v>
      </c>
      <c r="J25" s="82" t="str">
        <f ca="1">IF(J14&lt;&gt;0,"no",IF(J35="yes","yes",IF((J16-J$21)/('Series B'!$C$14+'Series B'!$J$12+'Series B'!$O$12+$G$19+$G$20)&gt;=$F$19,"yes","no")))</f>
        <v>yes</v>
      </c>
      <c r="K25" s="82" t="str">
        <f ca="1">IF(K14&lt;&gt;0,"no",IF(K35="yes","yes",IF((K16-K$21)/('Series B'!$C$14+'Series B'!$J$12+'Series B'!$O$12+$G$19+$G$20)&gt;=$F$19,"yes","no")))</f>
        <v>yes</v>
      </c>
      <c r="L25" s="82" t="str">
        <f ca="1">IF(L14&lt;&gt;0,"no",IF(L35="yes","yes",IF((L16-L$21)/('Series B'!$C$14+'Series B'!$J$12+'Series B'!$O$12+$G$19+$G$20)&gt;=$F$19,"yes","no")))</f>
        <v>yes</v>
      </c>
      <c r="M25" s="82" t="str">
        <f ca="1">IF(M14&lt;&gt;0,"no",IF(M35="yes","yes",IF((M16-M$21)/('Series B'!$C$14+'Series B'!$J$12+'Series B'!$O$12+$G$19+$G$20)&gt;=$F$19,"yes","no")))</f>
        <v>yes</v>
      </c>
      <c r="N25" s="82" t="str">
        <f ca="1">IF(N14&lt;&gt;0,"no",IF(N35="yes","yes",IF((N16-N$21)/('Series B'!$C$14+'Series B'!$J$12+'Series B'!$O$12+$G$19+$G$20)&gt;=$F$19,"yes","no")))</f>
        <v>yes</v>
      </c>
      <c r="O25" s="82" t="str">
        <f ca="1">IF(O14&lt;&gt;0,"no",IF(O35="yes","yes",IF((O16-O$21)/('Series B'!$C$14+'Series B'!$J$12+'Series B'!$O$12+$G$19+$G$20)&gt;=$F$19,"yes","no")))</f>
        <v>yes</v>
      </c>
      <c r="P25" s="82" t="str">
        <f ca="1">IF(P14&lt;&gt;0,"no",IF(P35="yes","yes",IF((P16-P$21)/('Series B'!$C$14+'Series B'!$J$12+'Series B'!$O$12+$G$19+$G$20)&gt;=$F$19,"yes","no")))</f>
        <v>yes</v>
      </c>
      <c r="Q25" s="82" t="str">
        <f ca="1">IF(Q14&lt;&gt;0,"no",IF(Q35="yes","yes",IF((Q16-Q$21)/('Series B'!$C$14+'Series B'!$J$12+'Series B'!$O$12+$G$19+$G$20)&gt;=$F$19,"yes","no")))</f>
        <v>yes</v>
      </c>
      <c r="R25" s="82" t="str">
        <f ca="1">IF(R14&lt;&gt;0,"no",IF(R35="yes","yes",IF((R16-R$21)/('Series B'!$C$14+'Series B'!$J$12+'Series B'!$O$12+$G$19+$G$20)&gt;=$F$19,"yes","no")))</f>
        <v>yes</v>
      </c>
      <c r="S25" s="82" t="str">
        <f ca="1">IF(S14&lt;&gt;0,"no",IF(S35="yes","yes",IF((S16-S$21)/('Series B'!$C$14+'Series B'!$J$12+'Series B'!$O$12+$G$19+$G$20)&gt;=$F$19,"yes","no")))</f>
        <v>yes</v>
      </c>
      <c r="T25" s="82" t="str">
        <f ca="1">IF(T14&lt;&gt;0,"no",IF(T35="yes","yes",IF((T16-T$21)/('Series B'!$C$14+'Series B'!$J$12+'Series B'!$O$12+$G$19+$G$20)&gt;=$F$19,"yes","no")))</f>
        <v>yes</v>
      </c>
      <c r="U25" s="82" t="str">
        <f ca="1">IF(U14&lt;&gt;0,"no",IF(U35="yes","yes",IF((U16-U$21)/('Series B'!$C$14+'Series B'!$J$12+'Series B'!$O$12+$G$19+$G$20)&gt;=$F$19,"yes","no")))</f>
        <v>yes</v>
      </c>
      <c r="V25" s="82" t="str">
        <f ca="1">IF(V14&lt;&gt;0,"no",IF(V35="yes","yes",IF((V16-V$21)/('Series B'!$C$14+'Series B'!$J$12+'Series B'!$O$12+$G$19+$G$20)&gt;=$F$19,"yes","no")))</f>
        <v>yes</v>
      </c>
      <c r="W25" s="82" t="str">
        <f ca="1">IF(W14&lt;&gt;0,"no",IF(W35="yes","yes",IF((W16-W$21)/('Series B'!$C$14+'Series B'!$J$12+'Series B'!$O$12+$G$19+$G$20)&gt;=$F$19,"yes","no")))</f>
        <v>yes</v>
      </c>
      <c r="X25" s="82" t="str">
        <f ca="1">IF(X14&lt;&gt;0,"no",IF(X35="yes","yes",IF((X16-X$21)/('Series B'!$C$14+'Series B'!$J$12+'Series B'!$O$12+$G$19+$G$20)&gt;=$F$19,"yes","no")))</f>
        <v>yes</v>
      </c>
    </row>
    <row r="26" spans="1:24" x14ac:dyDescent="0.2">
      <c r="A26" s="1" t="s">
        <v>143</v>
      </c>
      <c r="B26" s="1" t="s">
        <v>117</v>
      </c>
      <c r="C26" s="1"/>
      <c r="D26" s="1"/>
      <c r="E26" s="1"/>
      <c r="F26" s="1"/>
      <c r="G26" s="1"/>
      <c r="H26" s="1"/>
      <c r="I26" s="81">
        <f ca="1">+IF(I14=0,IF(I25="yes",0,I$19),$H$19*I16)</f>
        <v>20000001.895199999</v>
      </c>
      <c r="J26" s="81">
        <f ca="1">+IF(J14=0,IF(J25="yes",0,J$19),$H$19*J16)</f>
        <v>0</v>
      </c>
      <c r="K26" s="81">
        <f ca="1">+IF(K14=0,IF(K25="yes",0,K$19),$H$19*K16)</f>
        <v>0</v>
      </c>
      <c r="L26" s="81">
        <f ca="1">+IF(L14=0,IF(L25="yes",0,L$19),$H$19*L16)</f>
        <v>0</v>
      </c>
      <c r="M26" s="81">
        <f ca="1">+IF(M14=0,IF(M25="yes",0,M$19),$H$19*M16)</f>
        <v>0</v>
      </c>
      <c r="N26" s="81">
        <f ca="1">+IF(N14=0,IF(N25="yes",0,N$19),$H$19*N16)</f>
        <v>0</v>
      </c>
      <c r="O26" s="81">
        <f ca="1">+IF(O14=0,IF(O25="yes",0,O$19),$H$19*O16)</f>
        <v>0</v>
      </c>
      <c r="P26" s="81">
        <f ca="1">+IF(P14=0,IF(P25="yes",0,P$19),$H$19*P16)</f>
        <v>0</v>
      </c>
      <c r="Q26" s="81">
        <f ca="1">+IF(Q14=0,IF(Q25="yes",0,Q$19),$H$19*Q16)</f>
        <v>0</v>
      </c>
      <c r="R26" s="81">
        <f ca="1">+IF(R14=0,IF(R25="yes",0,R$19),$H$19*R16)</f>
        <v>0</v>
      </c>
      <c r="S26" s="81">
        <f ca="1">+IF(S14=0,IF(S25="yes",0,S$19),$H$19*S16)</f>
        <v>0</v>
      </c>
      <c r="T26" s="81">
        <f ca="1">+IF(T14=0,IF(T25="yes",0,T$19),$H$19*T16)</f>
        <v>0</v>
      </c>
      <c r="U26" s="81">
        <f ca="1">+IF(U14=0,IF(U25="yes",0,U$19),$H$19*U16)</f>
        <v>0</v>
      </c>
      <c r="V26" s="81">
        <f ca="1">+IF(V14=0,IF(V25="yes",0,V$19),$H$19*V16)</f>
        <v>0</v>
      </c>
      <c r="W26" s="81">
        <f ca="1">+IF(W14=0,IF(W25="yes",0,W$19),$H$19*W16)</f>
        <v>0</v>
      </c>
      <c r="X26" s="81">
        <f ca="1">+IF(X14=0,IF(X25="yes",0,X$19),$H$19*X16)</f>
        <v>0</v>
      </c>
    </row>
    <row r="27" spans="1:24" x14ac:dyDescent="0.2">
      <c r="A27" s="1" t="s">
        <v>143</v>
      </c>
      <c r="B27" s="1" t="s">
        <v>118</v>
      </c>
      <c r="C27" s="1"/>
      <c r="D27" s="1"/>
      <c r="E27" s="1"/>
      <c r="F27" s="1"/>
      <c r="G27" s="1"/>
      <c r="H27" s="1"/>
      <c r="I27" s="83">
        <f ca="1">+I26/$G$19</f>
        <v>4.3128000000000002</v>
      </c>
      <c r="J27" s="83">
        <f ca="1">+J26/$G$19</f>
        <v>0</v>
      </c>
      <c r="K27" s="83">
        <f ca="1">+K26/$G$19</f>
        <v>0</v>
      </c>
      <c r="L27" s="83">
        <f ca="1">+L26/$G$19</f>
        <v>0</v>
      </c>
      <c r="M27" s="83">
        <f ca="1">+M26/$G$19</f>
        <v>0</v>
      </c>
      <c r="N27" s="83">
        <f ca="1">+N26/$G$19</f>
        <v>0</v>
      </c>
      <c r="O27" s="83">
        <f ca="1">+O26/$G$19</f>
        <v>0</v>
      </c>
      <c r="P27" s="83">
        <f ca="1">+P26/$G$19</f>
        <v>0</v>
      </c>
      <c r="Q27" s="83">
        <f ca="1">+Q26/$G$19</f>
        <v>0</v>
      </c>
      <c r="R27" s="83">
        <f ca="1">+R26/$G$19</f>
        <v>0</v>
      </c>
      <c r="S27" s="83">
        <f ca="1">+S26/$G$19</f>
        <v>0</v>
      </c>
      <c r="T27" s="83">
        <f ca="1">+T26/$G$19</f>
        <v>0</v>
      </c>
      <c r="U27" s="83">
        <f ca="1">+U26/$G$19</f>
        <v>0</v>
      </c>
      <c r="V27" s="83">
        <f ca="1">+V26/$G$19</f>
        <v>0</v>
      </c>
      <c r="W27" s="83">
        <f ca="1">+W26/$G$19</f>
        <v>0</v>
      </c>
      <c r="X27" s="83">
        <f ca="1">+X26/$G$19</f>
        <v>0</v>
      </c>
    </row>
    <row r="28" spans="1:24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2">
      <c r="A29" s="1" t="s">
        <v>68</v>
      </c>
      <c r="B29" s="1" t="s">
        <v>119</v>
      </c>
      <c r="C29" s="1"/>
      <c r="D29" s="1"/>
      <c r="E29" s="1"/>
      <c r="F29" s="1"/>
      <c r="G29" s="1"/>
      <c r="H29" s="1"/>
      <c r="I29" s="77">
        <f>I20</f>
        <v>9824999.3054000009</v>
      </c>
      <c r="J29" s="77">
        <f>J20</f>
        <v>9824999.3054000009</v>
      </c>
      <c r="K29" s="77">
        <f>K20</f>
        <v>9824999.3054000009</v>
      </c>
      <c r="L29" s="77">
        <f>L20</f>
        <v>9824999.3054000009</v>
      </c>
      <c r="M29" s="77">
        <f>M20</f>
        <v>9824999.3054000009</v>
      </c>
      <c r="N29" s="77">
        <f>N20</f>
        <v>9824999.3054000009</v>
      </c>
      <c r="O29" s="77">
        <f>O20</f>
        <v>9824999.3054000009</v>
      </c>
      <c r="P29" s="77">
        <f>P20</f>
        <v>9824999.3054000009</v>
      </c>
      <c r="Q29" s="77">
        <f>Q20</f>
        <v>9824999.3054000009</v>
      </c>
      <c r="R29" s="77">
        <f>R20</f>
        <v>9824999.3054000009</v>
      </c>
      <c r="S29" s="77">
        <f>S20</f>
        <v>9824999.3054000009</v>
      </c>
      <c r="T29" s="77">
        <f>T20</f>
        <v>9824999.3054000009</v>
      </c>
      <c r="U29" s="77">
        <f>U20</f>
        <v>9824999.3054000009</v>
      </c>
      <c r="V29" s="77">
        <f>V20</f>
        <v>9824999.3054000009</v>
      </c>
      <c r="W29" s="77">
        <f>W20</f>
        <v>9824999.3054000009</v>
      </c>
      <c r="X29" s="77">
        <f>X20</f>
        <v>9824999.3054000009</v>
      </c>
    </row>
    <row r="30" spans="1:24" x14ac:dyDescent="0.2">
      <c r="A30" s="1" t="s">
        <v>68</v>
      </c>
      <c r="B30" s="1" t="s">
        <v>120</v>
      </c>
      <c r="C30" s="1"/>
      <c r="D30" s="1"/>
      <c r="E30" s="1"/>
      <c r="F30" s="1"/>
      <c r="G30" s="1"/>
      <c r="H30" s="1"/>
      <c r="I30" s="82" t="str">
        <f ca="1">IF(I14&lt;&gt;0,"no",IF(I25="yes","yes",IF((I16-I$21-I$19)/('Series B'!$C$14+'Series B'!$J$12+'Series B'!$O$12+$G$20)&gt;=$F$20,"yes","no")))</f>
        <v>no</v>
      </c>
      <c r="J30" s="82" t="str">
        <f ca="1">IF(J14&lt;&gt;0,"no",IF(J25="yes","yes",IF((J16-J$21-J$19)/('Series B'!$C$14+'Series B'!$J$12+'Series B'!$O$12+$G$20)&gt;=$F$20,"yes","no")))</f>
        <v>yes</v>
      </c>
      <c r="K30" s="82" t="str">
        <f ca="1">IF(K14&lt;&gt;0,"no",IF(K25="yes","yes",IF((K16-K$21-K$19)/('Series B'!$C$14+'Series B'!$J$12+'Series B'!$O$12+$G$20)&gt;=$F$20,"yes","no")))</f>
        <v>yes</v>
      </c>
      <c r="L30" s="82" t="str">
        <f ca="1">IF(L14&lt;&gt;0,"no",IF(L25="yes","yes",IF((L16-L$21-L$19)/('Series B'!$C$14+'Series B'!$J$12+'Series B'!$O$12+$G$20)&gt;=$F$20,"yes","no")))</f>
        <v>yes</v>
      </c>
      <c r="M30" s="82" t="str">
        <f ca="1">IF(M14&lt;&gt;0,"no",IF(M25="yes","yes",IF((M16-M$21-M$19)/('Series B'!$C$14+'Series B'!$J$12+'Series B'!$O$12+$G$20)&gt;=$F$20,"yes","no")))</f>
        <v>yes</v>
      </c>
      <c r="N30" s="82" t="str">
        <f ca="1">IF(N14&lt;&gt;0,"no",IF(N25="yes","yes",IF((N16-N$21-N$19)/('Series B'!$C$14+'Series B'!$J$12+'Series B'!$O$12+$G$20)&gt;=$F$20,"yes","no")))</f>
        <v>yes</v>
      </c>
      <c r="O30" s="82" t="str">
        <f ca="1">IF(O14&lt;&gt;0,"no",IF(O25="yes","yes",IF((O16-O$21-O$19)/('Series B'!$C$14+'Series B'!$J$12+'Series B'!$O$12+$G$20)&gt;=$F$20,"yes","no")))</f>
        <v>yes</v>
      </c>
      <c r="P30" s="82" t="str">
        <f ca="1">IF(P14&lt;&gt;0,"no",IF(P25="yes","yes",IF((P16-P$21-P$19)/('Series B'!$C$14+'Series B'!$J$12+'Series B'!$O$12+$G$20)&gt;=$F$20,"yes","no")))</f>
        <v>yes</v>
      </c>
      <c r="Q30" s="82" t="str">
        <f ca="1">IF(Q14&lt;&gt;0,"no",IF(Q25="yes","yes",IF((Q16-Q$21-Q$19)/('Series B'!$C$14+'Series B'!$J$12+'Series B'!$O$12+$G$20)&gt;=$F$20,"yes","no")))</f>
        <v>yes</v>
      </c>
      <c r="R30" s="82" t="str">
        <f ca="1">IF(R14&lt;&gt;0,"no",IF(R25="yes","yes",IF((R16-R$21-R$19)/('Series B'!$C$14+'Series B'!$J$12+'Series B'!$O$12+$G$20)&gt;=$F$20,"yes","no")))</f>
        <v>yes</v>
      </c>
      <c r="S30" s="82" t="str">
        <f ca="1">IF(S14&lt;&gt;0,"no",IF(S25="yes","yes",IF((S16-S$21-S$19)/('Series B'!$C$14+'Series B'!$J$12+'Series B'!$O$12+$G$20)&gt;=$F$20,"yes","no")))</f>
        <v>yes</v>
      </c>
      <c r="T30" s="82" t="str">
        <f ca="1">IF(T14&lt;&gt;0,"no",IF(T25="yes","yes",IF((T16-T$21-T$19)/('Series B'!$C$14+'Series B'!$J$12+'Series B'!$O$12+$G$20)&gt;=$F$20,"yes","no")))</f>
        <v>yes</v>
      </c>
      <c r="U30" s="82" t="str">
        <f ca="1">IF(U14&lt;&gt;0,"no",IF(U25="yes","yes",IF((U16-U$21-U$19)/('Series B'!$C$14+'Series B'!$J$12+'Series B'!$O$12+$G$20)&gt;=$F$20,"yes","no")))</f>
        <v>yes</v>
      </c>
      <c r="V30" s="82" t="str">
        <f ca="1">IF(V14&lt;&gt;0,"no",IF(V25="yes","yes",IF((V16-V$21-V$19)/('Series B'!$C$14+'Series B'!$J$12+'Series B'!$O$12+$G$20)&gt;=$F$20,"yes","no")))</f>
        <v>yes</v>
      </c>
      <c r="W30" s="82" t="str">
        <f ca="1">IF(W14&lt;&gt;0,"no",IF(W25="yes","yes",IF((W16-W$21-W$19)/('Series B'!$C$14+'Series B'!$J$12+'Series B'!$O$12+$G$20)&gt;=$F$20,"yes","no")))</f>
        <v>yes</v>
      </c>
      <c r="X30" s="82" t="str">
        <f ca="1">IF(X14&lt;&gt;0,"no",IF(X25="yes","yes",IF((X16-X$21-X$19)/('Series B'!$C$14+'Series B'!$J$12+'Series B'!$O$12+$G$20)&gt;=$F$20,"yes","no")))</f>
        <v>yes</v>
      </c>
    </row>
    <row r="31" spans="1:24" x14ac:dyDescent="0.2">
      <c r="A31" s="1" t="s">
        <v>68</v>
      </c>
      <c r="B31" s="1" t="s">
        <v>121</v>
      </c>
      <c r="C31" s="1"/>
      <c r="D31" s="1"/>
      <c r="E31" s="1"/>
      <c r="F31" s="1"/>
      <c r="G31" s="1"/>
      <c r="H31" s="1"/>
      <c r="I31" s="81">
        <f ca="1">+IF(I14=0,IF(I30="yes",0,I$20),$H$20*I16)</f>
        <v>9824999.3054000009</v>
      </c>
      <c r="J31" s="81">
        <f ca="1">+IF(J14=0,IF(J30="yes",0,J$20),$H$20*J16)</f>
        <v>0</v>
      </c>
      <c r="K31" s="81">
        <f ca="1">+IF(K14=0,IF(K30="yes",0,K$20),$H$20*K16)</f>
        <v>0</v>
      </c>
      <c r="L31" s="81">
        <f ca="1">+IF(L14=0,IF(L30="yes",0,L$20),$H$20*L16)</f>
        <v>0</v>
      </c>
      <c r="M31" s="81">
        <f ca="1">+IF(M14=0,IF(M30="yes",0,M$20),$H$20*M16)</f>
        <v>0</v>
      </c>
      <c r="N31" s="81">
        <f ca="1">+IF(N14=0,IF(N30="yes",0,N$20),$H$20*N16)</f>
        <v>0</v>
      </c>
      <c r="O31" s="81">
        <f ca="1">+IF(O14=0,IF(O30="yes",0,O$20),$H$20*O16)</f>
        <v>0</v>
      </c>
      <c r="P31" s="81">
        <f ca="1">+IF(P14=0,IF(P30="yes",0,P$20),$H$20*P16)</f>
        <v>0</v>
      </c>
      <c r="Q31" s="81">
        <f ca="1">+IF(Q14=0,IF(Q30="yes",0,Q$20),$H$20*Q16)</f>
        <v>0</v>
      </c>
      <c r="R31" s="81">
        <f ca="1">+IF(R14=0,IF(R30="yes",0,R$20),$H$20*R16)</f>
        <v>0</v>
      </c>
      <c r="S31" s="81">
        <f ca="1">+IF(S14=0,IF(S30="yes",0,S$20),$H$20*S16)</f>
        <v>0</v>
      </c>
      <c r="T31" s="81">
        <f ca="1">+IF(T14=0,IF(T30="yes",0,T$20),$H$20*T16)</f>
        <v>0</v>
      </c>
      <c r="U31" s="81">
        <f ca="1">+IF(U14=0,IF(U30="yes",0,U$20),$H$20*U16)</f>
        <v>0</v>
      </c>
      <c r="V31" s="81">
        <f ca="1">+IF(V14=0,IF(V30="yes",0,V$20),$H$20*V16)</f>
        <v>0</v>
      </c>
      <c r="W31" s="81">
        <f ca="1">+IF(W14=0,IF(W30="yes",0,W$20),$H$20*W16)</f>
        <v>0</v>
      </c>
      <c r="X31" s="81">
        <f ca="1">+IF(X14=0,IF(X30="yes",0,X$20),$H$20*X16)</f>
        <v>0</v>
      </c>
    </row>
    <row r="32" spans="1:24" x14ac:dyDescent="0.2">
      <c r="A32" s="1" t="s">
        <v>68</v>
      </c>
      <c r="B32" s="1" t="s">
        <v>122</v>
      </c>
      <c r="C32" s="1"/>
      <c r="D32" s="1"/>
      <c r="E32" s="1"/>
      <c r="F32" s="1"/>
      <c r="G32" s="1"/>
      <c r="H32" s="1"/>
      <c r="I32" s="83">
        <f ca="1">+I31/$G$20</f>
        <v>4.1246</v>
      </c>
      <c r="J32" s="83">
        <f ca="1">+J31/$G$20</f>
        <v>0</v>
      </c>
      <c r="K32" s="83">
        <f ca="1">+K31/$G$20</f>
        <v>0</v>
      </c>
      <c r="L32" s="83">
        <f ca="1">+L31/$G$20</f>
        <v>0</v>
      </c>
      <c r="M32" s="83">
        <f ca="1">+M31/$G$20</f>
        <v>0</v>
      </c>
      <c r="N32" s="83">
        <f ca="1">+N31/$G$20</f>
        <v>0</v>
      </c>
      <c r="O32" s="83">
        <f ca="1">+O31/$G$20</f>
        <v>0</v>
      </c>
      <c r="P32" s="83">
        <f ca="1">+P31/$G$20</f>
        <v>0</v>
      </c>
      <c r="Q32" s="83">
        <f ca="1">+Q31/$G$20</f>
        <v>0</v>
      </c>
      <c r="R32" s="83">
        <f ca="1">+R31/$G$20</f>
        <v>0</v>
      </c>
      <c r="S32" s="83">
        <f ca="1">+S31/$G$20</f>
        <v>0</v>
      </c>
      <c r="T32" s="83">
        <f ca="1">+T31/$G$20</f>
        <v>0</v>
      </c>
      <c r="U32" s="83">
        <f ca="1">+U31/$G$20</f>
        <v>0</v>
      </c>
      <c r="V32" s="83">
        <f ca="1">+V31/$G$20</f>
        <v>0</v>
      </c>
      <c r="W32" s="83">
        <f ca="1">+W31/$G$20</f>
        <v>0</v>
      </c>
      <c r="X32" s="83">
        <f ca="1">+X31/$G$20</f>
        <v>0</v>
      </c>
    </row>
    <row r="33" spans="1:24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2">
      <c r="A34" s="1" t="s">
        <v>151</v>
      </c>
      <c r="B34" s="1" t="s">
        <v>146</v>
      </c>
      <c r="C34" s="1"/>
      <c r="D34" s="1"/>
      <c r="E34" s="1"/>
      <c r="F34" s="1"/>
      <c r="G34" s="1"/>
      <c r="H34" s="1"/>
      <c r="I34" s="77">
        <f ca="1">I21</f>
        <v>30000004.420799997</v>
      </c>
      <c r="J34" s="77">
        <f ca="1">J21</f>
        <v>30000004.420799997</v>
      </c>
      <c r="K34" s="77">
        <f ca="1">K21</f>
        <v>30000004.420799997</v>
      </c>
      <c r="L34" s="77">
        <f ca="1">L21</f>
        <v>30000004.420799997</v>
      </c>
      <c r="M34" s="77">
        <f ca="1">M21</f>
        <v>30000004.420799997</v>
      </c>
      <c r="N34" s="77">
        <f ca="1">N21</f>
        <v>30000004.420799997</v>
      </c>
      <c r="O34" s="77">
        <f ca="1">O21</f>
        <v>30000004.420799997</v>
      </c>
      <c r="P34" s="77">
        <f ca="1">P21</f>
        <v>30000004.420799997</v>
      </c>
      <c r="Q34" s="77">
        <f ca="1">Q21</f>
        <v>30000004.420799997</v>
      </c>
      <c r="R34" s="77">
        <f ca="1">R21</f>
        <v>30000004.420799997</v>
      </c>
      <c r="S34" s="77">
        <f ca="1">S21</f>
        <v>30000004.420799997</v>
      </c>
      <c r="T34" s="77">
        <f ca="1">T21</f>
        <v>30000004.420799997</v>
      </c>
      <c r="U34" s="77">
        <f ca="1">U21</f>
        <v>30000004.420799997</v>
      </c>
      <c r="V34" s="77">
        <f ca="1">V21</f>
        <v>30000004.420799997</v>
      </c>
      <c r="W34" s="77">
        <f ca="1">W21</f>
        <v>30000004.420799997</v>
      </c>
      <c r="X34" s="77">
        <f ca="1">X21</f>
        <v>30000004.420799997</v>
      </c>
    </row>
    <row r="35" spans="1:24" x14ac:dyDescent="0.2">
      <c r="A35" s="1" t="s">
        <v>151</v>
      </c>
      <c r="B35" s="1" t="s">
        <v>147</v>
      </c>
      <c r="C35" s="1"/>
      <c r="D35" s="1"/>
      <c r="E35" s="1"/>
      <c r="F35" s="1"/>
      <c r="G35" s="1"/>
      <c r="H35" s="1"/>
      <c r="I35" s="82" t="str">
        <f ca="1">IF(I14&lt;&gt;0,"no",IF(I16/('Series B'!$C$14+'Series B'!$J$12+'Series B'!$O$12+$G$19+$G$20+$G$21)&gt;=$F$21,"yes","no"))</f>
        <v>no</v>
      </c>
      <c r="J35" s="82" t="str">
        <f ca="1">IF(J14&lt;&gt;0,"no",IF(J16/('Series B'!$C$14+'Series B'!$J$12+'Series B'!$O$12+$G$19+$G$20+$G$21)&gt;=$F$21,"yes","no"))</f>
        <v>no</v>
      </c>
      <c r="K35" s="82" t="str">
        <f ca="1">IF(K14&lt;&gt;0,"no",IF(K16/('Series B'!$C$14+'Series B'!$J$12+'Series B'!$O$12+$G$19+$G$20+$G$21)&gt;=$F$21,"yes","no"))</f>
        <v>no</v>
      </c>
      <c r="L35" s="82" t="str">
        <f ca="1">IF(L14&lt;&gt;0,"no",IF(L16/('Series B'!$C$14+'Series B'!$J$12+'Series B'!$O$12+$G$19+$G$20+$G$21)&gt;=$F$21,"yes","no"))</f>
        <v>yes</v>
      </c>
      <c r="M35" s="82" t="str">
        <f ca="1">IF(M14&lt;&gt;0,"no",IF(M16/('Series B'!$C$14+'Series B'!$J$12+'Series B'!$O$12+$G$19+$G$20+$G$21)&gt;=$F$21,"yes","no"))</f>
        <v>yes</v>
      </c>
      <c r="N35" s="82" t="str">
        <f ca="1">IF(N14&lt;&gt;0,"no",IF(N16/('Series B'!$C$14+'Series B'!$J$12+'Series B'!$O$12+$G$19+$G$20+$G$21)&gt;=$F$21,"yes","no"))</f>
        <v>yes</v>
      </c>
      <c r="O35" s="82" t="str">
        <f ca="1">IF(O14&lt;&gt;0,"no",IF(O16/('Series B'!$C$14+'Series B'!$J$12+'Series B'!$O$12+$G$19+$G$20+$G$21)&gt;=$F$21,"yes","no"))</f>
        <v>yes</v>
      </c>
      <c r="P35" s="82" t="str">
        <f ca="1">IF(P14&lt;&gt;0,"no",IF(P16/('Series B'!$C$14+'Series B'!$J$12+'Series B'!$O$12+$G$19+$G$20+$G$21)&gt;=$F$21,"yes","no"))</f>
        <v>yes</v>
      </c>
      <c r="Q35" s="82" t="str">
        <f ca="1">IF(Q14&lt;&gt;0,"no",IF(Q16/('Series B'!$C$14+'Series B'!$J$12+'Series B'!$O$12+$G$19+$G$20+$G$21)&gt;=$F$21,"yes","no"))</f>
        <v>yes</v>
      </c>
      <c r="R35" s="82" t="str">
        <f ca="1">IF(R14&lt;&gt;0,"no",IF(R16/('Series B'!$C$14+'Series B'!$J$12+'Series B'!$O$12+$G$19+$G$20+$G$21)&gt;=$F$21,"yes","no"))</f>
        <v>yes</v>
      </c>
      <c r="S35" s="82" t="str">
        <f ca="1">IF(S14&lt;&gt;0,"no",IF(S16/('Series B'!$C$14+'Series B'!$J$12+'Series B'!$O$12+$G$19+$G$20+$G$21)&gt;=$F$21,"yes","no"))</f>
        <v>yes</v>
      </c>
      <c r="T35" s="82" t="str">
        <f ca="1">IF(T14&lt;&gt;0,"no",IF(T16/('Series B'!$C$14+'Series B'!$J$12+'Series B'!$O$12+$G$19+$G$20+$G$21)&gt;=$F$21,"yes","no"))</f>
        <v>yes</v>
      </c>
      <c r="U35" s="82" t="str">
        <f ca="1">IF(U14&lt;&gt;0,"no",IF(U16/('Series B'!$C$14+'Series B'!$J$12+'Series B'!$O$12+$G$19+$G$20+$G$21)&gt;=$F$21,"yes","no"))</f>
        <v>yes</v>
      </c>
      <c r="V35" s="82" t="str">
        <f ca="1">IF(V14&lt;&gt;0,"no",IF(V16/('Series B'!$C$14+'Series B'!$J$12+'Series B'!$O$12+$G$19+$G$20+$G$21)&gt;=$F$21,"yes","no"))</f>
        <v>yes</v>
      </c>
      <c r="W35" s="82" t="str">
        <f ca="1">IF(W14&lt;&gt;0,"no",IF(W16/('Series B'!$C$14+'Series B'!$J$12+'Series B'!$O$12+$G$19+$G$20+$G$21)&gt;=$F$21,"yes","no"))</f>
        <v>yes</v>
      </c>
      <c r="X35" s="82" t="str">
        <f ca="1">IF(X14&lt;&gt;0,"no",IF(X16/('Series B'!$C$14+'Series B'!$J$12+'Series B'!$O$12+$G$19+$G$20+$G$21)&gt;=$F$21,"yes","no"))</f>
        <v>yes</v>
      </c>
    </row>
    <row r="36" spans="1:24" x14ac:dyDescent="0.2">
      <c r="A36" s="1" t="s">
        <v>151</v>
      </c>
      <c r="B36" s="1" t="s">
        <v>148</v>
      </c>
      <c r="C36" s="1"/>
      <c r="D36" s="1"/>
      <c r="E36" s="1"/>
      <c r="F36" s="1"/>
      <c r="G36" s="1"/>
      <c r="H36" s="1"/>
      <c r="I36" s="81">
        <f ca="1">+IF(I14=0,IF(I35="yes",0,I$21),$H$21*I16)</f>
        <v>30000004.420799997</v>
      </c>
      <c r="J36" s="81">
        <f ca="1">+IF(J14=0,IF(J35="yes",0,J$21),$H$21*J16)</f>
        <v>30000004.420799997</v>
      </c>
      <c r="K36" s="81">
        <f ca="1">+IF(K14=0,IF(K35="yes",0,K$21),$H$21*K16)</f>
        <v>30000004.420799997</v>
      </c>
      <c r="L36" s="81">
        <f ca="1">+IF(L14=0,IF(L35="yes",0,L$21),$H$21*L16)</f>
        <v>0</v>
      </c>
      <c r="M36" s="81">
        <f ca="1">+IF(M14=0,IF(M35="yes",0,M$21),$H$21*M16)</f>
        <v>0</v>
      </c>
      <c r="N36" s="81">
        <f ca="1">+IF(N14=0,IF(N35="yes",0,N$21),$H$21*N16)</f>
        <v>0</v>
      </c>
      <c r="O36" s="81">
        <f ca="1">+IF(O14=0,IF(O35="yes",0,O$21),$H$21*O16)</f>
        <v>0</v>
      </c>
      <c r="P36" s="81">
        <f ca="1">+IF(P14=0,IF(P35="yes",0,P$21),$H$21*P16)</f>
        <v>0</v>
      </c>
      <c r="Q36" s="81">
        <f ca="1">+IF(Q14=0,IF(Q35="yes",0,Q$21),$H$21*Q16)</f>
        <v>0</v>
      </c>
      <c r="R36" s="81">
        <f ca="1">+IF(R14=0,IF(R35="yes",0,R$21),$H$21*R16)</f>
        <v>0</v>
      </c>
      <c r="S36" s="81">
        <f ca="1">+IF(S14=0,IF(S35="yes",0,S$21),$H$21*S16)</f>
        <v>0</v>
      </c>
      <c r="T36" s="81">
        <f ca="1">+IF(T14=0,IF(T35="yes",0,T$21),$H$21*T16)</f>
        <v>0</v>
      </c>
      <c r="U36" s="81">
        <f ca="1">+IF(U14=0,IF(U35="yes",0,U$21),$H$21*U16)</f>
        <v>0</v>
      </c>
      <c r="V36" s="81">
        <f ca="1">+IF(V14=0,IF(V35="yes",0,V$21),$H$21*V16)</f>
        <v>0</v>
      </c>
      <c r="W36" s="81">
        <f ca="1">+IF(W14=0,IF(W35="yes",0,W$21),$H$21*W16)</f>
        <v>0</v>
      </c>
      <c r="X36" s="81">
        <f ca="1">+IF(X14=0,IF(X35="yes",0,X$21),$H$21*X16)</f>
        <v>0</v>
      </c>
    </row>
    <row r="37" spans="1:24" x14ac:dyDescent="0.2">
      <c r="A37" s="1" t="s">
        <v>151</v>
      </c>
      <c r="B37" s="1" t="s">
        <v>149</v>
      </c>
      <c r="C37" s="1"/>
      <c r="D37" s="1"/>
      <c r="E37" s="1"/>
      <c r="F37" s="1"/>
      <c r="G37" s="1"/>
      <c r="H37" s="1"/>
      <c r="I37" s="83">
        <f ca="1">+I36/$G$21</f>
        <v>7.4071999999999996</v>
      </c>
      <c r="J37" s="83">
        <f ca="1">+J36/$G$21</f>
        <v>7.4071999999999996</v>
      </c>
      <c r="K37" s="83">
        <f ca="1">+K36/$G$21</f>
        <v>7.4071999999999996</v>
      </c>
      <c r="L37" s="83">
        <f ca="1">+L36/$G$21</f>
        <v>0</v>
      </c>
      <c r="M37" s="83">
        <f ca="1">+M36/$G$21</f>
        <v>0</v>
      </c>
      <c r="N37" s="83">
        <f ca="1">+N36/$G$21</f>
        <v>0</v>
      </c>
      <c r="O37" s="83">
        <f ca="1">+O36/$G$21</f>
        <v>0</v>
      </c>
      <c r="P37" s="83">
        <f ca="1">+P36/$G$21</f>
        <v>0</v>
      </c>
      <c r="Q37" s="83">
        <f ca="1">+Q36/$G$21</f>
        <v>0</v>
      </c>
      <c r="R37" s="83">
        <f ca="1">+R36/$G$21</f>
        <v>0</v>
      </c>
      <c r="S37" s="83">
        <f ca="1">+S36/$G$21</f>
        <v>0</v>
      </c>
      <c r="T37" s="83">
        <f ca="1">+T36/$G$21</f>
        <v>0</v>
      </c>
      <c r="U37" s="83">
        <f ca="1">+U36/$G$21</f>
        <v>0</v>
      </c>
      <c r="V37" s="83">
        <f ca="1">+V36/$G$21</f>
        <v>0</v>
      </c>
      <c r="W37" s="83">
        <f ca="1">+W36/$G$21</f>
        <v>0</v>
      </c>
      <c r="X37" s="83">
        <f ca="1">+X36/$G$21</f>
        <v>0</v>
      </c>
    </row>
    <row r="38" spans="1:24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2">
      <c r="A39" s="1"/>
      <c r="B39" s="1" t="s">
        <v>123</v>
      </c>
      <c r="C39" s="1"/>
      <c r="D39" s="1"/>
      <c r="E39" s="1"/>
      <c r="F39" s="1"/>
      <c r="G39" s="1"/>
      <c r="H39" s="1"/>
      <c r="I39" s="81">
        <f ca="1">+I16-I26-I31-I36</f>
        <v>38674994.378600001</v>
      </c>
      <c r="J39" s="81">
        <f ca="1">+J16-J26-J31-J36</f>
        <v>98049995.5792</v>
      </c>
      <c r="K39" s="81">
        <f ca="1">+K16-K26-K31-K36</f>
        <v>127599995.5792</v>
      </c>
      <c r="L39" s="81">
        <f ca="1">+L16-L26-L31-L36</f>
        <v>187150000</v>
      </c>
      <c r="M39" s="81">
        <f ca="1">+M16-M26-M31-M36</f>
        <v>216700000</v>
      </c>
      <c r="N39" s="81">
        <f ca="1">+N16-N26-N31-N36</f>
        <v>246250000</v>
      </c>
      <c r="O39" s="81">
        <f ca="1">+O16-O26-O31-O36</f>
        <v>275800000</v>
      </c>
      <c r="P39" s="81">
        <f ca="1">+P16-P26-P31-P36</f>
        <v>305350000</v>
      </c>
      <c r="Q39" s="81">
        <f ca="1">+Q16-Q26-Q31-Q36</f>
        <v>334900000</v>
      </c>
      <c r="R39" s="81">
        <f ca="1">+R16-R26-R31-R36</f>
        <v>364450000</v>
      </c>
      <c r="S39" s="81">
        <f ca="1">+S16-S26-S31-S36</f>
        <v>394000000</v>
      </c>
      <c r="T39" s="81">
        <f ca="1">+T16-T26-T31-T36</f>
        <v>423550000</v>
      </c>
      <c r="U39" s="81">
        <f ca="1">+U16-U26-U31-U36</f>
        <v>453100000</v>
      </c>
      <c r="V39" s="81">
        <f ca="1">+V16-V26-V31-V36</f>
        <v>482650000</v>
      </c>
      <c r="W39" s="81">
        <f ca="1">+W16-W26-W31-W36</f>
        <v>512200000</v>
      </c>
      <c r="X39" s="81">
        <f ca="1">+X16-X26-X31-X36</f>
        <v>541750000</v>
      </c>
    </row>
    <row r="40" spans="1:24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2">
      <c r="A41" s="1"/>
      <c r="B41" s="30" t="s">
        <v>124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2">
      <c r="A42" s="1"/>
      <c r="B42" s="1" t="s">
        <v>125</v>
      </c>
      <c r="C42" s="1"/>
      <c r="D42" s="1"/>
      <c r="E42" s="1"/>
      <c r="F42" s="1"/>
      <c r="G42" s="1"/>
      <c r="H42" s="1"/>
      <c r="I42" s="86">
        <f ca="1">'Series B'!$C$14+'Series B'!$J$12+'Series B'!$O$12+IF(I25="yes",$G$19,0)+IF(I30="yes",$G$20,0)+IF(I35="yes",$G$21,0)</f>
        <v>13231158</v>
      </c>
      <c r="J42" s="86">
        <f ca="1">'Series B'!$C$14+'Series B'!$J$12+'Series B'!$O$12+IF(J25="yes",$G$19,0)+IF(J30="yes",$G$20,0)+IF(J35="yes",$G$21,0)</f>
        <v>20250566</v>
      </c>
      <c r="K42" s="86">
        <f ca="1">'Series B'!$C$14+'Series B'!$J$12+'Series B'!$O$12+IF(K25="yes",$G$19,0)+IF(K30="yes",$G$20,0)+IF(K35="yes",$G$21,0)</f>
        <v>20250566</v>
      </c>
      <c r="L42" s="86">
        <f ca="1">'Series B'!$C$14+'Series B'!$J$12+'Series B'!$O$12+IF(L25="yes",$G$19,0)+IF(L30="yes",$G$20,0)+IF(L35="yes",$G$21,0)</f>
        <v>24300680</v>
      </c>
      <c r="M42" s="86">
        <f ca="1">'Series B'!$C$14+'Series B'!$J$12+'Series B'!$O$12+IF(M25="yes",$G$19,0)+IF(M30="yes",$G$20,0)+IF(M35="yes",$G$21,0)</f>
        <v>24300680</v>
      </c>
      <c r="N42" s="86">
        <f ca="1">'Series B'!$C$14+'Series B'!$J$12+'Series B'!$O$12+IF(N25="yes",$G$19,0)+IF(N30="yes",$G$20,0)+IF(N35="yes",$G$21,0)</f>
        <v>24300680</v>
      </c>
      <c r="O42" s="86">
        <f ca="1">'Series B'!$C$14+'Series B'!$J$12+'Series B'!$O$12+IF(O25="yes",$G$19,0)+IF(O30="yes",$G$20,0)+IF(O35="yes",$G$21,0)</f>
        <v>24300680</v>
      </c>
      <c r="P42" s="86">
        <f ca="1">'Series B'!$C$14+'Series B'!$J$12+'Series B'!$O$12+IF(P25="yes",$G$19,0)+IF(P30="yes",$G$20,0)+IF(P35="yes",$G$21,0)</f>
        <v>24300680</v>
      </c>
      <c r="Q42" s="86">
        <f ca="1">'Series B'!$C$14+'Series B'!$J$12+'Series B'!$O$12+IF(Q25="yes",$G$19,0)+IF(Q30="yes",$G$20,0)+IF(Q35="yes",$G$21,0)</f>
        <v>24300680</v>
      </c>
      <c r="R42" s="86">
        <f ca="1">'Series B'!$C$14+'Series B'!$J$12+'Series B'!$O$12+IF(R25="yes",$G$19,0)+IF(R30="yes",$G$20,0)+IF(R35="yes",$G$21,0)</f>
        <v>24300680</v>
      </c>
      <c r="S42" s="86">
        <f ca="1">'Series B'!$C$14+'Series B'!$J$12+'Series B'!$O$12+IF(S25="yes",$G$19,0)+IF(S30="yes",$G$20,0)+IF(S35="yes",$G$21,0)</f>
        <v>24300680</v>
      </c>
      <c r="T42" s="86">
        <f ca="1">'Series B'!$C$14+'Series B'!$J$12+'Series B'!$O$12+IF(T25="yes",$G$19,0)+IF(T30="yes",$G$20,0)+IF(T35="yes",$G$21,0)</f>
        <v>24300680</v>
      </c>
      <c r="U42" s="86">
        <f ca="1">'Series B'!$C$14+'Series B'!$J$12+'Series B'!$O$12+IF(U25="yes",$G$19,0)+IF(U30="yes",$G$20,0)+IF(U35="yes",$G$21,0)</f>
        <v>24300680</v>
      </c>
      <c r="V42" s="86">
        <f ca="1">'Series B'!$C$14+'Series B'!$J$12+'Series B'!$O$12+IF(V25="yes",$G$19,0)+IF(V30="yes",$G$20,0)+IF(V35="yes",$G$21,0)</f>
        <v>24300680</v>
      </c>
      <c r="W42" s="86">
        <f ca="1">'Series B'!$C$14+'Series B'!$J$12+'Series B'!$O$12+IF(W25="yes",$G$19,0)+IF(W30="yes",$G$20,0)+IF(W35="yes",$G$21,0)</f>
        <v>24300680</v>
      </c>
      <c r="X42" s="86">
        <f ca="1">'Series B'!$C$14+'Series B'!$J$12+'Series B'!$O$12+IF(X25="yes",$G$19,0)+IF(X30="yes",$G$20,0)+IF(X35="yes",$G$21,0)</f>
        <v>24300680</v>
      </c>
    </row>
    <row r="43" spans="1:24" x14ac:dyDescent="0.2">
      <c r="A43" s="1"/>
      <c r="B43" s="1" t="s">
        <v>126</v>
      </c>
      <c r="C43" s="1"/>
      <c r="D43" s="1"/>
      <c r="E43" s="1"/>
      <c r="F43" s="1"/>
      <c r="G43" s="1"/>
      <c r="H43" s="1"/>
      <c r="I43" s="83">
        <f ca="1">+IFERROR(I39/I42,0)</f>
        <v>2.9230241509171004</v>
      </c>
      <c r="J43" s="83">
        <f ca="1">+IFERROR(J39/J42,0)</f>
        <v>4.8418397579208401</v>
      </c>
      <c r="K43" s="83">
        <f ca="1">+IFERROR(K39/K42,0)</f>
        <v>6.3010582311230214</v>
      </c>
      <c r="L43" s="83">
        <f ca="1">+IFERROR(L39/L42,0)</f>
        <v>7.7014305772513358</v>
      </c>
      <c r="M43" s="83">
        <f ca="1">+IFERROR(M39/M42,0)</f>
        <v>8.9174459315541785</v>
      </c>
      <c r="N43" s="83">
        <f ca="1">+IFERROR(N39/N42,0)</f>
        <v>10.133461285857022</v>
      </c>
      <c r="O43" s="83">
        <f ca="1">+IFERROR(O39/O42,0)</f>
        <v>11.349476640159864</v>
      </c>
      <c r="P43" s="83">
        <f ca="1">+IFERROR(P39/P42,0)</f>
        <v>12.565491994462706</v>
      </c>
      <c r="Q43" s="83">
        <f ca="1">+IFERROR(Q39/Q42,0)</f>
        <v>13.781507348765549</v>
      </c>
      <c r="R43" s="83">
        <f ca="1">+IFERROR(R39/R42,0)</f>
        <v>14.997522703068391</v>
      </c>
      <c r="S43" s="83">
        <f ca="1">+IFERROR(S39/S42,0)</f>
        <v>16.213538057371235</v>
      </c>
      <c r="T43" s="83">
        <f ca="1">+IFERROR(T39/T42,0)</f>
        <v>17.429553411674078</v>
      </c>
      <c r="U43" s="83">
        <f ca="1">+IFERROR(U39/U42,0)</f>
        <v>18.645568765976918</v>
      </c>
      <c r="V43" s="83">
        <f ca="1">+IFERROR(V39/V42,0)</f>
        <v>19.861584120279762</v>
      </c>
      <c r="W43" s="83">
        <f ca="1">+IFERROR(W39/W42,0)</f>
        <v>21.077599474582605</v>
      </c>
      <c r="X43" s="83">
        <f ca="1">+IFERROR(X39/X42,0)</f>
        <v>22.293614828885445</v>
      </c>
    </row>
    <row r="44" spans="1:24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x14ac:dyDescent="0.2">
      <c r="A45" s="1"/>
      <c r="B45" s="30" t="s">
        <v>127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x14ac:dyDescent="0.2">
      <c r="A46" s="1" t="s">
        <v>143</v>
      </c>
      <c r="B46" s="1" t="s">
        <v>3</v>
      </c>
      <c r="C46" s="1"/>
      <c r="D46" s="1"/>
      <c r="E46" s="1"/>
      <c r="F46" s="1"/>
      <c r="G46" s="1"/>
      <c r="H46" s="1"/>
      <c r="I46" s="83">
        <f ca="1">+IF(I25="yes",I43,I27)</f>
        <v>4.3128000000000002</v>
      </c>
      <c r="J46" s="83">
        <f ca="1">+IF(J25="yes",J43,J27)</f>
        <v>4.8418397579208401</v>
      </c>
      <c r="K46" s="83">
        <f ca="1">+IF(K25="yes",K43,K27)</f>
        <v>6.3010582311230214</v>
      </c>
      <c r="L46" s="83">
        <f ca="1">+IF(L25="yes",L43,L27)</f>
        <v>7.7014305772513358</v>
      </c>
      <c r="M46" s="83">
        <f ca="1">+IF(M25="yes",M43,M27)</f>
        <v>8.9174459315541785</v>
      </c>
      <c r="N46" s="83">
        <f ca="1">+IF(N25="yes",N43,N27)</f>
        <v>10.133461285857022</v>
      </c>
      <c r="O46" s="83">
        <f ca="1">+IF(O25="yes",O43,O27)</f>
        <v>11.349476640159864</v>
      </c>
      <c r="P46" s="83">
        <f ca="1">+IF(P25="yes",P43,P27)</f>
        <v>12.565491994462706</v>
      </c>
      <c r="Q46" s="83">
        <f ca="1">+IF(Q25="yes",Q43,Q27)</f>
        <v>13.781507348765549</v>
      </c>
      <c r="R46" s="83">
        <f ca="1">+IF(R25="yes",R43,R27)</f>
        <v>14.997522703068391</v>
      </c>
      <c r="S46" s="83">
        <f ca="1">+IF(S25="yes",S43,S27)</f>
        <v>16.213538057371235</v>
      </c>
      <c r="T46" s="83">
        <f ca="1">+IF(T25="yes",T43,T27)</f>
        <v>17.429553411674078</v>
      </c>
      <c r="U46" s="83">
        <f ca="1">+IF(U25="yes",U43,U27)</f>
        <v>18.645568765976918</v>
      </c>
      <c r="V46" s="83">
        <f ca="1">+IF(V25="yes",V43,V27)</f>
        <v>19.861584120279762</v>
      </c>
      <c r="W46" s="83">
        <f ca="1">+IF(W25="yes",W43,W27)</f>
        <v>21.077599474582605</v>
      </c>
      <c r="X46" s="83">
        <f ca="1">+IF(X25="yes",X43,X27)</f>
        <v>22.293614828885445</v>
      </c>
    </row>
    <row r="47" spans="1:24" x14ac:dyDescent="0.2">
      <c r="A47" s="1" t="s">
        <v>68</v>
      </c>
      <c r="B47" s="1" t="s">
        <v>2</v>
      </c>
      <c r="C47" s="1"/>
      <c r="D47" s="1"/>
      <c r="E47" s="1"/>
      <c r="F47" s="1"/>
      <c r="G47" s="1"/>
      <c r="H47" s="1"/>
      <c r="I47" s="83">
        <f ca="1">+IF(I30="yes",I43,I32)</f>
        <v>4.1246</v>
      </c>
      <c r="J47" s="83">
        <f ca="1">+IF(J30="yes",J43,J32)</f>
        <v>4.8418397579208401</v>
      </c>
      <c r="K47" s="83">
        <f ca="1">+IF(K30="yes",K43,K32)</f>
        <v>6.3010582311230214</v>
      </c>
      <c r="L47" s="83">
        <f ca="1">+IF(L30="yes",L43,L32)</f>
        <v>7.7014305772513358</v>
      </c>
      <c r="M47" s="83">
        <f ca="1">+IF(M30="yes",M43,M32)</f>
        <v>8.9174459315541785</v>
      </c>
      <c r="N47" s="83">
        <f ca="1">+IF(N30="yes",N43,N32)</f>
        <v>10.133461285857022</v>
      </c>
      <c r="O47" s="83">
        <f ca="1">+IF(O30="yes",O43,O32)</f>
        <v>11.349476640159864</v>
      </c>
      <c r="P47" s="83">
        <f ca="1">+IF(P30="yes",P43,P32)</f>
        <v>12.565491994462706</v>
      </c>
      <c r="Q47" s="83">
        <f ca="1">+IF(Q30="yes",Q43,Q32)</f>
        <v>13.781507348765549</v>
      </c>
      <c r="R47" s="83">
        <f ca="1">+IF(R30="yes",R43,R32)</f>
        <v>14.997522703068391</v>
      </c>
      <c r="S47" s="83">
        <f ca="1">+IF(S30="yes",S43,S32)</f>
        <v>16.213538057371235</v>
      </c>
      <c r="T47" s="83">
        <f ca="1">+IF(T30="yes",T43,T32)</f>
        <v>17.429553411674078</v>
      </c>
      <c r="U47" s="83">
        <f ca="1">+IF(U30="yes",U43,U32)</f>
        <v>18.645568765976918</v>
      </c>
      <c r="V47" s="83">
        <f ca="1">+IF(V30="yes",V43,V32)</f>
        <v>19.861584120279762</v>
      </c>
      <c r="W47" s="83">
        <f ca="1">+IF(W30="yes",W43,W32)</f>
        <v>21.077599474582605</v>
      </c>
      <c r="X47" s="83">
        <f ca="1">+IF(X30="yes",X43,X32)</f>
        <v>22.293614828885445</v>
      </c>
    </row>
    <row r="48" spans="1:24" x14ac:dyDescent="0.2">
      <c r="A48" s="1" t="s">
        <v>151</v>
      </c>
      <c r="B48" s="1" t="s">
        <v>5</v>
      </c>
      <c r="C48" s="1"/>
      <c r="D48" s="1"/>
      <c r="E48" s="1"/>
      <c r="F48" s="1"/>
      <c r="G48" s="1"/>
      <c r="H48" s="1"/>
      <c r="I48" s="83">
        <f ca="1">+IF(I35="yes",I43,I37)</f>
        <v>7.4071999999999996</v>
      </c>
      <c r="J48" s="83">
        <f ca="1">+IF(J35="yes",J43,J37)</f>
        <v>7.4071999999999996</v>
      </c>
      <c r="K48" s="83">
        <f ca="1">+IF(K35="yes",K43,K37)</f>
        <v>7.4071999999999996</v>
      </c>
      <c r="L48" s="83">
        <f ca="1">+IF(L35="yes",L43,L37)</f>
        <v>7.7014305772513358</v>
      </c>
      <c r="M48" s="83">
        <f ca="1">+IF(M35="yes",M43,M37)</f>
        <v>8.9174459315541785</v>
      </c>
      <c r="N48" s="83">
        <f ca="1">+IF(N35="yes",N43,N37)</f>
        <v>10.133461285857022</v>
      </c>
      <c r="O48" s="83">
        <f ca="1">+IF(O35="yes",O43,O37)</f>
        <v>11.349476640159864</v>
      </c>
      <c r="P48" s="83">
        <f ca="1">+IF(P35="yes",P43,P37)</f>
        <v>12.565491994462706</v>
      </c>
      <c r="Q48" s="83">
        <f ca="1">+IF(Q35="yes",Q43,Q37)</f>
        <v>13.781507348765549</v>
      </c>
      <c r="R48" s="83">
        <f ca="1">+IF(R35="yes",R43,R37)</f>
        <v>14.997522703068391</v>
      </c>
      <c r="S48" s="83">
        <f ca="1">+IF(S35="yes",S43,S37)</f>
        <v>16.213538057371235</v>
      </c>
      <c r="T48" s="83">
        <f ca="1">+IF(T35="yes",T43,T37)</f>
        <v>17.429553411674078</v>
      </c>
      <c r="U48" s="83">
        <f ca="1">+IF(U35="yes",U43,U37)</f>
        <v>18.645568765976918</v>
      </c>
      <c r="V48" s="83">
        <f ca="1">+IF(V35="yes",V43,V37)</f>
        <v>19.861584120279762</v>
      </c>
      <c r="W48" s="83">
        <f ca="1">+IF(W35="yes",W43,W37)</f>
        <v>21.077599474582605</v>
      </c>
      <c r="X48" s="83">
        <f ca="1">+IF(X35="yes",X43,X37)</f>
        <v>22.293614828885445</v>
      </c>
    </row>
    <row r="49" spans="1:24" x14ac:dyDescent="0.2">
      <c r="A49" s="1"/>
      <c r="B49" s="1" t="s">
        <v>128</v>
      </c>
      <c r="C49" s="1"/>
      <c r="D49" s="1"/>
      <c r="E49" s="1"/>
      <c r="F49" s="1"/>
      <c r="G49" s="1"/>
      <c r="H49" s="1"/>
      <c r="I49" s="83">
        <f ca="1">+I43</f>
        <v>2.9230241509171004</v>
      </c>
      <c r="J49" s="83">
        <f ca="1">+J43</f>
        <v>4.8418397579208401</v>
      </c>
      <c r="K49" s="83">
        <f ca="1">+K43</f>
        <v>6.3010582311230214</v>
      </c>
      <c r="L49" s="83">
        <f ca="1">+L43</f>
        <v>7.7014305772513358</v>
      </c>
      <c r="M49" s="83">
        <f ca="1">+M43</f>
        <v>8.9174459315541785</v>
      </c>
      <c r="N49" s="83">
        <f ca="1">+N43</f>
        <v>10.133461285857022</v>
      </c>
      <c r="O49" s="83">
        <f ca="1">+O43</f>
        <v>11.349476640159864</v>
      </c>
      <c r="P49" s="83">
        <f ca="1">+P43</f>
        <v>12.565491994462706</v>
      </c>
      <c r="Q49" s="83">
        <f ca="1">+Q43</f>
        <v>13.781507348765549</v>
      </c>
      <c r="R49" s="83">
        <f ca="1">+R43</f>
        <v>14.997522703068391</v>
      </c>
      <c r="S49" s="83">
        <f ca="1">+S43</f>
        <v>16.213538057371235</v>
      </c>
      <c r="T49" s="83">
        <f ca="1">+T43</f>
        <v>17.429553411674078</v>
      </c>
      <c r="U49" s="83">
        <f ca="1">+U43</f>
        <v>18.645568765976918</v>
      </c>
      <c r="V49" s="83">
        <f ca="1">+V43</f>
        <v>19.861584120279762</v>
      </c>
      <c r="W49" s="83">
        <f ca="1">+W43</f>
        <v>21.077599474582605</v>
      </c>
      <c r="X49" s="83">
        <f ca="1">+X43</f>
        <v>22.293614828885445</v>
      </c>
    </row>
    <row r="50" spans="1:24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x14ac:dyDescent="0.2">
      <c r="A51" s="1"/>
      <c r="B51" s="30" t="s">
        <v>129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x14ac:dyDescent="0.2">
      <c r="A52" s="1"/>
      <c r="B52" s="1" t="s">
        <v>3</v>
      </c>
      <c r="C52" s="1"/>
      <c r="D52" s="1"/>
      <c r="E52" s="1"/>
      <c r="F52" s="1"/>
      <c r="G52" s="1"/>
      <c r="H52" s="1"/>
      <c r="I52" s="77">
        <f ca="1">+I46*$G$19</f>
        <v>20000001.895199999</v>
      </c>
      <c r="J52" s="77">
        <f ca="1">+J46*$G$19</f>
        <v>22453349.177952029</v>
      </c>
      <c r="K52" s="77">
        <f ca="1">+K46*$G$19</f>
        <v>29220269.097622424</v>
      </c>
      <c r="L52" s="77">
        <f ca="1">+L46*$G$19</f>
        <v>35714298.400291674</v>
      </c>
      <c r="M52" s="77">
        <f ca="1">+M46*$G$19</f>
        <v>41353398.147706151</v>
      </c>
      <c r="N52" s="77">
        <f ca="1">+N46*$G$19</f>
        <v>46992497.895120636</v>
      </c>
      <c r="O52" s="77">
        <f ca="1">+O46*$G$19</f>
        <v>52631597.642535105</v>
      </c>
      <c r="P52" s="77">
        <f ca="1">+P46*$G$19</f>
        <v>58270697.389949575</v>
      </c>
      <c r="Q52" s="77">
        <f ca="1">+Q46*$G$19</f>
        <v>63909797.13736406</v>
      </c>
      <c r="R52" s="77">
        <f ca="1">+R46*$G$19</f>
        <v>69548896.884778529</v>
      </c>
      <c r="S52" s="77">
        <f ca="1">+S46*$G$19</f>
        <v>75187996.632193014</v>
      </c>
      <c r="T52" s="77">
        <f ca="1">+T46*$G$19</f>
        <v>80827096.379607499</v>
      </c>
      <c r="U52" s="77">
        <f ca="1">+U46*$G$19</f>
        <v>86466196.127021953</v>
      </c>
      <c r="V52" s="77">
        <f ca="1">+V46*$G$19</f>
        <v>92105295.874436438</v>
      </c>
      <c r="W52" s="77">
        <f ca="1">+W46*$G$19</f>
        <v>97744395.621850923</v>
      </c>
      <c r="X52" s="77">
        <f ca="1">+X46*$G$19</f>
        <v>103383495.36926538</v>
      </c>
    </row>
    <row r="53" spans="1:24" x14ac:dyDescent="0.2">
      <c r="A53" s="1"/>
      <c r="B53" s="1" t="s">
        <v>2</v>
      </c>
      <c r="C53" s="1"/>
      <c r="D53" s="1"/>
      <c r="E53" s="1"/>
      <c r="F53" s="1"/>
      <c r="G53" s="1"/>
      <c r="H53" s="1"/>
      <c r="I53" s="77">
        <f ca="1">+I47*$G$20</f>
        <v>9824999.3054000009</v>
      </c>
      <c r="J53" s="77">
        <f ca="1">+J47*$G$20</f>
        <v>11533499.55351558</v>
      </c>
      <c r="K53" s="77">
        <f ca="1">+K47*$G$20</f>
        <v>15009429.458388362</v>
      </c>
      <c r="L53" s="77">
        <f ca="1">+L47*$G$20</f>
        <v>18345185.005110968</v>
      </c>
      <c r="M53" s="77">
        <f ca="1">+M47*$G$20</f>
        <v>21241793.163812701</v>
      </c>
      <c r="N53" s="77">
        <f ca="1">+N47*$G$20</f>
        <v>24138401.322514433</v>
      </c>
      <c r="O53" s="77">
        <f ca="1">+O47*$G$20</f>
        <v>27035009.481216162</v>
      </c>
      <c r="P53" s="77">
        <f ca="1">+P47*$G$20</f>
        <v>29931617.639917895</v>
      </c>
      <c r="Q53" s="77">
        <f ca="1">+Q47*$G$20</f>
        <v>32828225.798619628</v>
      </c>
      <c r="R53" s="77">
        <f ca="1">+R47*$G$20</f>
        <v>35724833.957321361</v>
      </c>
      <c r="S53" s="77">
        <f ca="1">+S47*$G$20</f>
        <v>38621442.116023093</v>
      </c>
      <c r="T53" s="77">
        <f ca="1">+T47*$G$20</f>
        <v>41518050.274724826</v>
      </c>
      <c r="U53" s="77">
        <f ca="1">+U47*$G$20</f>
        <v>44414658.433426552</v>
      </c>
      <c r="V53" s="77">
        <f ca="1">+V47*$G$20</f>
        <v>47311266.592128284</v>
      </c>
      <c r="W53" s="77">
        <f ca="1">+W47*$G$20</f>
        <v>50207874.750830017</v>
      </c>
      <c r="X53" s="77">
        <f ca="1">+X47*$G$20</f>
        <v>53104482.90953175</v>
      </c>
    </row>
    <row r="54" spans="1:24" x14ac:dyDescent="0.2">
      <c r="A54" s="1"/>
      <c r="B54" s="1" t="s">
        <v>5</v>
      </c>
      <c r="C54" s="1"/>
      <c r="D54" s="1"/>
      <c r="E54" s="1"/>
      <c r="F54" s="1"/>
      <c r="G54" s="1"/>
      <c r="H54" s="1"/>
      <c r="I54" s="77">
        <f ca="1">+I48*$G$21</f>
        <v>30000004.420799997</v>
      </c>
      <c r="J54" s="77">
        <f ca="1">+J48*$G$21</f>
        <v>30000004.420799997</v>
      </c>
      <c r="K54" s="77">
        <f ca="1">+K48*$G$21</f>
        <v>30000004.420799997</v>
      </c>
      <c r="L54" s="77">
        <f ca="1">+L48*$G$21</f>
        <v>31191671.800953716</v>
      </c>
      <c r="M54" s="77">
        <f ca="1">+M48*$G$21</f>
        <v>36116672.611630619</v>
      </c>
      <c r="N54" s="77">
        <f ca="1">+N48*$G$21</f>
        <v>41041673.422307529</v>
      </c>
      <c r="O54" s="77">
        <f ca="1">+O48*$G$21</f>
        <v>45966674.232984424</v>
      </c>
      <c r="P54" s="77">
        <f ca="1">+P48*$G$21</f>
        <v>50891675.043661326</v>
      </c>
      <c r="Q54" s="77">
        <f ca="1">+Q48*$G$21</f>
        <v>55816675.854338236</v>
      </c>
      <c r="R54" s="77">
        <f ca="1">+R48*$G$21</f>
        <v>60741676.665015131</v>
      </c>
      <c r="S54" s="77">
        <f ca="1">+S48*$G$21</f>
        <v>65666677.475692041</v>
      </c>
      <c r="T54" s="77">
        <f ca="1">+T48*$G$21</f>
        <v>70591678.286368951</v>
      </c>
      <c r="U54" s="77">
        <f ca="1">+U48*$G$21</f>
        <v>75516679.097045839</v>
      </c>
      <c r="V54" s="77">
        <f ca="1">+V48*$G$21</f>
        <v>80441679.907722741</v>
      </c>
      <c r="W54" s="77">
        <f ca="1">+W48*$G$21</f>
        <v>85366680.718399659</v>
      </c>
      <c r="X54" s="77">
        <f ca="1">+X48*$G$21</f>
        <v>90291681.529076546</v>
      </c>
    </row>
    <row r="55" spans="1:24" x14ac:dyDescent="0.2">
      <c r="A55" s="1"/>
      <c r="B55" s="1" t="s">
        <v>128</v>
      </c>
      <c r="C55" s="1"/>
      <c r="D55" s="1"/>
      <c r="E55" s="1"/>
      <c r="F55" s="1"/>
      <c r="G55" s="1"/>
      <c r="H55" s="1"/>
      <c r="I55" s="77">
        <f ca="1">I49*('Series B'!$C$14+'Series B'!$J$12+'Series B'!$O$12)</f>
        <v>38674994.378600001</v>
      </c>
      <c r="J55" s="77">
        <f ca="1">J49*('Series B'!$C$14+'Series B'!$J$12+'Series B'!$O$12)</f>
        <v>64063146.847732387</v>
      </c>
      <c r="K55" s="77">
        <f ca="1">K49*('Series B'!$C$14+'Series B'!$J$12+'Series B'!$O$12)</f>
        <v>83370297.023189217</v>
      </c>
      <c r="L55" s="77">
        <f ca="1">L49*('Series B'!$C$14+'Series B'!$J$12+'Series B'!$O$12)</f>
        <v>101898844.79364362</v>
      </c>
      <c r="M55" s="77">
        <f ca="1">M49*('Series B'!$C$14+'Series B'!$J$12+'Series B'!$O$12)</f>
        <v>117988136.07685052</v>
      </c>
      <c r="N55" s="77">
        <f ca="1">N49*('Series B'!$C$14+'Series B'!$J$12+'Series B'!$O$12)</f>
        <v>134077427.36005743</v>
      </c>
      <c r="O55" s="77">
        <f ca="1">O49*('Series B'!$C$14+'Series B'!$J$12+'Series B'!$O$12)</f>
        <v>150166718.64326429</v>
      </c>
      <c r="P55" s="77">
        <f ca="1">P49*('Series B'!$C$14+'Series B'!$J$12+'Series B'!$O$12)</f>
        <v>166256009.92647117</v>
      </c>
      <c r="Q55" s="77">
        <f ca="1">Q49*('Series B'!$C$14+'Series B'!$J$12+'Series B'!$O$12)</f>
        <v>182345301.20967808</v>
      </c>
      <c r="R55" s="77">
        <f ca="1">R49*('Series B'!$C$14+'Series B'!$J$12+'Series B'!$O$12)</f>
        <v>198434592.49288496</v>
      </c>
      <c r="S55" s="77">
        <f ca="1">S49*('Series B'!$C$14+'Series B'!$J$12+'Series B'!$O$12)</f>
        <v>214523883.77609187</v>
      </c>
      <c r="T55" s="77">
        <f ca="1">T49*('Series B'!$C$14+'Series B'!$J$12+'Series B'!$O$12)</f>
        <v>230613175.05929878</v>
      </c>
      <c r="U55" s="77">
        <f ca="1">U49*('Series B'!$C$14+'Series B'!$J$12+'Series B'!$O$12)</f>
        <v>246702466.34250563</v>
      </c>
      <c r="V55" s="77">
        <f ca="1">V49*('Series B'!$C$14+'Series B'!$J$12+'Series B'!$O$12)</f>
        <v>262791757.62571254</v>
      </c>
      <c r="W55" s="77">
        <f ca="1">W49*('Series B'!$C$14+'Series B'!$J$12+'Series B'!$O$12)</f>
        <v>278881048.90891945</v>
      </c>
      <c r="X55" s="77">
        <f ca="1">X49*('Series B'!$C$14+'Series B'!$J$12+'Series B'!$O$12)</f>
        <v>294970340.19212627</v>
      </c>
    </row>
    <row r="56" spans="1:24" x14ac:dyDescent="0.2">
      <c r="A56" s="1"/>
      <c r="B56" s="1"/>
      <c r="C56" s="1"/>
      <c r="D56" s="1"/>
      <c r="E56" s="1"/>
      <c r="F56" s="1"/>
      <c r="G56" s="1"/>
      <c r="H56" s="1"/>
      <c r="I56" s="85">
        <f ca="1">+SUM(I52:I55)-I16</f>
        <v>0</v>
      </c>
      <c r="J56" s="85">
        <f ca="1">+SUM(J52:J55)-J16</f>
        <v>0</v>
      </c>
      <c r="K56" s="85">
        <f ca="1">+SUM(K52:K55)-K16</f>
        <v>0</v>
      </c>
      <c r="L56" s="85">
        <f ca="1">+SUM(L52:L55)-L16</f>
        <v>0</v>
      </c>
      <c r="M56" s="85">
        <f ca="1">+SUM(M52:M55)-M16</f>
        <v>0</v>
      </c>
      <c r="N56" s="85">
        <f ca="1">+SUM(N52:N55)-N16</f>
        <v>0</v>
      </c>
      <c r="O56" s="85">
        <f ca="1">+SUM(O52:O55)-O16</f>
        <v>0</v>
      </c>
      <c r="P56" s="85">
        <f ca="1">+SUM(P52:P55)-P16</f>
        <v>0</v>
      </c>
      <c r="Q56" s="85">
        <f ca="1">+SUM(Q52:Q55)-Q16</f>
        <v>0</v>
      </c>
      <c r="R56" s="85">
        <f ca="1">+SUM(R52:R55)-R16</f>
        <v>0</v>
      </c>
      <c r="S56" s="85">
        <f ca="1">+SUM(S52:S55)-S16</f>
        <v>0</v>
      </c>
      <c r="T56" s="85">
        <f ca="1">+SUM(T52:T55)-T16</f>
        <v>0</v>
      </c>
      <c r="U56" s="85">
        <f ca="1">+SUM(U52:U55)-U16</f>
        <v>0</v>
      </c>
      <c r="V56" s="85">
        <f ca="1">+SUM(V52:V55)-V16</f>
        <v>0</v>
      </c>
      <c r="W56" s="85">
        <f ca="1">+SUM(W52:W55)-W16</f>
        <v>0</v>
      </c>
      <c r="X56" s="85">
        <f ca="1">+SUM(X52:X55)-X16</f>
        <v>0</v>
      </c>
    </row>
    <row r="57" spans="1:24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x14ac:dyDescent="0.2">
      <c r="A58" s="1"/>
      <c r="B58" s="30" t="s">
        <v>130</v>
      </c>
      <c r="C58" s="1"/>
      <c r="D58" s="1"/>
      <c r="E58" s="1"/>
      <c r="F58" s="1"/>
      <c r="G58" s="1"/>
      <c r="H58" s="1"/>
      <c r="I58" s="1" t="s">
        <v>8</v>
      </c>
      <c r="J58" s="1" t="s">
        <v>8</v>
      </c>
      <c r="K58" s="1" t="s">
        <v>8</v>
      </c>
      <c r="L58" s="1" t="s">
        <v>8</v>
      </c>
      <c r="M58" s="1" t="s">
        <v>8</v>
      </c>
      <c r="N58" s="1" t="s">
        <v>8</v>
      </c>
      <c r="O58" s="1" t="s">
        <v>8</v>
      </c>
      <c r="P58" s="1" t="s">
        <v>8</v>
      </c>
      <c r="Q58" s="1" t="s">
        <v>8</v>
      </c>
      <c r="R58" s="1" t="s">
        <v>8</v>
      </c>
      <c r="S58" s="1" t="s">
        <v>8</v>
      </c>
      <c r="T58" s="1" t="s">
        <v>8</v>
      </c>
      <c r="U58" s="1" t="s">
        <v>8</v>
      </c>
      <c r="V58" s="1" t="s">
        <v>8</v>
      </c>
      <c r="W58" s="1" t="s">
        <v>8</v>
      </c>
      <c r="X58" s="1" t="s">
        <v>8</v>
      </c>
    </row>
    <row r="59" spans="1:24" x14ac:dyDescent="0.2">
      <c r="A59" s="1"/>
      <c r="B59" s="1" t="s">
        <v>19</v>
      </c>
      <c r="C59" s="1"/>
      <c r="D59" s="1"/>
      <c r="E59" s="1"/>
      <c r="F59" s="1"/>
      <c r="G59" s="1"/>
      <c r="H59" s="1"/>
      <c r="I59" s="86">
        <f ca="1">(I$46*'Series B'!$H8)+(I$47*'Series B'!$E8)+(I$48*'Series B'!$M8)+(I$49*'Series B'!$C8)</f>
        <v>10522886.943301562</v>
      </c>
      <c r="J59" s="86">
        <f ca="1">(J$46*'Series B'!$H8)+(J$47*'Series B'!$E8)+(J$48*'Series B'!$M8)+(J$49*'Series B'!$C8)</f>
        <v>17430623.128515024</v>
      </c>
      <c r="K59" s="86">
        <f ca="1">(K$46*'Series B'!$H8)+(K$47*'Series B'!$E8)+(K$48*'Series B'!$M8)+(K$49*'Series B'!$C8)</f>
        <v>22683809.632042877</v>
      </c>
      <c r="L59" s="86">
        <f ca="1">(L$46*'Series B'!$H8)+(L$47*'Series B'!$E8)+(L$48*'Series B'!$M8)+(L$49*'Series B'!$C8)</f>
        <v>27725150.078104809</v>
      </c>
      <c r="M59" s="86">
        <f ca="1">(M$46*'Series B'!$H8)+(M$47*'Series B'!$E8)+(M$48*'Series B'!$M8)+(M$49*'Series B'!$C8)</f>
        <v>32102805.353595044</v>
      </c>
      <c r="N59" s="86">
        <f ca="1">(N$46*'Series B'!$H8)+(N$47*'Series B'!$E8)+(N$48*'Series B'!$M8)+(N$49*'Series B'!$C8)</f>
        <v>36480460.62908528</v>
      </c>
      <c r="O59" s="86">
        <f ca="1">(O$46*'Series B'!$H8)+(O$47*'Series B'!$E8)+(O$48*'Series B'!$M8)+(O$49*'Series B'!$C8)</f>
        <v>40858115.904575512</v>
      </c>
      <c r="P59" s="86">
        <f ca="1">(P$46*'Series B'!$H8)+(P$47*'Series B'!$E8)+(P$48*'Series B'!$M8)+(P$49*'Series B'!$C8)</f>
        <v>45235771.180065744</v>
      </c>
      <c r="Q59" s="86">
        <f ca="1">(Q$46*'Series B'!$H8)+(Q$47*'Series B'!$E8)+(Q$48*'Series B'!$M8)+(Q$49*'Series B'!$C8)</f>
        <v>49613426.455555975</v>
      </c>
      <c r="R59" s="86">
        <f ca="1">(R$46*'Series B'!$H8)+(R$47*'Series B'!$E8)+(R$48*'Series B'!$M8)+(R$49*'Series B'!$C8)</f>
        <v>53991081.731046207</v>
      </c>
      <c r="S59" s="86">
        <f ca="1">(S$46*'Series B'!$H8)+(S$47*'Series B'!$E8)+(S$48*'Series B'!$M8)+(S$49*'Series B'!$C8)</f>
        <v>58368737.006536447</v>
      </c>
      <c r="T59" s="86">
        <f ca="1">(T$46*'Series B'!$H8)+(T$47*'Series B'!$E8)+(T$48*'Series B'!$M8)+(T$49*'Series B'!$C8)</f>
        <v>62746392.282026678</v>
      </c>
      <c r="U59" s="86">
        <f ca="1">(U$46*'Series B'!$H8)+(U$47*'Series B'!$E8)+(U$48*'Series B'!$M8)+(U$49*'Series B'!$C8)</f>
        <v>67124047.557516903</v>
      </c>
      <c r="V59" s="86">
        <f ca="1">(V$46*'Series B'!$H8)+(V$47*'Series B'!$E8)+(V$48*'Series B'!$M8)+(V$49*'Series B'!$C8)</f>
        <v>71501702.833007142</v>
      </c>
      <c r="W59" s="86">
        <f ca="1">(W$46*'Series B'!$H8)+(W$47*'Series B'!$E8)+(W$48*'Series B'!$M8)+(W$49*'Series B'!$C8)</f>
        <v>75879358.108497381</v>
      </c>
      <c r="X59" s="86">
        <f ca="1">(X$46*'Series B'!$H8)+(X$47*'Series B'!$E8)+(X$48*'Series B'!$M8)+(X$49*'Series B'!$C8)</f>
        <v>80257013.383987606</v>
      </c>
    </row>
    <row r="60" spans="1:24" ht="13.5" customHeight="1" x14ac:dyDescent="0.2">
      <c r="A60" s="1"/>
      <c r="B60" s="1" t="s">
        <v>20</v>
      </c>
      <c r="C60" s="1"/>
      <c r="D60" s="1"/>
      <c r="E60" s="1"/>
      <c r="F60" s="1"/>
      <c r="G60" s="1"/>
      <c r="H60" s="1"/>
      <c r="I60" s="86">
        <f ca="1">(I$46*'Series B'!$H9)+(I$47*'Series B'!$E9)+(I$48*'Series B'!$M9)+(I$49*'Series B'!$C9)</f>
        <v>10522886.943301562</v>
      </c>
      <c r="J60" s="86">
        <f ca="1">(J$46*'Series B'!$H9)+(J$47*'Series B'!$E9)+(J$48*'Series B'!$M9)+(J$49*'Series B'!$C9)</f>
        <v>17430623.128515024</v>
      </c>
      <c r="K60" s="86">
        <f ca="1">(K$46*'Series B'!$H9)+(K$47*'Series B'!$E9)+(K$48*'Series B'!$M9)+(K$49*'Series B'!$C9)</f>
        <v>22683809.632042877</v>
      </c>
      <c r="L60" s="86">
        <f ca="1">(L$46*'Series B'!$H9)+(L$47*'Series B'!$E9)+(L$48*'Series B'!$M9)+(L$49*'Series B'!$C9)</f>
        <v>27725150.078104809</v>
      </c>
      <c r="M60" s="86">
        <f ca="1">(M$46*'Series B'!$H9)+(M$47*'Series B'!$E9)+(M$48*'Series B'!$M9)+(M$49*'Series B'!$C9)</f>
        <v>32102805.353595044</v>
      </c>
      <c r="N60" s="86">
        <f ca="1">(N$46*'Series B'!$H9)+(N$47*'Series B'!$E9)+(N$48*'Series B'!$M9)+(N$49*'Series B'!$C9)</f>
        <v>36480460.62908528</v>
      </c>
      <c r="O60" s="86">
        <f ca="1">(O$46*'Series B'!$H9)+(O$47*'Series B'!$E9)+(O$48*'Series B'!$M9)+(O$49*'Series B'!$C9)</f>
        <v>40858115.904575512</v>
      </c>
      <c r="P60" s="86">
        <f ca="1">(P$46*'Series B'!$H9)+(P$47*'Series B'!$E9)+(P$48*'Series B'!$M9)+(P$49*'Series B'!$C9)</f>
        <v>45235771.180065744</v>
      </c>
      <c r="Q60" s="86">
        <f ca="1">(Q$46*'Series B'!$H9)+(Q$47*'Series B'!$E9)+(Q$48*'Series B'!$M9)+(Q$49*'Series B'!$C9)</f>
        <v>49613426.455555975</v>
      </c>
      <c r="R60" s="86">
        <f ca="1">(R$46*'Series B'!$H9)+(R$47*'Series B'!$E9)+(R$48*'Series B'!$M9)+(R$49*'Series B'!$C9)</f>
        <v>53991081.731046207</v>
      </c>
      <c r="S60" s="86">
        <f ca="1">(S$46*'Series B'!$H9)+(S$47*'Series B'!$E9)+(S$48*'Series B'!$M9)+(S$49*'Series B'!$C9)</f>
        <v>58368737.006536447</v>
      </c>
      <c r="T60" s="86">
        <f ca="1">(T$46*'Series B'!$H9)+(T$47*'Series B'!$E9)+(T$48*'Series B'!$M9)+(T$49*'Series B'!$C9)</f>
        <v>62746392.282026678</v>
      </c>
      <c r="U60" s="86">
        <f ca="1">(U$46*'Series B'!$H9)+(U$47*'Series B'!$E9)+(U$48*'Series B'!$M9)+(U$49*'Series B'!$C9)</f>
        <v>67124047.557516903</v>
      </c>
      <c r="V60" s="86">
        <f ca="1">(V$46*'Series B'!$H9)+(V$47*'Series B'!$E9)+(V$48*'Series B'!$M9)+(V$49*'Series B'!$C9)</f>
        <v>71501702.833007142</v>
      </c>
      <c r="W60" s="86">
        <f ca="1">(W$46*'Series B'!$H9)+(W$47*'Series B'!$E9)+(W$48*'Series B'!$M9)+(W$49*'Series B'!$C9)</f>
        <v>75879358.108497381</v>
      </c>
      <c r="X60" s="86">
        <f ca="1">(X$46*'Series B'!$H9)+(X$47*'Series B'!$E9)+(X$48*'Series B'!$M9)+(X$49*'Series B'!$C9)</f>
        <v>80257013.383987606</v>
      </c>
    </row>
    <row r="61" spans="1:24" ht="13.5" customHeight="1" x14ac:dyDescent="0.2">
      <c r="A61" s="1"/>
      <c r="B61" s="1" t="s">
        <v>21</v>
      </c>
      <c r="C61" s="1"/>
      <c r="D61" s="1"/>
      <c r="E61" s="1"/>
      <c r="F61" s="1"/>
      <c r="G61" s="1"/>
      <c r="H61" s="1"/>
      <c r="I61" s="86">
        <f ca="1">(I$46*'Series B'!$H10)+(I$47*'Series B'!$E10)+(I$48*'Series B'!$M10)+(I$49*'Series B'!$C10)</f>
        <v>6558058.9856836442</v>
      </c>
      <c r="J61" s="86">
        <f ca="1">(J$46*'Series B'!$H10)+(J$47*'Series B'!$E10)+(J$48*'Series B'!$M10)+(J$49*'Series B'!$C10)</f>
        <v>10863088.736954344</v>
      </c>
      <c r="K61" s="86">
        <f ca="1">(K$46*'Series B'!$H10)+(K$47*'Series B'!$E10)+(K$48*'Series B'!$M10)+(K$49*'Series B'!$C10)</f>
        <v>14136972.333590606</v>
      </c>
      <c r="L61" s="86">
        <f ca="1">(L$46*'Series B'!$H10)+(L$47*'Series B'!$E10)+(L$48*'Series B'!$M10)+(L$49*'Series B'!$C10)</f>
        <v>17278829.524523593</v>
      </c>
      <c r="M61" s="86">
        <f ca="1">(M$46*'Series B'!$H10)+(M$47*'Series B'!$E10)+(M$48*'Series B'!$M10)+(M$49*'Series B'!$C10)</f>
        <v>20007065.765237845</v>
      </c>
      <c r="N61" s="86">
        <f ca="1">(N$46*'Series B'!$H10)+(N$47*'Series B'!$E10)+(N$48*'Series B'!$M10)+(N$49*'Series B'!$C10)</f>
        <v>22735302.005952097</v>
      </c>
      <c r="O61" s="86">
        <f ca="1">(O$46*'Series B'!$H10)+(O$47*'Series B'!$E10)+(O$48*'Series B'!$M10)+(O$49*'Series B'!$C10)</f>
        <v>25463538.246666349</v>
      </c>
      <c r="P61" s="86">
        <f ca="1">(P$46*'Series B'!$H10)+(P$47*'Series B'!$E10)+(P$48*'Series B'!$M10)+(P$49*'Series B'!$C10)</f>
        <v>28191774.487380598</v>
      </c>
      <c r="Q61" s="86">
        <f ca="1">(Q$46*'Series B'!$H10)+(Q$47*'Series B'!$E10)+(Q$48*'Series B'!$M10)+(Q$49*'Series B'!$C10)</f>
        <v>30920010.728094853</v>
      </c>
      <c r="R61" s="86">
        <f ca="1">(R$46*'Series B'!$H10)+(R$47*'Series B'!$E10)+(R$48*'Series B'!$M10)+(R$49*'Series B'!$C10)</f>
        <v>33648246.968809105</v>
      </c>
      <c r="S61" s="86">
        <f ca="1">(S$46*'Series B'!$H10)+(S$47*'Series B'!$E10)+(S$48*'Series B'!$M10)+(S$49*'Series B'!$C10)</f>
        <v>36376483.209523357</v>
      </c>
      <c r="T61" s="86">
        <f ca="1">(T$46*'Series B'!$H10)+(T$47*'Series B'!$E10)+(T$48*'Series B'!$M10)+(T$49*'Series B'!$C10)</f>
        <v>39104719.450237609</v>
      </c>
      <c r="U61" s="86">
        <f ca="1">(U$46*'Series B'!$H10)+(U$47*'Series B'!$E10)+(U$48*'Series B'!$M10)+(U$49*'Series B'!$C10)</f>
        <v>41832955.690951854</v>
      </c>
      <c r="V61" s="86">
        <f ca="1">(V$46*'Series B'!$H10)+(V$47*'Series B'!$E10)+(V$48*'Series B'!$M10)+(V$49*'Series B'!$C10)</f>
        <v>44561191.931666113</v>
      </c>
      <c r="W61" s="86">
        <f ca="1">(W$46*'Series B'!$H10)+(W$47*'Series B'!$E10)+(W$48*'Series B'!$M10)+(W$49*'Series B'!$C10)</f>
        <v>47289428.172380365</v>
      </c>
      <c r="X61" s="86">
        <f ca="1">(X$46*'Series B'!$H10)+(X$47*'Series B'!$E10)+(X$48*'Series B'!$M10)+(X$49*'Series B'!$C10)</f>
        <v>50017664.41309461</v>
      </c>
    </row>
    <row r="62" spans="1:24" x14ac:dyDescent="0.2">
      <c r="A62" s="1"/>
      <c r="B62" s="1" t="s">
        <v>22</v>
      </c>
      <c r="C62" s="1"/>
      <c r="D62" s="1"/>
      <c r="E62" s="1"/>
      <c r="F62" s="1"/>
      <c r="G62" s="1"/>
      <c r="H62" s="1"/>
      <c r="I62" s="86">
        <f ca="1">(I$46*'Series B'!$H11)+(I$47*'Series B'!$E11)+(I$48*'Series B'!$M11)+(I$49*'Series B'!$C11)</f>
        <v>676887.62565202382</v>
      </c>
      <c r="J62" s="86">
        <f ca="1">(J$46*'Series B'!$H11)+(J$47*'Series B'!$E11)+(J$48*'Series B'!$M11)+(J$49*'Series B'!$C11)</f>
        <v>1121229.674581487</v>
      </c>
      <c r="K62" s="86">
        <f ca="1">(K$46*'Series B'!$H11)+(K$47*'Series B'!$E11)+(K$48*'Series B'!$M11)+(K$49*'Series B'!$C11)</f>
        <v>1459142.3556393893</v>
      </c>
      <c r="L62" s="86">
        <f ca="1">(L$46*'Series B'!$H11)+(L$47*'Series B'!$E11)+(L$48*'Series B'!$M11)+(L$49*'Series B'!$C11)</f>
        <v>1783427.9802046691</v>
      </c>
      <c r="M62" s="86">
        <f ca="1">(M$46*'Series B'!$H11)+(M$47*'Series B'!$E11)+(M$48*'Series B'!$M11)+(M$49*'Series B'!$C11)</f>
        <v>2065021.8718159327</v>
      </c>
      <c r="N62" s="86">
        <f ca="1">(N$46*'Series B'!$H11)+(N$47*'Series B'!$E11)+(N$48*'Series B'!$M11)+(N$49*'Series B'!$C11)</f>
        <v>2346615.7634271965</v>
      </c>
      <c r="O62" s="86">
        <f ca="1">(O$46*'Series B'!$H11)+(O$47*'Series B'!$E11)+(O$48*'Series B'!$M11)+(O$49*'Series B'!$C11)</f>
        <v>2628209.6550384597</v>
      </c>
      <c r="P62" s="86">
        <f ca="1">(P$46*'Series B'!$H11)+(P$47*'Series B'!$E11)+(P$48*'Series B'!$M11)+(P$49*'Series B'!$C11)</f>
        <v>2909803.5466497233</v>
      </c>
      <c r="Q62" s="86">
        <f ca="1">(Q$46*'Series B'!$H11)+(Q$47*'Series B'!$E11)+(Q$48*'Series B'!$M11)+(Q$49*'Series B'!$C11)</f>
        <v>3191397.4382609869</v>
      </c>
      <c r="R62" s="86">
        <f ca="1">(R$46*'Series B'!$H11)+(R$47*'Series B'!$E11)+(R$48*'Series B'!$M11)+(R$49*'Series B'!$C11)</f>
        <v>3472991.3298722506</v>
      </c>
      <c r="S62" s="86">
        <f ca="1">(S$46*'Series B'!$H11)+(S$47*'Series B'!$E11)+(S$48*'Series B'!$M11)+(S$49*'Series B'!$C11)</f>
        <v>3754585.2214835142</v>
      </c>
      <c r="T62" s="86">
        <f ca="1">(T$46*'Series B'!$H11)+(T$47*'Series B'!$E11)+(T$48*'Series B'!$M11)+(T$49*'Series B'!$C11)</f>
        <v>4036179.1130947778</v>
      </c>
      <c r="U62" s="86">
        <f ca="1">(U$46*'Series B'!$H11)+(U$47*'Series B'!$E11)+(U$48*'Series B'!$M11)+(U$49*'Series B'!$C11)</f>
        <v>4317773.004706041</v>
      </c>
      <c r="V62" s="86">
        <f ca="1">(V$46*'Series B'!$H11)+(V$47*'Series B'!$E11)+(V$48*'Series B'!$M11)+(V$49*'Series B'!$C11)</f>
        <v>4599366.896317305</v>
      </c>
      <c r="W62" s="86">
        <f ca="1">(W$46*'Series B'!$H11)+(W$47*'Series B'!$E11)+(W$48*'Series B'!$M11)+(W$49*'Series B'!$C11)</f>
        <v>4880960.7879285682</v>
      </c>
      <c r="X62" s="86">
        <f ca="1">(X$46*'Series B'!$H11)+(X$47*'Series B'!$E11)+(X$48*'Series B'!$M11)+(X$49*'Series B'!$C11)</f>
        <v>5162554.6795398314</v>
      </c>
    </row>
    <row r="63" spans="1:24" x14ac:dyDescent="0.2">
      <c r="A63" s="1"/>
      <c r="B63" s="1" t="s">
        <v>23</v>
      </c>
      <c r="C63" s="1"/>
      <c r="D63" s="1"/>
      <c r="E63" s="1"/>
      <c r="F63" s="1"/>
      <c r="G63" s="1"/>
      <c r="H63" s="1"/>
      <c r="I63" s="86">
        <f ca="1">(I$46*'Series B'!$H12)+(I$47*'Series B'!$E12)+(I$48*'Series B'!$M12)+(I$49*('Series B'!$C12+'Series B'!$J12+'Series B'!$O12))</f>
        <v>10394273.88066121</v>
      </c>
      <c r="J63" s="86">
        <f ca="1">(J$46*'Series B'!$H12)+(J$47*'Series B'!$E12)+(J$48*'Series B'!$M12)+(J$49*('Series B'!$C12+'Series B'!$J12+'Series B'!$O12))</f>
        <v>17217582.179166507</v>
      </c>
      <c r="K63" s="86">
        <f ca="1">(K$46*'Series B'!$H12)+(K$47*'Series B'!$E12)+(K$48*'Series B'!$M12)+(K$49*('Series B'!$C12+'Series B'!$J12+'Series B'!$O12))</f>
        <v>22406563.069873463</v>
      </c>
      <c r="L63" s="86">
        <f ca="1">(L$46*'Series B'!$H12)+(L$47*'Series B'!$E12)+(L$48*'Series B'!$M12)+(L$49*('Series B'!$C12+'Series B'!$J12+'Series B'!$O12))</f>
        <v>27386287.132705752</v>
      </c>
      <c r="M63" s="86">
        <f ca="1">(M$46*'Series B'!$H12)+(M$47*'Series B'!$E12)+(M$48*'Series B'!$M12)+(M$49*('Series B'!$C12+'Series B'!$J12+'Series B'!$O12))</f>
        <v>31710437.732606661</v>
      </c>
      <c r="N63" s="86">
        <f ca="1">(N$46*'Series B'!$H12)+(N$47*'Series B'!$E12)+(N$48*'Series B'!$M12)+(N$49*('Series B'!$C12+'Series B'!$J12+'Series B'!$O12))</f>
        <v>36034588.332507573</v>
      </c>
      <c r="O63" s="86">
        <f ca="1">(O$46*'Series B'!$H12)+(O$47*'Series B'!$E12)+(O$48*'Series B'!$M12)+(O$49*('Series B'!$C12+'Series B'!$J12+'Series B'!$O12))</f>
        <v>40358738.932408474</v>
      </c>
      <c r="P63" s="86">
        <f ca="1">(P$46*'Series B'!$H12)+(P$47*'Series B'!$E12)+(P$48*'Series B'!$M12)+(P$49*('Series B'!$C12+'Series B'!$J12+'Series B'!$O12))</f>
        <v>44682889.532309383</v>
      </c>
      <c r="Q63" s="86">
        <f ca="1">(Q$46*'Series B'!$H12)+(Q$47*'Series B'!$E12)+(Q$48*'Series B'!$M12)+(Q$49*('Series B'!$C12+'Series B'!$J12+'Series B'!$O12))</f>
        <v>49007040.132210292</v>
      </c>
      <c r="R63" s="86">
        <f ca="1">(R$46*'Series B'!$H12)+(R$47*'Series B'!$E12)+(R$48*'Series B'!$M12)+(R$49*('Series B'!$C12+'Series B'!$J12+'Series B'!$O12))</f>
        <v>53331190.732111201</v>
      </c>
      <c r="S63" s="86">
        <f ca="1">(S$46*'Series B'!$H12)+(S$47*'Series B'!$E12)+(S$48*'Series B'!$M12)+(S$49*('Series B'!$C12+'Series B'!$J12+'Series B'!$O12))</f>
        <v>57655341.332012109</v>
      </c>
      <c r="T63" s="86">
        <f ca="1">(T$46*'Series B'!$H12)+(T$47*'Series B'!$E12)+(T$48*'Series B'!$M12)+(T$49*('Series B'!$C12+'Series B'!$J12+'Series B'!$O12))</f>
        <v>61979491.931913026</v>
      </c>
      <c r="U63" s="86">
        <f ca="1">(U$46*'Series B'!$H12)+(U$47*'Series B'!$E12)+(U$48*'Series B'!$M12)+(U$49*('Series B'!$C12+'Series B'!$J12+'Series B'!$O12))</f>
        <v>66303642.53181392</v>
      </c>
      <c r="V63" s="86">
        <f ca="1">(V$46*'Series B'!$H12)+(V$47*'Series B'!$E12)+(V$48*'Series B'!$M12)+(V$49*('Series B'!$C12+'Series B'!$J12+'Series B'!$O12))</f>
        <v>70627793.131714836</v>
      </c>
      <c r="W63" s="86">
        <f ca="1">(W$46*'Series B'!$H12)+(W$47*'Series B'!$E12)+(W$48*'Series B'!$M12)+(W$49*('Series B'!$C12+'Series B'!$J12+'Series B'!$O12))</f>
        <v>74951943.731615752</v>
      </c>
      <c r="X63" s="86">
        <f ca="1">(X$46*'Series B'!$H12)+(X$47*'Series B'!$E12)+(X$48*'Series B'!$M12)+(X$49*('Series B'!$C12+'Series B'!$J12+'Series B'!$O12))</f>
        <v>79276094.331516638</v>
      </c>
    </row>
    <row r="64" spans="1:24" x14ac:dyDescent="0.2">
      <c r="A64" s="1"/>
      <c r="B64" s="1" t="s">
        <v>26</v>
      </c>
      <c r="C64" s="1"/>
      <c r="D64" s="1"/>
      <c r="E64" s="1"/>
      <c r="F64" s="1"/>
      <c r="G64" s="1"/>
      <c r="H64" s="1"/>
      <c r="I64" s="86">
        <f ca="1">(I$46*'Series B'!$H16)+(I$47*'Series B'!$E16)+(I$48*'Series B'!$M16)+(I$49*'Series B'!$C16)</f>
        <v>16750000.17</v>
      </c>
      <c r="J64" s="86">
        <f ca="1">(J$46*'Series B'!$H16)+(J$47*'Series B'!$E16)+(J$48*'Series B'!$M16)+(J$49*'Series B'!$C16)</f>
        <v>18754482.447095565</v>
      </c>
      <c r="K64" s="86">
        <f ca="1">(K$46*'Series B'!$H16)+(K$47*'Series B'!$E16)+(K$48*'Series B'!$M16)+(K$49*'Series B'!$C16)</f>
        <v>23276486.676508218</v>
      </c>
      <c r="L64" s="86">
        <f ca="1">(L$46*'Series B'!$H16)+(L$47*'Series B'!$E16)+(L$48*'Series B'!$M16)+(L$49*'Series B'!$C16)</f>
        <v>27765089.697078437</v>
      </c>
      <c r="M64" s="86">
        <f ca="1">(M$46*'Series B'!$H16)+(M$47*'Series B'!$E16)+(M$48*'Series B'!$M16)+(M$49*'Series B'!$C16)</f>
        <v>32149051.228196084</v>
      </c>
      <c r="N64" s="86">
        <f ca="1">(N$46*'Series B'!$H16)+(N$47*'Series B'!$E16)+(N$48*'Series B'!$M16)+(N$49*'Series B'!$C16)</f>
        <v>36533012.759313732</v>
      </c>
      <c r="O64" s="86">
        <f ca="1">(O$46*'Series B'!$H16)+(O$47*'Series B'!$E16)+(O$48*'Series B'!$M16)+(O$49*'Series B'!$C16)</f>
        <v>40916974.29043138</v>
      </c>
      <c r="P64" s="86">
        <f ca="1">(P$46*'Series B'!$H16)+(P$47*'Series B'!$E16)+(P$48*'Series B'!$M16)+(P$49*'Series B'!$C16)</f>
        <v>45300935.821549028</v>
      </c>
      <c r="Q64" s="86">
        <f ca="1">(Q$46*'Series B'!$H16)+(Q$47*'Series B'!$E16)+(Q$48*'Series B'!$M16)+(Q$49*'Series B'!$C16)</f>
        <v>49684897.352666676</v>
      </c>
      <c r="R64" s="86">
        <f ca="1">(R$46*'Series B'!$H16)+(R$47*'Series B'!$E16)+(R$48*'Series B'!$M16)+(R$49*'Series B'!$C16)</f>
        <v>54068858.883784324</v>
      </c>
      <c r="S64" s="86">
        <f ca="1">(S$46*'Series B'!$H16)+(S$47*'Series B'!$E16)+(S$48*'Series B'!$M16)+(S$49*'Series B'!$C16)</f>
        <v>58452820.414901972</v>
      </c>
      <c r="T64" s="86">
        <f ca="1">(T$46*'Series B'!$H16)+(T$47*'Series B'!$E16)+(T$48*'Series B'!$M16)+(T$49*'Series B'!$C16)</f>
        <v>62836781.946019627</v>
      </c>
      <c r="U64" s="86">
        <f ca="1">(U$46*'Series B'!$H16)+(U$47*'Series B'!$E16)+(U$48*'Series B'!$M16)+(U$49*'Series B'!$C16)</f>
        <v>67220743.477137268</v>
      </c>
      <c r="V64" s="86">
        <f ca="1">(V$46*'Series B'!$H16)+(V$47*'Series B'!$E16)+(V$48*'Series B'!$M16)+(V$49*'Series B'!$C16)</f>
        <v>71604705.008254901</v>
      </c>
      <c r="W64" s="86">
        <f ca="1">(W$46*'Series B'!$H16)+(W$47*'Series B'!$E16)+(W$48*'Series B'!$M16)+(W$49*'Series B'!$C16)</f>
        <v>75988666.539372563</v>
      </c>
      <c r="X64" s="86">
        <f ca="1">(X$46*'Series B'!$H16)+(X$47*'Series B'!$E16)+(X$48*'Series B'!$M16)+(X$49*'Series B'!$C16)</f>
        <v>80372628.070490196</v>
      </c>
    </row>
    <row r="65" spans="1:24" x14ac:dyDescent="0.2">
      <c r="A65" s="1"/>
      <c r="B65" s="1" t="s">
        <v>27</v>
      </c>
      <c r="C65" s="1"/>
      <c r="D65" s="1"/>
      <c r="E65" s="1"/>
      <c r="F65" s="1"/>
      <c r="G65" s="1"/>
      <c r="H65" s="1"/>
      <c r="I65" s="86">
        <f ca="1">(I$46*'Series B'!$H17)+(I$47*'Series B'!$E17)+(I$48*'Series B'!$M17)+(I$49*'Series B'!$C17)</f>
        <v>1824999.3881999999</v>
      </c>
      <c r="J65" s="86">
        <f ca="1">(J$46*'Series B'!$H17)+(J$47*'Series B'!$E17)+(J$48*'Series B'!$M17)+(J$49*'Series B'!$C17)</f>
        <v>2142354.3121679602</v>
      </c>
      <c r="K65" s="86">
        <f ca="1">(K$46*'Series B'!$H17)+(K$47*'Series B'!$E17)+(K$48*'Series B'!$M17)+(K$49*'Series B'!$C17)</f>
        <v>2788010.3323503099</v>
      </c>
      <c r="L65" s="86">
        <f ca="1">(L$46*'Series B'!$H17)+(L$47*'Series B'!$E17)+(L$48*'Series B'!$M17)+(L$49*'Series B'!$C17)</f>
        <v>3407628.8832246666</v>
      </c>
      <c r="M65" s="86">
        <f ca="1">(M$46*'Series B'!$H17)+(M$47*'Series B'!$E17)+(M$48*'Series B'!$M17)+(M$49*'Series B'!$C17)</f>
        <v>3945675.5489969826</v>
      </c>
      <c r="N65" s="86">
        <f ca="1">(N$46*'Series B'!$H17)+(N$47*'Series B'!$E17)+(N$48*'Series B'!$M17)+(N$49*'Series B'!$C17)</f>
        <v>4483722.2147692991</v>
      </c>
      <c r="O65" s="86">
        <f ca="1">(O$46*'Series B'!$H17)+(O$47*'Series B'!$E17)+(O$48*'Series B'!$M17)+(O$49*'Series B'!$C17)</f>
        <v>5021768.8805416143</v>
      </c>
      <c r="P65" s="86">
        <f ca="1">(P$46*'Series B'!$H17)+(P$47*'Series B'!$E17)+(P$48*'Series B'!$M17)+(P$49*'Series B'!$C17)</f>
        <v>5559815.5463139303</v>
      </c>
      <c r="Q65" s="86">
        <f ca="1">(Q$46*'Series B'!$H17)+(Q$47*'Series B'!$E17)+(Q$48*'Series B'!$M17)+(Q$49*'Series B'!$C17)</f>
        <v>6097862.2120862463</v>
      </c>
      <c r="R65" s="86">
        <f ca="1">(R$46*'Series B'!$H17)+(R$47*'Series B'!$E17)+(R$48*'Series B'!$M17)+(R$49*'Series B'!$C17)</f>
        <v>6635908.8778585615</v>
      </c>
      <c r="S65" s="86">
        <f ca="1">(S$46*'Series B'!$H17)+(S$47*'Series B'!$E17)+(S$48*'Series B'!$M17)+(S$49*'Series B'!$C17)</f>
        <v>7173955.5436308784</v>
      </c>
      <c r="T65" s="86">
        <f ca="1">(T$46*'Series B'!$H17)+(T$47*'Series B'!$E17)+(T$48*'Series B'!$M17)+(T$49*'Series B'!$C17)</f>
        <v>7712002.2094031945</v>
      </c>
      <c r="U65" s="86">
        <f ca="1">(U$46*'Series B'!$H17)+(U$47*'Series B'!$E17)+(U$48*'Series B'!$M17)+(U$49*'Series B'!$C17)</f>
        <v>8250048.8751755087</v>
      </c>
      <c r="V65" s="86">
        <f ca="1">(V$46*'Series B'!$H17)+(V$47*'Series B'!$E17)+(V$48*'Series B'!$M17)+(V$49*'Series B'!$C17)</f>
        <v>8788095.5409478247</v>
      </c>
      <c r="W65" s="86">
        <f ca="1">(W$46*'Series B'!$H17)+(W$47*'Series B'!$E17)+(W$48*'Series B'!$M17)+(W$49*'Series B'!$C17)</f>
        <v>9326142.2067201417</v>
      </c>
      <c r="X65" s="86">
        <f ca="1">(X$46*'Series B'!$H17)+(X$47*'Series B'!$E17)+(X$48*'Series B'!$M17)+(X$49*'Series B'!$C17)</f>
        <v>9864188.8724924568</v>
      </c>
    </row>
    <row r="66" spans="1:24" x14ac:dyDescent="0.2">
      <c r="A66" s="1"/>
      <c r="B66" s="1">
        <v>1011</v>
      </c>
      <c r="C66" s="1"/>
      <c r="D66" s="1"/>
      <c r="E66" s="1"/>
      <c r="F66" s="1"/>
      <c r="G66" s="1"/>
      <c r="H66" s="1"/>
      <c r="I66" s="86">
        <f ca="1">(I$46*'Series B'!$H18)+(I$47*'Series B'!$E18)+(I$48*'Series B'!$M18)+(I$49*'Series B'!$C18)</f>
        <v>20999999.2568</v>
      </c>
      <c r="J66" s="86">
        <f ca="1">(J$46*'Series B'!$H18)+(J$47*'Series B'!$E18)+(J$48*'Series B'!$M18)+(J$49*'Series B'!$C18)</f>
        <v>22472007.414835311</v>
      </c>
      <c r="K66" s="86">
        <f ca="1">(K$46*'Series B'!$H18)+(K$47*'Series B'!$E18)+(K$48*'Series B'!$M18)+(K$49*'Series B'!$C18)</f>
        <v>26532158.782950159</v>
      </c>
      <c r="L66" s="86">
        <f ca="1">(L$46*'Series B'!$H18)+(L$47*'Series B'!$E18)+(L$48*'Series B'!$M18)+(L$49*'Series B'!$C18)</f>
        <v>30786075.959602777</v>
      </c>
      <c r="M66" s="86">
        <f ca="1">(M$46*'Series B'!$H18)+(M$47*'Series B'!$E18)+(M$48*'Series B'!$M18)+(M$49*'Series B'!$C18)</f>
        <v>35647035.321645319</v>
      </c>
      <c r="N66" s="86">
        <f ca="1">(N$46*'Series B'!$H18)+(N$47*'Series B'!$E18)+(N$48*'Series B'!$M18)+(N$49*'Series B'!$C18)</f>
        <v>40507994.683687866</v>
      </c>
      <c r="O66" s="86">
        <f ca="1">(O$46*'Series B'!$H18)+(O$47*'Series B'!$E18)+(O$48*'Series B'!$M18)+(O$49*'Series B'!$C18)</f>
        <v>45368954.045730412</v>
      </c>
      <c r="P66" s="86">
        <f ca="1">(P$46*'Series B'!$H18)+(P$47*'Series B'!$E18)+(P$48*'Series B'!$M18)+(P$49*'Series B'!$C18)</f>
        <v>50229913.407772951</v>
      </c>
      <c r="Q66" s="86">
        <f ca="1">(Q$46*'Series B'!$H18)+(Q$47*'Series B'!$E18)+(Q$48*'Series B'!$M18)+(Q$49*'Series B'!$C18)</f>
        <v>55090872.769815497</v>
      </c>
      <c r="R66" s="86">
        <f ca="1">(R$46*'Series B'!$H18)+(R$47*'Series B'!$E18)+(R$48*'Series B'!$M18)+(R$49*'Series B'!$C18)</f>
        <v>59951832.131858036</v>
      </c>
      <c r="S66" s="86">
        <f ca="1">(S$46*'Series B'!$H18)+(S$47*'Series B'!$E18)+(S$48*'Series B'!$M18)+(S$49*'Series B'!$C18)</f>
        <v>64812791.493900582</v>
      </c>
      <c r="T66" s="86">
        <f ca="1">(T$46*'Series B'!$H18)+(T$47*'Series B'!$E18)+(T$48*'Series B'!$M18)+(T$49*'Series B'!$C18)</f>
        <v>69673750.855943128</v>
      </c>
      <c r="U66" s="86">
        <f ca="1">(U$46*'Series B'!$H18)+(U$47*'Series B'!$E18)+(U$48*'Series B'!$M18)+(U$49*'Series B'!$C18)</f>
        <v>74534710.21798566</v>
      </c>
      <c r="V66" s="86">
        <f ca="1">(V$46*'Series B'!$H18)+(V$47*'Series B'!$E18)+(V$48*'Series B'!$M18)+(V$49*'Series B'!$C18)</f>
        <v>79395669.580028206</v>
      </c>
      <c r="W66" s="86">
        <f ca="1">(W$46*'Series B'!$H18)+(W$47*'Series B'!$E18)+(W$48*'Series B'!$M18)+(W$49*'Series B'!$C18)</f>
        <v>84256628.942070752</v>
      </c>
      <c r="X66" s="86">
        <f ca="1">(X$46*'Series B'!$H18)+(X$47*'Series B'!$E18)+(X$48*'Series B'!$M18)+(X$49*'Series B'!$C18)</f>
        <v>89117588.304113299</v>
      </c>
    </row>
    <row r="67" spans="1:24" x14ac:dyDescent="0.2">
      <c r="A67" s="1"/>
      <c r="B67" s="1" t="s">
        <v>28</v>
      </c>
      <c r="C67" s="1"/>
      <c r="D67" s="1"/>
      <c r="E67" s="1"/>
      <c r="F67" s="1"/>
      <c r="G67" s="1"/>
      <c r="H67" s="1"/>
      <c r="I67" s="86">
        <f ca="1">(I$46*'Series B'!$H19)+(I$47*'Series B'!$E19)+(I$48*'Series B'!$M19)+(I$49*'Series B'!$C19)</f>
        <v>5250004.5959999999</v>
      </c>
      <c r="J67" s="86">
        <f ca="1">(J$46*'Series B'!$H19)+(J$47*'Series B'!$E19)+(J$48*'Series B'!$M19)+(J$49*'Series B'!$C19)</f>
        <v>5618006.7677687686</v>
      </c>
      <c r="K67" s="86">
        <f ca="1">(K$46*'Series B'!$H19)+(K$47*'Series B'!$E19)+(K$48*'Series B'!$M19)+(K$49*'Series B'!$C19)</f>
        <v>6633044.9746020976</v>
      </c>
      <c r="L67" s="86">
        <f ca="1">(L$46*'Series B'!$H19)+(L$47*'Series B'!$E19)+(L$48*'Series B'!$M19)+(L$49*'Series B'!$C19)</f>
        <v>7696524.7659736276</v>
      </c>
      <c r="M67" s="86">
        <f ca="1">(M$46*'Series B'!$H19)+(M$47*'Series B'!$E19)+(M$48*'Series B'!$M19)+(M$49*'Series B'!$C19)</f>
        <v>8911765.5184957795</v>
      </c>
      <c r="N67" s="86">
        <f ca="1">(N$46*'Series B'!$H19)+(N$47*'Series B'!$E19)+(N$48*'Series B'!$M19)+(N$49*'Series B'!$C19)</f>
        <v>10127006.271017931</v>
      </c>
      <c r="O67" s="86">
        <f ca="1">(O$46*'Series B'!$H19)+(O$47*'Series B'!$E19)+(O$48*'Series B'!$M19)+(O$49*'Series B'!$C19)</f>
        <v>11342247.023540081</v>
      </c>
      <c r="P67" s="86">
        <f ca="1">(P$46*'Series B'!$H19)+(P$47*'Series B'!$E19)+(P$48*'Series B'!$M19)+(P$49*'Series B'!$C19)</f>
        <v>12557487.776062232</v>
      </c>
      <c r="Q67" s="86">
        <f ca="1">(Q$46*'Series B'!$H19)+(Q$47*'Series B'!$E19)+(Q$48*'Series B'!$M19)+(Q$49*'Series B'!$C19)</f>
        <v>13772728.528584387</v>
      </c>
      <c r="R67" s="86">
        <f ca="1">(R$46*'Series B'!$H19)+(R$47*'Series B'!$E19)+(R$48*'Series B'!$M19)+(R$49*'Series B'!$C19)</f>
        <v>14987969.281106535</v>
      </c>
      <c r="S67" s="86">
        <f ca="1">(S$46*'Series B'!$H19)+(S$47*'Series B'!$E19)+(S$48*'Series B'!$M19)+(S$49*'Series B'!$C19)</f>
        <v>16203210.033628689</v>
      </c>
      <c r="T67" s="86">
        <f ca="1">(T$46*'Series B'!$H19)+(T$47*'Series B'!$E19)+(T$48*'Series B'!$M19)+(T$49*'Series B'!$C19)</f>
        <v>17418450.786150843</v>
      </c>
      <c r="U67" s="86">
        <f ca="1">(U$46*'Series B'!$H19)+(U$47*'Series B'!$E19)+(U$48*'Series B'!$M19)+(U$49*'Series B'!$C19)</f>
        <v>18633691.538672991</v>
      </c>
      <c r="V67" s="86">
        <f ca="1">(V$46*'Series B'!$H19)+(V$47*'Series B'!$E19)+(V$48*'Series B'!$M19)+(V$49*'Series B'!$C19)</f>
        <v>19848932.291195143</v>
      </c>
      <c r="W67" s="86">
        <f ca="1">(W$46*'Series B'!$H19)+(W$47*'Series B'!$E19)+(W$48*'Series B'!$M19)+(W$49*'Series B'!$C19)</f>
        <v>21064173.043717295</v>
      </c>
      <c r="X67" s="86">
        <f ca="1">(X$46*'Series B'!$H19)+(X$47*'Series B'!$E19)+(X$48*'Series B'!$M19)+(X$49*'Series B'!$C19)</f>
        <v>22279413.796239447</v>
      </c>
    </row>
    <row r="68" spans="1:24" x14ac:dyDescent="0.2">
      <c r="A68" s="1"/>
      <c r="B68" s="1" t="s">
        <v>29</v>
      </c>
      <c r="C68" s="1"/>
      <c r="D68" s="1"/>
      <c r="E68" s="1"/>
      <c r="F68" s="1"/>
      <c r="G68" s="1"/>
      <c r="H68" s="1"/>
      <c r="I68" s="86">
        <f ca="1">(I$46*'Series B'!$H20)+(I$47*'Series B'!$E20)+(I$48*'Series B'!$M20)+(I$49*'Series B'!$C20)</f>
        <v>15000002.210399998</v>
      </c>
      <c r="J68" s="86">
        <f ca="1">(J$46*'Series B'!$H20)+(J$47*'Series B'!$E20)+(J$48*'Series B'!$M20)+(J$49*'Series B'!$C20)</f>
        <v>15000002.210399998</v>
      </c>
      <c r="K68" s="86">
        <f ca="1">(K$46*'Series B'!$H20)+(K$47*'Series B'!$E20)+(K$48*'Series B'!$M20)+(K$49*'Series B'!$C20)</f>
        <v>15000002.210399998</v>
      </c>
      <c r="L68" s="86">
        <f ca="1">(L$46*'Series B'!$H20)+(L$47*'Series B'!$E20)+(L$48*'Series B'!$M20)+(L$49*'Series B'!$C20)</f>
        <v>15595835.900476858</v>
      </c>
      <c r="M68" s="86">
        <f ca="1">(M$46*'Series B'!$H20)+(M$47*'Series B'!$E20)+(M$48*'Series B'!$M20)+(M$49*'Series B'!$C20)</f>
        <v>18058336.305815309</v>
      </c>
      <c r="N68" s="86">
        <f ca="1">(N$46*'Series B'!$H20)+(N$47*'Series B'!$E20)+(N$48*'Series B'!$M20)+(N$49*'Series B'!$C20)</f>
        <v>20520836.711153764</v>
      </c>
      <c r="O68" s="86">
        <f ca="1">(O$46*'Series B'!$H20)+(O$47*'Series B'!$E20)+(O$48*'Series B'!$M20)+(O$49*'Series B'!$C20)</f>
        <v>22983337.116492212</v>
      </c>
      <c r="P68" s="86">
        <f ca="1">(P$46*'Series B'!$H20)+(P$47*'Series B'!$E20)+(P$48*'Series B'!$M20)+(P$49*'Series B'!$C20)</f>
        <v>25445837.521830663</v>
      </c>
      <c r="Q68" s="86">
        <f ca="1">(Q$46*'Series B'!$H20)+(Q$47*'Series B'!$E20)+(Q$48*'Series B'!$M20)+(Q$49*'Series B'!$C20)</f>
        <v>27908337.927169118</v>
      </c>
      <c r="R68" s="86">
        <f ca="1">(R$46*'Series B'!$H20)+(R$47*'Series B'!$E20)+(R$48*'Series B'!$M20)+(R$49*'Series B'!$C20)</f>
        <v>30370838.332507566</v>
      </c>
      <c r="S68" s="86">
        <f ca="1">(S$46*'Series B'!$H20)+(S$47*'Series B'!$E20)+(S$48*'Series B'!$M20)+(S$49*'Series B'!$C20)</f>
        <v>32833338.737846021</v>
      </c>
      <c r="T68" s="86">
        <f ca="1">(T$46*'Series B'!$H20)+(T$47*'Series B'!$E20)+(T$48*'Series B'!$M20)+(T$49*'Series B'!$C20)</f>
        <v>35295839.143184476</v>
      </c>
      <c r="U68" s="86">
        <f ca="1">(U$46*'Series B'!$H20)+(U$47*'Series B'!$E20)+(U$48*'Series B'!$M20)+(U$49*'Series B'!$C20)</f>
        <v>37758339.548522919</v>
      </c>
      <c r="V68" s="86">
        <f ca="1">(V$46*'Series B'!$H20)+(V$47*'Series B'!$E20)+(V$48*'Series B'!$M20)+(V$49*'Series B'!$C20)</f>
        <v>40220839.953861371</v>
      </c>
      <c r="W68" s="86">
        <f ca="1">(W$46*'Series B'!$H20)+(W$47*'Series B'!$E20)+(W$48*'Series B'!$M20)+(W$49*'Series B'!$C20)</f>
        <v>42683340.359199829</v>
      </c>
      <c r="X68" s="86">
        <f ca="1">(X$46*'Series B'!$H20)+(X$47*'Series B'!$E20)+(X$48*'Series B'!$M20)+(X$49*'Series B'!$C20)</f>
        <v>45145840.764538273</v>
      </c>
    </row>
    <row r="69" spans="1:24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x14ac:dyDescent="0.2">
      <c r="A70" s="1"/>
      <c r="B70" s="1" t="s">
        <v>131</v>
      </c>
      <c r="C70" s="1"/>
      <c r="D70" s="1"/>
      <c r="E70" s="1"/>
      <c r="F70" s="1"/>
      <c r="G70" s="1"/>
      <c r="H70" s="1"/>
      <c r="I70" s="85">
        <f ca="1">+SUM(I59:I69)-I16</f>
        <v>0</v>
      </c>
      <c r="J70" s="85">
        <f ca="1">+SUM(J59:J69)-J16</f>
        <v>0</v>
      </c>
      <c r="K70" s="85">
        <f ca="1">+SUM(K59:K69)-K16</f>
        <v>0</v>
      </c>
      <c r="L70" s="85">
        <f ca="1">+SUM(L59:L69)-L16</f>
        <v>0</v>
      </c>
      <c r="M70" s="85">
        <f ca="1">+SUM(M59:M69)-M16</f>
        <v>0</v>
      </c>
      <c r="N70" s="85">
        <f ca="1">+SUM(N59:N69)-N16</f>
        <v>0</v>
      </c>
      <c r="O70" s="85">
        <f ca="1">+SUM(O59:O69)-O16</f>
        <v>0</v>
      </c>
      <c r="P70" s="85">
        <f ca="1">+SUM(P59:P69)-P16</f>
        <v>0</v>
      </c>
      <c r="Q70" s="85">
        <f ca="1">+SUM(Q59:Q69)-Q16</f>
        <v>0</v>
      </c>
      <c r="R70" s="85">
        <f ca="1">+SUM(R59:R69)-R16</f>
        <v>0</v>
      </c>
      <c r="S70" s="85">
        <f ca="1">+SUM(S59:S69)-S16</f>
        <v>0</v>
      </c>
      <c r="T70" s="85">
        <f ca="1">+SUM(T59:T69)-T16</f>
        <v>0</v>
      </c>
      <c r="U70" s="85">
        <f ca="1">+SUM(U59:U69)-U16</f>
        <v>0</v>
      </c>
      <c r="V70" s="85">
        <f ca="1">+SUM(V59:V69)-V16</f>
        <v>0</v>
      </c>
      <c r="W70" s="85">
        <f ca="1">+SUM(W59:W69)-W16</f>
        <v>0</v>
      </c>
      <c r="X70" s="85">
        <f ca="1">+SUM(X59:X69)-X16</f>
        <v>0</v>
      </c>
    </row>
    <row r="71" spans="1:24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x14ac:dyDescent="0.2">
      <c r="A72" s="1"/>
      <c r="B72" s="76" t="s">
        <v>132</v>
      </c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</row>
    <row r="73" spans="1:24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x14ac:dyDescent="0.2">
      <c r="A74" s="1"/>
      <c r="B74" s="1" t="s">
        <v>133</v>
      </c>
      <c r="C74" s="1"/>
      <c r="D74" s="1"/>
      <c r="E74" s="1"/>
      <c r="F74" s="1"/>
      <c r="G74" s="1"/>
      <c r="H74" s="1"/>
      <c r="I74" s="81">
        <f ca="1">+I66</f>
        <v>20999999.2568</v>
      </c>
      <c r="J74" s="81">
        <f ca="1">+J66</f>
        <v>22472007.414835311</v>
      </c>
      <c r="K74" s="81">
        <f ca="1">+K66</f>
        <v>26532158.782950159</v>
      </c>
      <c r="L74" s="81">
        <f ca="1">+L66</f>
        <v>30786075.959602777</v>
      </c>
      <c r="M74" s="81">
        <f ca="1">+M66</f>
        <v>35647035.321645319</v>
      </c>
      <c r="N74" s="81">
        <f ca="1">+N66</f>
        <v>40507994.683687866</v>
      </c>
      <c r="O74" s="81">
        <f ca="1">+O66</f>
        <v>45368954.045730412</v>
      </c>
      <c r="P74" s="81">
        <f ca="1">+P66</f>
        <v>50229913.407772951</v>
      </c>
      <c r="Q74" s="81">
        <f ca="1">+Q66</f>
        <v>55090872.769815497</v>
      </c>
      <c r="R74" s="81">
        <f ca="1">+R66</f>
        <v>59951832.131858036</v>
      </c>
      <c r="S74" s="81">
        <f ca="1">+S66</f>
        <v>64812791.493900582</v>
      </c>
      <c r="T74" s="81">
        <f ca="1">+T66</f>
        <v>69673750.855943128</v>
      </c>
      <c r="U74" s="81">
        <f ca="1">+U66</f>
        <v>74534710.21798566</v>
      </c>
      <c r="V74" s="81">
        <f ca="1">+V66</f>
        <v>79395669.580028206</v>
      </c>
      <c r="W74" s="81">
        <f ca="1">+W66</f>
        <v>84256628.942070752</v>
      </c>
      <c r="X74" s="81">
        <f ca="1">+X66</f>
        <v>89117588.304113299</v>
      </c>
    </row>
    <row r="75" spans="1:24" x14ac:dyDescent="0.2">
      <c r="A75" s="1"/>
      <c r="B75" s="1" t="s">
        <v>150</v>
      </c>
      <c r="C75" s="1"/>
      <c r="D75" s="1"/>
      <c r="E75" s="1"/>
      <c r="F75" s="1"/>
      <c r="G75" s="1"/>
      <c r="H75" s="1"/>
      <c r="I75" s="84">
        <f>'Series A'!$G$18+'Series B'!$L$18</f>
        <v>21000000</v>
      </c>
      <c r="J75" s="84">
        <f>'Series A'!$G$18+'Series B'!$L$18</f>
        <v>21000000</v>
      </c>
      <c r="K75" s="84">
        <f>'Series A'!$G$18+'Series B'!$L$18</f>
        <v>21000000</v>
      </c>
      <c r="L75" s="84">
        <f>'Series A'!$G$18+'Series B'!$L$18</f>
        <v>21000000</v>
      </c>
      <c r="M75" s="84">
        <f>'Series A'!$G$18+'Series B'!$L$18</f>
        <v>21000000</v>
      </c>
      <c r="N75" s="84">
        <f>'Series A'!$G$18+'Series B'!$L$18</f>
        <v>21000000</v>
      </c>
      <c r="O75" s="84">
        <f>'Series A'!$G$18+'Series B'!$L$18</f>
        <v>21000000</v>
      </c>
      <c r="P75" s="84">
        <f>'Series A'!$G$18+'Series B'!$L$18</f>
        <v>21000000</v>
      </c>
      <c r="Q75" s="84">
        <f>'Series A'!$G$18+'Series B'!$L$18</f>
        <v>21000000</v>
      </c>
      <c r="R75" s="84">
        <f>'Series A'!$G$18+'Series B'!$L$18</f>
        <v>21000000</v>
      </c>
      <c r="S75" s="84">
        <f>'Series A'!$G$18+'Series B'!$L$18</f>
        <v>21000000</v>
      </c>
      <c r="T75" s="84">
        <f>'Series A'!$G$18+'Series B'!$L$18</f>
        <v>21000000</v>
      </c>
      <c r="U75" s="84">
        <f>'Series A'!$G$18+'Series B'!$L$18</f>
        <v>21000000</v>
      </c>
      <c r="V75" s="84">
        <f>'Series A'!$G$18+'Series B'!$L$18</f>
        <v>21000000</v>
      </c>
      <c r="W75" s="84">
        <f>'Series A'!$G$18+'Series B'!$L$18</f>
        <v>21000000</v>
      </c>
      <c r="X75" s="84">
        <f>'Series A'!$G$18+'Series B'!$L$18</f>
        <v>21000000</v>
      </c>
    </row>
    <row r="76" spans="1:24" x14ac:dyDescent="0.2">
      <c r="A76" s="1"/>
      <c r="B76" s="1" t="s">
        <v>135</v>
      </c>
      <c r="C76" s="1"/>
      <c r="D76" s="1"/>
      <c r="E76" s="1"/>
      <c r="F76" s="1"/>
      <c r="G76" s="1"/>
      <c r="H76" s="1"/>
      <c r="I76" s="81">
        <f ca="1">I74-I75</f>
        <v>-0.74320000037550926</v>
      </c>
      <c r="J76" s="81">
        <f ca="1">J74-J75</f>
        <v>1472007.4148353115</v>
      </c>
      <c r="K76" s="81">
        <f ca="1">K74-K75</f>
        <v>5532158.7829501592</v>
      </c>
      <c r="L76" s="81">
        <f ca="1">L74-L75</f>
        <v>9786075.9596027769</v>
      </c>
      <c r="M76" s="81">
        <f ca="1">M74-M75</f>
        <v>14647035.321645319</v>
      </c>
      <c r="N76" s="81">
        <f ca="1">N74-N75</f>
        <v>19507994.683687866</v>
      </c>
      <c r="O76" s="81">
        <f ca="1">O74-O75</f>
        <v>24368954.045730412</v>
      </c>
      <c r="P76" s="81">
        <f ca="1">P74-P75</f>
        <v>29229913.407772951</v>
      </c>
      <c r="Q76" s="81">
        <f ca="1">Q74-Q75</f>
        <v>34090872.769815497</v>
      </c>
      <c r="R76" s="81">
        <f ca="1">R74-R75</f>
        <v>38951832.131858036</v>
      </c>
      <c r="S76" s="81">
        <f ca="1">S74-S75</f>
        <v>43812791.493900582</v>
      </c>
      <c r="T76" s="81">
        <f ca="1">T74-T75</f>
        <v>48673750.855943128</v>
      </c>
      <c r="U76" s="81">
        <f ca="1">U74-U75</f>
        <v>53534710.21798566</v>
      </c>
      <c r="V76" s="81">
        <f ca="1">V74-V75</f>
        <v>58395669.580028206</v>
      </c>
      <c r="W76" s="81">
        <f ca="1">W74-W75</f>
        <v>63256628.942070752</v>
      </c>
      <c r="X76" s="81">
        <f ca="1">X74-X75</f>
        <v>68117588.304113299</v>
      </c>
    </row>
    <row r="77" spans="1:24" x14ac:dyDescent="0.2">
      <c r="A77" s="1"/>
      <c r="B77" s="1" t="s">
        <v>136</v>
      </c>
      <c r="C77" s="1"/>
      <c r="D77" s="1"/>
      <c r="E77" s="1"/>
      <c r="F77" s="1"/>
      <c r="G77" s="1"/>
      <c r="H77" s="1"/>
      <c r="I77" s="79">
        <f ca="1">I74/I75</f>
        <v>0.99999996460952378</v>
      </c>
      <c r="J77" s="79">
        <f ca="1">J74/J75</f>
        <v>1.070095591182634</v>
      </c>
      <c r="K77" s="79">
        <f ca="1">K74/K75</f>
        <v>1.2634361325214361</v>
      </c>
      <c r="L77" s="79">
        <f ca="1">L74/L75</f>
        <v>1.4660036171239417</v>
      </c>
      <c r="M77" s="79">
        <f ca="1">M74/M75</f>
        <v>1.6974778724593009</v>
      </c>
      <c r="N77" s="79">
        <f ca="1">N74/N75</f>
        <v>1.9289521277946602</v>
      </c>
      <c r="O77" s="79">
        <f ca="1">O74/O75</f>
        <v>2.1604263831300194</v>
      </c>
      <c r="P77" s="79">
        <f ca="1">P74/P75</f>
        <v>2.3919006384653785</v>
      </c>
      <c r="Q77" s="79">
        <f ca="1">Q74/Q75</f>
        <v>2.623374893800738</v>
      </c>
      <c r="R77" s="79">
        <f ca="1">R74/R75</f>
        <v>2.854849149136097</v>
      </c>
      <c r="S77" s="79">
        <f ca="1">S74/S75</f>
        <v>3.0863234044714565</v>
      </c>
      <c r="T77" s="79">
        <f ca="1">T74/T75</f>
        <v>3.3177976598068155</v>
      </c>
      <c r="U77" s="79">
        <f ca="1">U74/U75</f>
        <v>3.5492719151421741</v>
      </c>
      <c r="V77" s="79">
        <f ca="1">V74/V75</f>
        <v>3.7807461704775336</v>
      </c>
      <c r="W77" s="79">
        <f ca="1">W74/W75</f>
        <v>4.0122204258128926</v>
      </c>
      <c r="X77" s="79">
        <f ca="1">X74/X75</f>
        <v>4.2436946811482521</v>
      </c>
    </row>
    <row r="78" spans="1:24" x14ac:dyDescent="0.2">
      <c r="A78" s="1"/>
      <c r="B78" s="1" t="s">
        <v>137</v>
      </c>
      <c r="C78" s="1"/>
      <c r="D78" s="1"/>
      <c r="E78" s="1"/>
      <c r="F78" s="1"/>
      <c r="G78" s="1"/>
      <c r="H78" s="1"/>
      <c r="I78" s="79">
        <f ca="1">+I46/'Series A'!$H$23</f>
        <v>1</v>
      </c>
      <c r="J78" s="79">
        <f ca="1">+J46/'Series A'!$H$23</f>
        <v>1.122667352513643</v>
      </c>
      <c r="K78" s="79">
        <f ca="1">+K46/'Series A'!$H$23</f>
        <v>1.4610133164354993</v>
      </c>
      <c r="L78" s="79">
        <f ca="1">+L46/'Series A'!$H$23</f>
        <v>1.785714750800254</v>
      </c>
      <c r="M78" s="79">
        <f ca="1">+M46/'Series A'!$H$23</f>
        <v>2.0676697114529259</v>
      </c>
      <c r="N78" s="79">
        <f ca="1">+N46/'Series A'!$H$23</f>
        <v>2.3496246721055978</v>
      </c>
      <c r="O78" s="79">
        <f ca="1">+O46/'Series A'!$H$23</f>
        <v>2.6315796327582692</v>
      </c>
      <c r="P78" s="79">
        <f ca="1">+P46/'Series A'!$H$23</f>
        <v>2.9135345934109407</v>
      </c>
      <c r="Q78" s="79">
        <f ca="1">+Q46/'Series A'!$H$23</f>
        <v>3.1954895540636126</v>
      </c>
      <c r="R78" s="79">
        <f ca="1">+R46/'Series A'!$H$23</f>
        <v>3.477444514716284</v>
      </c>
      <c r="S78" s="79">
        <f ca="1">+S46/'Series A'!$H$23</f>
        <v>3.7593994753689559</v>
      </c>
      <c r="T78" s="79">
        <f ca="1">+T46/'Series A'!$H$23</f>
        <v>4.0413544360216278</v>
      </c>
      <c r="U78" s="79">
        <f ca="1">+U46/'Series A'!$H$23</f>
        <v>4.3233093966742988</v>
      </c>
      <c r="V78" s="79">
        <f ca="1">+V46/'Series A'!$H$23</f>
        <v>4.6052643573269707</v>
      </c>
      <c r="W78" s="79">
        <f ca="1">+W46/'Series A'!$H$23</f>
        <v>4.8872193179796426</v>
      </c>
      <c r="X78" s="79">
        <f ca="1">+X46/'Series A'!$H$23</f>
        <v>5.1691742786323145</v>
      </c>
    </row>
    <row r="79" spans="1:24" x14ac:dyDescent="0.2">
      <c r="A79" s="1"/>
      <c r="B79" s="1" t="s">
        <v>138</v>
      </c>
      <c r="C79" s="1"/>
      <c r="D79" s="1"/>
      <c r="E79" s="1"/>
      <c r="F79" s="1"/>
      <c r="G79" s="1"/>
      <c r="H79" s="1"/>
      <c r="I79" s="87">
        <f ca="1">XIRR(I81:I83,$D$81:$D$83)</f>
        <v>-1.4901161193847656E-8</v>
      </c>
      <c r="J79" s="87">
        <f ca="1">XIRR(J81:J83,$D$81:$D$83)</f>
        <v>3.3159461617469799E-2</v>
      </c>
      <c r="K79" s="87">
        <f ca="1">XIRR(K81:K83,$D$81:$D$83)</f>
        <v>0.11859521269798276</v>
      </c>
      <c r="L79" s="87">
        <f ca="1">XIRR(L81:L83,$D$81:$D$83)</f>
        <v>0.20033701062202458</v>
      </c>
      <c r="M79" s="87">
        <f ca="1">XIRR(M81:M83,$D$81:$D$83)</f>
        <v>0.28607398867607126</v>
      </c>
      <c r="N79" s="87">
        <f ca="1">XIRR(N81:N83,$D$81:$D$83)</f>
        <v>0.36524164080619814</v>
      </c>
      <c r="O79" s="87">
        <f ca="1">XIRR(O81:O83,$D$81:$D$83)</f>
        <v>0.43903691172599801</v>
      </c>
      <c r="P79" s="87">
        <f ca="1">XIRR(P81:P83,$D$81:$D$83)</f>
        <v>0.50833753943443283</v>
      </c>
      <c r="Q79" s="87">
        <f ca="1">XIRR(Q81:Q83,$D$81:$D$83)</f>
        <v>0.57380923628807079</v>
      </c>
      <c r="R79" s="87">
        <f ca="1">XIRR(R81:R83,$D$81:$D$83)</f>
        <v>0.63597066998481766</v>
      </c>
      <c r="S79" s="87">
        <f ca="1">XIRR(S81:S83,$D$81:$D$83)</f>
        <v>0.69523500204086308</v>
      </c>
      <c r="T79" s="87">
        <f ca="1">XIRR(T81:T83,$D$81:$D$83)</f>
        <v>0.75193747282028189</v>
      </c>
      <c r="U79" s="87">
        <f ca="1">XIRR(U81:U83,$D$81:$D$83)</f>
        <v>0.80635446310043335</v>
      </c>
      <c r="V79" s="87">
        <f ca="1">XIRR(V81:V83,$D$81:$D$83)</f>
        <v>0.85871683359146123</v>
      </c>
      <c r="W79" s="87">
        <f ca="1">XIRR(W81:W83,$D$81:$D$83)</f>
        <v>0.90921972990035993</v>
      </c>
      <c r="X79" s="87">
        <f ca="1">XIRR(X81:X83,$D$81:$D$83)</f>
        <v>0.95802987813949581</v>
      </c>
    </row>
    <row r="80" spans="1:24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x14ac:dyDescent="0.2">
      <c r="A81" s="1"/>
      <c r="B81" s="1" t="s">
        <v>139</v>
      </c>
      <c r="C81" s="1" t="s">
        <v>3</v>
      </c>
      <c r="D81" s="75">
        <v>45762</v>
      </c>
      <c r="E81" s="1"/>
      <c r="F81" s="1"/>
      <c r="G81" s="1"/>
      <c r="H81" s="1"/>
      <c r="I81" s="86">
        <f>-'Series A'!$G$18</f>
        <v>-12000000</v>
      </c>
      <c r="J81" s="86">
        <f>-'Series A'!$G$18</f>
        <v>-12000000</v>
      </c>
      <c r="K81" s="86">
        <f>-'Series A'!$G$18</f>
        <v>-12000000</v>
      </c>
      <c r="L81" s="86">
        <f>-'Series A'!$G$18</f>
        <v>-12000000</v>
      </c>
      <c r="M81" s="86">
        <f>-'Series A'!$G$18</f>
        <v>-12000000</v>
      </c>
      <c r="N81" s="86">
        <f>-'Series A'!$G$18</f>
        <v>-12000000</v>
      </c>
      <c r="O81" s="86">
        <f>-'Series A'!$G$18</f>
        <v>-12000000</v>
      </c>
      <c r="P81" s="86">
        <f>-'Series A'!$G$18</f>
        <v>-12000000</v>
      </c>
      <c r="Q81" s="86">
        <f>-'Series A'!$G$18</f>
        <v>-12000000</v>
      </c>
      <c r="R81" s="86">
        <f>-'Series A'!$G$18</f>
        <v>-12000000</v>
      </c>
      <c r="S81" s="86">
        <f>-'Series A'!$G$18</f>
        <v>-12000000</v>
      </c>
      <c r="T81" s="86">
        <f>-'Series A'!$G$18</f>
        <v>-12000000</v>
      </c>
      <c r="U81" s="86">
        <f>-'Series A'!$G$18</f>
        <v>-12000000</v>
      </c>
      <c r="V81" s="86">
        <f>-'Series A'!$G$18</f>
        <v>-12000000</v>
      </c>
      <c r="W81" s="86">
        <f>-'Series A'!$G$18</f>
        <v>-12000000</v>
      </c>
      <c r="X81" s="86">
        <f>-'Series A'!$G$18</f>
        <v>-12000000</v>
      </c>
    </row>
    <row r="82" spans="1:24" x14ac:dyDescent="0.2">
      <c r="A82" s="1"/>
      <c r="B82" s="1"/>
      <c r="C82" s="1" t="s">
        <v>5</v>
      </c>
      <c r="D82" s="74">
        <f>DATE(YEAR(D81),MONTH(D81)+12,DAY(D81))</f>
        <v>46127</v>
      </c>
      <c r="E82" s="1"/>
      <c r="F82" s="1"/>
      <c r="G82" s="1"/>
      <c r="H82" s="1"/>
      <c r="I82" s="86">
        <f>-'Series B'!$L$18</f>
        <v>-9000000</v>
      </c>
      <c r="J82" s="86">
        <f>-'Series B'!$L$18</f>
        <v>-9000000</v>
      </c>
      <c r="K82" s="86">
        <f>-'Series B'!$L$18</f>
        <v>-9000000</v>
      </c>
      <c r="L82" s="86">
        <f>-'Series B'!$L$18</f>
        <v>-9000000</v>
      </c>
      <c r="M82" s="86">
        <f>-'Series B'!$L$18</f>
        <v>-9000000</v>
      </c>
      <c r="N82" s="86">
        <f>-'Series B'!$L$18</f>
        <v>-9000000</v>
      </c>
      <c r="O82" s="86">
        <f>-'Series B'!$L$18</f>
        <v>-9000000</v>
      </c>
      <c r="P82" s="86">
        <f>-'Series B'!$L$18</f>
        <v>-9000000</v>
      </c>
      <c r="Q82" s="86">
        <f>-'Series B'!$L$18</f>
        <v>-9000000</v>
      </c>
      <c r="R82" s="86">
        <f>-'Series B'!$L$18</f>
        <v>-9000000</v>
      </c>
      <c r="S82" s="86">
        <f>-'Series B'!$L$18</f>
        <v>-9000000</v>
      </c>
      <c r="T82" s="86">
        <f>-'Series B'!$L$18</f>
        <v>-9000000</v>
      </c>
      <c r="U82" s="86">
        <f>-'Series B'!$L$18</f>
        <v>-9000000</v>
      </c>
      <c r="V82" s="86">
        <f>-'Series B'!$L$18</f>
        <v>-9000000</v>
      </c>
      <c r="W82" s="86">
        <f>-'Series B'!$L$18</f>
        <v>-9000000</v>
      </c>
      <c r="X82" s="86">
        <f>-'Series B'!$L$18</f>
        <v>-9000000</v>
      </c>
    </row>
    <row r="83" spans="1:24" x14ac:dyDescent="0.2">
      <c r="A83" s="1"/>
      <c r="B83" s="1"/>
      <c r="C83" s="1" t="s">
        <v>140</v>
      </c>
      <c r="D83" s="74">
        <f>DATE(YEAR(D82),MONTH(D82)+18,DAY(D82))</f>
        <v>46675</v>
      </c>
      <c r="E83" s="1"/>
      <c r="F83" s="1"/>
      <c r="G83" s="1"/>
      <c r="H83" s="1"/>
      <c r="I83" s="86">
        <f ca="1">I74</f>
        <v>20999999.2568</v>
      </c>
      <c r="J83" s="86">
        <f ca="1">J74</f>
        <v>22472007.414835311</v>
      </c>
      <c r="K83" s="86">
        <f ca="1">K74</f>
        <v>26532158.782950159</v>
      </c>
      <c r="L83" s="86">
        <f ca="1">L74</f>
        <v>30786075.959602777</v>
      </c>
      <c r="M83" s="86">
        <f ca="1">M74</f>
        <v>35647035.321645319</v>
      </c>
      <c r="N83" s="86">
        <f ca="1">N74</f>
        <v>40507994.683687866</v>
      </c>
      <c r="O83" s="86">
        <f ca="1">O74</f>
        <v>45368954.045730412</v>
      </c>
      <c r="P83" s="86">
        <f ca="1">P74</f>
        <v>50229913.407772951</v>
      </c>
      <c r="Q83" s="86">
        <f ca="1">Q74</f>
        <v>55090872.769815497</v>
      </c>
      <c r="R83" s="86">
        <f ca="1">R74</f>
        <v>59951832.131858036</v>
      </c>
      <c r="S83" s="86">
        <f ca="1">S74</f>
        <v>64812791.493900582</v>
      </c>
      <c r="T83" s="86">
        <f ca="1">T74</f>
        <v>69673750.855943128</v>
      </c>
      <c r="U83" s="86">
        <f ca="1">U74</f>
        <v>74534710.21798566</v>
      </c>
      <c r="V83" s="86">
        <f ca="1">V74</f>
        <v>79395669.580028206</v>
      </c>
      <c r="W83" s="86">
        <f ca="1">W74</f>
        <v>84256628.942070752</v>
      </c>
      <c r="X83" s="86">
        <f ca="1">X74</f>
        <v>89117588.304113299</v>
      </c>
    </row>
    <row r="84" spans="1:24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9E46-C60E-2340-AC00-DF0ED6A79417}">
  <dimension ref="A1:X81"/>
  <sheetViews>
    <sheetView showGridLines="0" tabSelected="1" workbookViewId="0"/>
  </sheetViews>
  <sheetFormatPr baseColWidth="10" defaultRowHeight="16" x14ac:dyDescent="0.2"/>
  <cols>
    <col min="1" max="1" width="9.6640625" customWidth="1"/>
    <col min="2" max="2" width="22" customWidth="1"/>
    <col min="3" max="3" width="11.1640625" customWidth="1"/>
    <col min="4" max="4" width="14.1640625" customWidth="1"/>
    <col min="5" max="6" width="9.6640625" customWidth="1"/>
    <col min="7" max="7" width="10.1640625" customWidth="1"/>
    <col min="8" max="8" width="9.6640625" customWidth="1"/>
    <col min="9" max="24" width="14.83203125" customWidth="1"/>
  </cols>
  <sheetData>
    <row r="1" spans="1:24" x14ac:dyDescent="0.2">
      <c r="A1" s="1"/>
      <c r="B1" s="73" t="s">
        <v>102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 x14ac:dyDescent="0.2">
      <c r="A3" s="1"/>
      <c r="B3" s="1" t="s">
        <v>103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 x14ac:dyDescent="0.2">
      <c r="A4" s="1"/>
      <c r="B4" s="1" t="s">
        <v>104</v>
      </c>
      <c r="C4" s="1"/>
      <c r="D4" s="1"/>
      <c r="E4" s="1"/>
      <c r="F4" s="1"/>
      <c r="G4" s="1"/>
      <c r="H4" s="1"/>
      <c r="I4" s="77">
        <f>+I7/I5</f>
        <v>8333333.333333333</v>
      </c>
      <c r="J4" s="77">
        <f>+J7/J5</f>
        <v>11666666.666666666</v>
      </c>
      <c r="K4" s="77">
        <f>+K7/K5</f>
        <v>15000000</v>
      </c>
      <c r="L4" s="77">
        <f>+L7/L5</f>
        <v>18333333.333333332</v>
      </c>
      <c r="M4" s="77">
        <f>+M7/M5</f>
        <v>21666666.666666668</v>
      </c>
      <c r="N4" s="77">
        <f>+N7/N5</f>
        <v>25000000</v>
      </c>
      <c r="O4" s="77">
        <f>+O7/O5</f>
        <v>28333333.333333332</v>
      </c>
      <c r="P4" s="77">
        <f>+P7/P5</f>
        <v>31666666.666666668</v>
      </c>
      <c r="Q4" s="77">
        <f>+Q7/Q5</f>
        <v>35000000</v>
      </c>
      <c r="R4" s="77">
        <f>+R7/R5</f>
        <v>38333333.333333336</v>
      </c>
      <c r="S4" s="77">
        <f>+S7/S5</f>
        <v>41666666.666666664</v>
      </c>
      <c r="T4" s="77">
        <f>+T7/T5</f>
        <v>45000000</v>
      </c>
      <c r="U4" s="77">
        <f>+U7/U5</f>
        <v>48333333.333333336</v>
      </c>
      <c r="V4" s="77">
        <f>+V7/V5</f>
        <v>51666666.666666664</v>
      </c>
      <c r="W4" s="77">
        <f>+W7/W5</f>
        <v>55000000</v>
      </c>
      <c r="X4" s="77">
        <f>+X7/X5</f>
        <v>58333333.333333336</v>
      </c>
    </row>
    <row r="5" spans="1:24" x14ac:dyDescent="0.2">
      <c r="A5" s="1"/>
      <c r="B5" s="1" t="s">
        <v>105</v>
      </c>
      <c r="C5" s="1"/>
      <c r="D5" s="1"/>
      <c r="E5" s="1"/>
      <c r="F5" s="1"/>
      <c r="G5" s="1"/>
      <c r="H5" s="1"/>
      <c r="I5" s="78">
        <v>6</v>
      </c>
      <c r="J5" s="79">
        <f>+I5</f>
        <v>6</v>
      </c>
      <c r="K5" s="79">
        <f>+J5</f>
        <v>6</v>
      </c>
      <c r="L5" s="79">
        <f>+K5</f>
        <v>6</v>
      </c>
      <c r="M5" s="79">
        <f>+L5</f>
        <v>6</v>
      </c>
      <c r="N5" s="79">
        <f>+M5</f>
        <v>6</v>
      </c>
      <c r="O5" s="79">
        <f>+N5</f>
        <v>6</v>
      </c>
      <c r="P5" s="79">
        <f>+O5</f>
        <v>6</v>
      </c>
      <c r="Q5" s="79">
        <f>+P5</f>
        <v>6</v>
      </c>
      <c r="R5" s="79">
        <f>+Q5</f>
        <v>6</v>
      </c>
      <c r="S5" s="79">
        <f>+R5</f>
        <v>6</v>
      </c>
      <c r="T5" s="79">
        <f>+S5</f>
        <v>6</v>
      </c>
      <c r="U5" s="79">
        <f>+T5</f>
        <v>6</v>
      </c>
      <c r="V5" s="79">
        <f>+U5</f>
        <v>6</v>
      </c>
      <c r="W5" s="79">
        <f>+V5</f>
        <v>6</v>
      </c>
      <c r="X5" s="79">
        <f>+W5</f>
        <v>6</v>
      </c>
    </row>
    <row r="6" spans="1:24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2">
      <c r="A7" s="1"/>
      <c r="B7" s="30" t="s">
        <v>106</v>
      </c>
      <c r="C7" s="1"/>
      <c r="D7" s="1"/>
      <c r="E7" s="1"/>
      <c r="F7" s="1"/>
      <c r="G7" s="1"/>
      <c r="H7" s="1"/>
      <c r="I7" s="80">
        <v>50000000</v>
      </c>
      <c r="J7" s="81">
        <f>+I7+20000000</f>
        <v>70000000</v>
      </c>
      <c r="K7" s="81">
        <f>+J7+20000000</f>
        <v>90000000</v>
      </c>
      <c r="L7" s="81">
        <f>+K7+20000000</f>
        <v>110000000</v>
      </c>
      <c r="M7" s="81">
        <f>+L7+20000000</f>
        <v>130000000</v>
      </c>
      <c r="N7" s="81">
        <f>+M7+20000000</f>
        <v>150000000</v>
      </c>
      <c r="O7" s="81">
        <f>+N7+20000000</f>
        <v>170000000</v>
      </c>
      <c r="P7" s="81">
        <f>+O7+20000000</f>
        <v>190000000</v>
      </c>
      <c r="Q7" s="81">
        <f>+P7+20000000</f>
        <v>210000000</v>
      </c>
      <c r="R7" s="81">
        <f>+Q7+20000000</f>
        <v>230000000</v>
      </c>
      <c r="S7" s="81">
        <f>+R7+20000000</f>
        <v>250000000</v>
      </c>
      <c r="T7" s="81">
        <f>+S7+20000000</f>
        <v>270000000</v>
      </c>
      <c r="U7" s="81">
        <f>+T7+20000000</f>
        <v>290000000</v>
      </c>
      <c r="V7" s="81">
        <f>+U7+20000000</f>
        <v>310000000</v>
      </c>
      <c r="W7" s="81">
        <f>+V7+20000000</f>
        <v>330000000</v>
      </c>
      <c r="X7" s="81">
        <f>+W7+20000000</f>
        <v>350000000</v>
      </c>
    </row>
    <row r="8" spans="1:24" x14ac:dyDescent="0.2">
      <c r="A8" s="1"/>
      <c r="B8" s="1" t="s">
        <v>107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2">
      <c r="A9" s="1"/>
      <c r="B9" s="1" t="s">
        <v>108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2">
      <c r="A10" s="1"/>
      <c r="B10" s="1" t="s">
        <v>109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2">
      <c r="A11" s="1"/>
      <c r="B11" s="1" t="s">
        <v>110</v>
      </c>
      <c r="C11" s="1"/>
      <c r="D11" s="1"/>
      <c r="E11" s="88">
        <v>1.4999999999999999E-2</v>
      </c>
      <c r="F11" s="1"/>
      <c r="G11" s="1"/>
      <c r="H11" s="1"/>
      <c r="I11" s="82">
        <f>+-$E$11*I7</f>
        <v>-750000</v>
      </c>
      <c r="J11" s="82">
        <f>+-$E$11*J7</f>
        <v>-1050000</v>
      </c>
      <c r="K11" s="82">
        <f>+-$E$11*K7</f>
        <v>-1350000</v>
      </c>
      <c r="L11" s="82">
        <f>+-$E$11*L7</f>
        <v>-1650000</v>
      </c>
      <c r="M11" s="82">
        <f>+-$E$11*M7</f>
        <v>-1950000</v>
      </c>
      <c r="N11" s="82">
        <f>+-$E$11*N7</f>
        <v>-2250000</v>
      </c>
      <c r="O11" s="82">
        <f>+-$E$11*O7</f>
        <v>-2550000</v>
      </c>
      <c r="P11" s="82">
        <f>+-$E$11*P7</f>
        <v>-2850000</v>
      </c>
      <c r="Q11" s="82">
        <f>+-$E$11*Q7</f>
        <v>-3150000</v>
      </c>
      <c r="R11" s="82">
        <f>+-$E$11*R7</f>
        <v>-3450000</v>
      </c>
      <c r="S11" s="82">
        <f>+-$E$11*S7</f>
        <v>-3750000</v>
      </c>
      <c r="T11" s="82">
        <f>+-$E$11*T7</f>
        <v>-4050000</v>
      </c>
      <c r="U11" s="82">
        <f>+-$E$11*U7</f>
        <v>-4350000</v>
      </c>
      <c r="V11" s="82">
        <f>+-$E$11*V7</f>
        <v>-4650000</v>
      </c>
      <c r="W11" s="82">
        <f>+-$E$11*W7</f>
        <v>-4950000</v>
      </c>
      <c r="X11" s="82">
        <f>+-$E$11*X7</f>
        <v>-5250000</v>
      </c>
    </row>
    <row r="12" spans="1:24" x14ac:dyDescent="0.2">
      <c r="A12" s="1"/>
      <c r="B12" s="30" t="s">
        <v>111</v>
      </c>
      <c r="C12" s="1"/>
      <c r="D12" s="1"/>
      <c r="E12" s="1"/>
      <c r="F12" s="1"/>
      <c r="G12" s="1"/>
      <c r="H12" s="1"/>
      <c r="I12" s="81">
        <f>+I7+SUM(I8:I11)</f>
        <v>49250000</v>
      </c>
      <c r="J12" s="81">
        <f>+J7+SUM(J8:J11)</f>
        <v>68950000</v>
      </c>
      <c r="K12" s="81">
        <f>+K7+SUM(K8:K11)</f>
        <v>88650000</v>
      </c>
      <c r="L12" s="81">
        <f>+L7+SUM(L8:L11)</f>
        <v>108350000</v>
      </c>
      <c r="M12" s="81">
        <f>+M7+SUM(M8:M11)</f>
        <v>128050000</v>
      </c>
      <c r="N12" s="81">
        <f>+N7+SUM(N8:N11)</f>
        <v>147750000</v>
      </c>
      <c r="O12" s="81">
        <f>+O7+SUM(O8:O11)</f>
        <v>167450000</v>
      </c>
      <c r="P12" s="81">
        <f>+P7+SUM(P8:P11)</f>
        <v>187150000</v>
      </c>
      <c r="Q12" s="81">
        <f>+Q7+SUM(Q8:Q11)</f>
        <v>206850000</v>
      </c>
      <c r="R12" s="81">
        <f>+R7+SUM(R8:R11)</f>
        <v>226550000</v>
      </c>
      <c r="S12" s="81">
        <f>+S7+SUM(S8:S11)</f>
        <v>246250000</v>
      </c>
      <c r="T12" s="81">
        <f>+T7+SUM(T8:T11)</f>
        <v>265950000</v>
      </c>
      <c r="U12" s="81">
        <f>+U7+SUM(U8:U11)</f>
        <v>285650000</v>
      </c>
      <c r="V12" s="81">
        <f>+V7+SUM(V8:V11)</f>
        <v>305350000</v>
      </c>
      <c r="W12" s="81">
        <f>+W7+SUM(W8:W11)</f>
        <v>325050000</v>
      </c>
      <c r="X12" s="81">
        <f>+X7+SUM(X8:X11)</f>
        <v>344750000</v>
      </c>
    </row>
    <row r="13" spans="1:24" x14ac:dyDescent="0.2">
      <c r="A13" s="1"/>
      <c r="B13" s="30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2">
      <c r="A14" s="1"/>
      <c r="B14" s="1" t="s">
        <v>112</v>
      </c>
      <c r="C14" s="1"/>
      <c r="D14" s="1"/>
      <c r="E14" s="88">
        <v>0.1</v>
      </c>
      <c r="F14" s="1"/>
      <c r="G14" s="1"/>
      <c r="H14" s="1"/>
      <c r="I14" s="81">
        <f ca="1">+IF(I12&lt;(SUM(I19:I20)+($E$14*I12)),$E$14*I12,0)</f>
        <v>0</v>
      </c>
      <c r="J14" s="81">
        <f ca="1">+IF(J12&lt;(SUM(J19:J20)+($E$14*J12)),$E$14*J12,0)</f>
        <v>0</v>
      </c>
      <c r="K14" s="81">
        <f ca="1">+IF(K12&lt;(SUM(K19:K20)+($E$14*K12)),$E$14*K12,0)</f>
        <v>0</v>
      </c>
      <c r="L14" s="81">
        <f ca="1">+IF(L12&lt;(SUM(L19:L20)+($E$14*L12)),$E$14*L12,0)</f>
        <v>0</v>
      </c>
      <c r="M14" s="81">
        <f ca="1">+IF(M12&lt;(SUM(M19:M20)+($E$14*M12)),$E$14*M12,0)</f>
        <v>0</v>
      </c>
      <c r="N14" s="81">
        <f ca="1">+IF(N12&lt;(SUM(N19:N20)+($E$14*N12)),$E$14*N12,0)</f>
        <v>0</v>
      </c>
      <c r="O14" s="81">
        <f ca="1">+IF(O12&lt;(SUM(O19:O20)+($E$14*O12)),$E$14*O12,0)</f>
        <v>0</v>
      </c>
      <c r="P14" s="81">
        <f ca="1">+IF(P12&lt;(SUM(P19:P20)+($E$14*P12)),$E$14*P12,0)</f>
        <v>0</v>
      </c>
      <c r="Q14" s="81">
        <f ca="1">+IF(Q12&lt;(SUM(Q19:Q20)+($E$14*Q12)),$E$14*Q12,0)</f>
        <v>0</v>
      </c>
      <c r="R14" s="81">
        <f ca="1">+IF(R12&lt;(SUM(R19:R20)+($E$14*R12)),$E$14*R12,0)</f>
        <v>0</v>
      </c>
      <c r="S14" s="81">
        <f ca="1">+IF(S12&lt;(SUM(S19:S20)+($E$14*S12)),$E$14*S12,0)</f>
        <v>0</v>
      </c>
      <c r="T14" s="81">
        <f ca="1">+IF(T12&lt;(SUM(T19:T20)+($E$14*T12)),$E$14*T12,0)</f>
        <v>0</v>
      </c>
      <c r="U14" s="81">
        <f ca="1">+IF(U12&lt;(SUM(U19:U20)+($E$14*U12)),$E$14*U12,0)</f>
        <v>0</v>
      </c>
      <c r="V14" s="81">
        <f ca="1">+IF(V12&lt;(SUM(V19:V20)+($E$14*V12)),$E$14*V12,0)</f>
        <v>0</v>
      </c>
      <c r="W14" s="81">
        <f ca="1">+IF(W12&lt;(SUM(W19:W20)+($E$14*W12)),$E$14*W12,0)</f>
        <v>0</v>
      </c>
      <c r="X14" s="81">
        <f ca="1">+IF(X12&lt;(SUM(X19:X20)+($E$14*X12)),$E$14*X12,0)</f>
        <v>0</v>
      </c>
    </row>
    <row r="15" spans="1:24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2">
      <c r="A16" s="1"/>
      <c r="B16" s="30" t="s">
        <v>113</v>
      </c>
      <c r="C16" s="1"/>
      <c r="D16" s="1"/>
      <c r="E16" s="1"/>
      <c r="F16" s="1"/>
      <c r="G16" s="1"/>
      <c r="H16" s="1"/>
      <c r="I16" s="81">
        <f ca="1">+I12-I14</f>
        <v>49250000</v>
      </c>
      <c r="J16" s="81">
        <f ca="1">+J12-J14</f>
        <v>68950000</v>
      </c>
      <c r="K16" s="81">
        <f ca="1">+K12-K14</f>
        <v>88650000</v>
      </c>
      <c r="L16" s="81">
        <f ca="1">+L12-L14</f>
        <v>108350000</v>
      </c>
      <c r="M16" s="81">
        <f ca="1">+M12-M14</f>
        <v>128050000</v>
      </c>
      <c r="N16" s="81">
        <f ca="1">+N12-N14</f>
        <v>147750000</v>
      </c>
      <c r="O16" s="81">
        <f ca="1">+O12-O14</f>
        <v>167450000</v>
      </c>
      <c r="P16" s="81">
        <f ca="1">+P12-P14</f>
        <v>187150000</v>
      </c>
      <c r="Q16" s="81">
        <f ca="1">+Q12-Q14</f>
        <v>206850000</v>
      </c>
      <c r="R16" s="81">
        <f ca="1">+R12-R14</f>
        <v>226550000</v>
      </c>
      <c r="S16" s="81">
        <f ca="1">+S12-S14</f>
        <v>246250000</v>
      </c>
      <c r="T16" s="81">
        <f ca="1">+T12-T14</f>
        <v>265950000</v>
      </c>
      <c r="U16" s="81">
        <f ca="1">+U12-U14</f>
        <v>285650000</v>
      </c>
      <c r="V16" s="81">
        <f ca="1">+V12-V14</f>
        <v>305350000</v>
      </c>
      <c r="W16" s="81">
        <f ca="1">+W12-W14</f>
        <v>325050000</v>
      </c>
      <c r="X16" s="81">
        <f ca="1">+X12-X14</f>
        <v>344750000</v>
      </c>
    </row>
    <row r="17" spans="1:24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2">
      <c r="A18" s="1"/>
      <c r="B18" s="1"/>
      <c r="C18" s="1"/>
      <c r="D18" s="1"/>
      <c r="E18" s="30" t="s">
        <v>141</v>
      </c>
      <c r="F18" s="30" t="s">
        <v>142</v>
      </c>
      <c r="G18" s="30" t="s">
        <v>13</v>
      </c>
      <c r="H18" s="30" t="s">
        <v>12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2">
      <c r="A19" s="1" t="s">
        <v>143</v>
      </c>
      <c r="B19" s="1" t="str">
        <f>"Max Series A per Share before Convert to Common"</f>
        <v>Max Series A per Share before Convert to Common</v>
      </c>
      <c r="C19" s="1"/>
      <c r="D19" s="1"/>
      <c r="E19" s="78">
        <v>1</v>
      </c>
      <c r="F19" s="89">
        <f ca="1">'Series A'!H23</f>
        <v>4.3128000000000002</v>
      </c>
      <c r="G19" s="19">
        <f ca="1">'Series A'!H21</f>
        <v>4637359</v>
      </c>
      <c r="H19" s="90">
        <f ca="1">+I19/SUM($I$19:$I$20)</f>
        <v>0.67057841039743704</v>
      </c>
      <c r="I19" s="82">
        <f ca="1">+$G19*$F19*$E19</f>
        <v>20000001.895199999</v>
      </c>
      <c r="J19" s="82">
        <f ca="1">+$G19*$F19*$E19</f>
        <v>20000001.895199999</v>
      </c>
      <c r="K19" s="82">
        <f ca="1">+$G19*$F19*$E19</f>
        <v>20000001.895199999</v>
      </c>
      <c r="L19" s="82">
        <f ca="1">+$G19*$F19*$E19</f>
        <v>20000001.895199999</v>
      </c>
      <c r="M19" s="82">
        <f ca="1">+$G19*$F19*$E19</f>
        <v>20000001.895199999</v>
      </c>
      <c r="N19" s="82">
        <f ca="1">+$G19*$F19*$E19</f>
        <v>20000001.895199999</v>
      </c>
      <c r="O19" s="82">
        <f ca="1">+$G19*$F19*$E19</f>
        <v>20000001.895199999</v>
      </c>
      <c r="P19" s="82">
        <f ca="1">+$G19*$F19*$E19</f>
        <v>20000001.895199999</v>
      </c>
      <c r="Q19" s="82">
        <f ca="1">+$G19*$F19*$E19</f>
        <v>20000001.895199999</v>
      </c>
      <c r="R19" s="82">
        <f ca="1">+$G19*$F19*$E19</f>
        <v>20000001.895199999</v>
      </c>
      <c r="S19" s="82">
        <f ca="1">+$G19*$F19*$E19</f>
        <v>20000001.895199999</v>
      </c>
      <c r="T19" s="82">
        <f ca="1">+$G19*$F19*$E19</f>
        <v>20000001.895199999</v>
      </c>
      <c r="U19" s="82">
        <f ca="1">+$G19*$F19*$E19</f>
        <v>20000001.895199999</v>
      </c>
      <c r="V19" s="82">
        <f ca="1">+$G19*$F19*$E19</f>
        <v>20000001.895199999</v>
      </c>
      <c r="W19" s="82">
        <f ca="1">+$G19*$F19*$E19</f>
        <v>20000001.895199999</v>
      </c>
      <c r="X19" s="82">
        <f ca="1">+$G19*$F19*$E19</f>
        <v>20000001.895199999</v>
      </c>
    </row>
    <row r="20" spans="1:24" x14ac:dyDescent="0.2">
      <c r="A20" s="1" t="s">
        <v>68</v>
      </c>
      <c r="B20" s="1" t="str">
        <f>"Max SAFE Preferred per Share before Convert to Common"</f>
        <v>Max SAFE Preferred per Share before Convert to Common</v>
      </c>
      <c r="C20" s="1"/>
      <c r="D20" s="1"/>
      <c r="E20" s="78">
        <v>1</v>
      </c>
      <c r="F20" s="89">
        <f>'Series A'!E23</f>
        <v>4.1246</v>
      </c>
      <c r="G20" s="19">
        <f>'Series A'!E21</f>
        <v>2382049</v>
      </c>
      <c r="H20" s="90">
        <f ca="1">+I20/SUM($I$19:$I$20)</f>
        <v>0.32942158960256296</v>
      </c>
      <c r="I20" s="82">
        <f>+$G20*$F20*$E20</f>
        <v>9824999.3054000009</v>
      </c>
      <c r="J20" s="82">
        <f>+$G20*$F20*$E20</f>
        <v>9824999.3054000009</v>
      </c>
      <c r="K20" s="82">
        <f>+$G20*$F20*$E20</f>
        <v>9824999.3054000009</v>
      </c>
      <c r="L20" s="82">
        <f>+$G20*$F20*$E20</f>
        <v>9824999.3054000009</v>
      </c>
      <c r="M20" s="82">
        <f>+$G20*$F20*$E20</f>
        <v>9824999.3054000009</v>
      </c>
      <c r="N20" s="82">
        <f>+$G20*$F20*$E20</f>
        <v>9824999.3054000009</v>
      </c>
      <c r="O20" s="82">
        <f>+$G20*$F20*$E20</f>
        <v>9824999.3054000009</v>
      </c>
      <c r="P20" s="82">
        <f>+$G20*$F20*$E20</f>
        <v>9824999.3054000009</v>
      </c>
      <c r="Q20" s="82">
        <f>+$G20*$F20*$E20</f>
        <v>9824999.3054000009</v>
      </c>
      <c r="R20" s="82">
        <f>+$G20*$F20*$E20</f>
        <v>9824999.3054000009</v>
      </c>
      <c r="S20" s="82">
        <f>+$G20*$F20*$E20</f>
        <v>9824999.3054000009</v>
      </c>
      <c r="T20" s="82">
        <f>+$G20*$F20*$E20</f>
        <v>9824999.3054000009</v>
      </c>
      <c r="U20" s="82">
        <f>+$G20*$F20*$E20</f>
        <v>9824999.3054000009</v>
      </c>
      <c r="V20" s="82">
        <f>+$G20*$F20*$E20</f>
        <v>9824999.3054000009</v>
      </c>
      <c r="W20" s="82">
        <f>+$G20*$F20*$E20</f>
        <v>9824999.3054000009</v>
      </c>
      <c r="X20" s="82">
        <f>+$G20*$F20*$E20</f>
        <v>9824999.3054000009</v>
      </c>
    </row>
    <row r="21" spans="1:24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2">
      <c r="A23" s="1"/>
      <c r="B23" s="30" t="s">
        <v>114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2">
      <c r="A24" s="1" t="s">
        <v>143</v>
      </c>
      <c r="B24" s="1" t="s">
        <v>115</v>
      </c>
      <c r="C24" s="1"/>
      <c r="D24" s="1"/>
      <c r="E24" s="1"/>
      <c r="F24" s="1"/>
      <c r="G24" s="1"/>
      <c r="H24" s="1"/>
      <c r="I24" s="77">
        <f ca="1">+I19</f>
        <v>20000001.895199999</v>
      </c>
      <c r="J24" s="77">
        <f ca="1">+J19</f>
        <v>20000001.895199999</v>
      </c>
      <c r="K24" s="77">
        <f ca="1">+K19</f>
        <v>20000001.895199999</v>
      </c>
      <c r="L24" s="77">
        <f ca="1">+L19</f>
        <v>20000001.895199999</v>
      </c>
      <c r="M24" s="77">
        <f ca="1">+M19</f>
        <v>20000001.895199999</v>
      </c>
      <c r="N24" s="77">
        <f ca="1">+N19</f>
        <v>20000001.895199999</v>
      </c>
      <c r="O24" s="77">
        <f ca="1">+O19</f>
        <v>20000001.895199999</v>
      </c>
      <c r="P24" s="77">
        <f ca="1">+P19</f>
        <v>20000001.895199999</v>
      </c>
      <c r="Q24" s="77">
        <f ca="1">+Q19</f>
        <v>20000001.895199999</v>
      </c>
      <c r="R24" s="77">
        <f ca="1">+R19</f>
        <v>20000001.895199999</v>
      </c>
      <c r="S24" s="77">
        <f ca="1">+S19</f>
        <v>20000001.895199999</v>
      </c>
      <c r="T24" s="77">
        <f ca="1">+T19</f>
        <v>20000001.895199999</v>
      </c>
      <c r="U24" s="77">
        <f ca="1">+U19</f>
        <v>20000001.895199999</v>
      </c>
      <c r="V24" s="77">
        <f ca="1">+V19</f>
        <v>20000001.895199999</v>
      </c>
      <c r="W24" s="77">
        <f ca="1">+W19</f>
        <v>20000001.895199999</v>
      </c>
      <c r="X24" s="77">
        <f ca="1">+X19</f>
        <v>20000001.895199999</v>
      </c>
    </row>
    <row r="25" spans="1:24" x14ac:dyDescent="0.2">
      <c r="A25" s="1" t="s">
        <v>143</v>
      </c>
      <c r="B25" s="1" t="s">
        <v>116</v>
      </c>
      <c r="C25" s="1"/>
      <c r="D25" s="1"/>
      <c r="E25" s="1"/>
      <c r="F25" s="1"/>
      <c r="G25" s="1"/>
      <c r="H25" s="1"/>
      <c r="I25" s="82" t="str">
        <f ca="1">IF(I14&lt;&gt;0,"no",IF(I16/('Series A'!$C$14+'Series A'!$J$12+$G$19+$G$20)&gt;=$F$19,"yes","no"))</f>
        <v>no</v>
      </c>
      <c r="J25" s="82" t="str">
        <f ca="1">IF(J14&lt;&gt;0,"no",IF(J16/('Series A'!$C$14+'Series A'!$J$12+$G$19+$G$20)&gt;=$F$19,"yes","no"))</f>
        <v>no</v>
      </c>
      <c r="K25" s="82" t="str">
        <f ca="1">IF(K14&lt;&gt;0,"no",IF(K16/('Series A'!$C$14+'Series A'!$J$12+$G$19+$G$20)&gt;=$F$19,"yes","no"))</f>
        <v>yes</v>
      </c>
      <c r="L25" s="82" t="str">
        <f ca="1">IF(L14&lt;&gt;0,"no",IF(L16/('Series A'!$C$14+'Series A'!$J$12+$G$19+$G$20)&gt;=$F$19,"yes","no"))</f>
        <v>yes</v>
      </c>
      <c r="M25" s="82" t="str">
        <f ca="1">IF(M14&lt;&gt;0,"no",IF(M16/('Series A'!$C$14+'Series A'!$J$12+$G$19+$G$20)&gt;=$F$19,"yes","no"))</f>
        <v>yes</v>
      </c>
      <c r="N25" s="82" t="str">
        <f ca="1">IF(N14&lt;&gt;0,"no",IF(N16/('Series A'!$C$14+'Series A'!$J$12+$G$19+$G$20)&gt;=$F$19,"yes","no"))</f>
        <v>yes</v>
      </c>
      <c r="O25" s="82" t="str">
        <f ca="1">IF(O14&lt;&gt;0,"no",IF(O16/('Series A'!$C$14+'Series A'!$J$12+$G$19+$G$20)&gt;=$F$19,"yes","no"))</f>
        <v>yes</v>
      </c>
      <c r="P25" s="82" t="str">
        <f ca="1">IF(P14&lt;&gt;0,"no",IF(P16/('Series A'!$C$14+'Series A'!$J$12+$G$19+$G$20)&gt;=$F$19,"yes","no"))</f>
        <v>yes</v>
      </c>
      <c r="Q25" s="82" t="str">
        <f ca="1">IF(Q14&lt;&gt;0,"no",IF(Q16/('Series A'!$C$14+'Series A'!$J$12+$G$19+$G$20)&gt;=$F$19,"yes","no"))</f>
        <v>yes</v>
      </c>
      <c r="R25" s="82" t="str">
        <f ca="1">IF(R14&lt;&gt;0,"no",IF(R16/('Series A'!$C$14+'Series A'!$J$12+$G$19+$G$20)&gt;=$F$19,"yes","no"))</f>
        <v>yes</v>
      </c>
      <c r="S25" s="82" t="str">
        <f ca="1">IF(S14&lt;&gt;0,"no",IF(S16/('Series A'!$C$14+'Series A'!$J$12+$G$19+$G$20)&gt;=$F$19,"yes","no"))</f>
        <v>yes</v>
      </c>
      <c r="T25" s="82" t="str">
        <f ca="1">IF(T14&lt;&gt;0,"no",IF(T16/('Series A'!$C$14+'Series A'!$J$12+$G$19+$G$20)&gt;=$F$19,"yes","no"))</f>
        <v>yes</v>
      </c>
      <c r="U25" s="82" t="str">
        <f ca="1">IF(U14&lt;&gt;0,"no",IF(U16/('Series A'!$C$14+'Series A'!$J$12+$G$19+$G$20)&gt;=$F$19,"yes","no"))</f>
        <v>yes</v>
      </c>
      <c r="V25" s="82" t="str">
        <f ca="1">IF(V14&lt;&gt;0,"no",IF(V16/('Series A'!$C$14+'Series A'!$J$12+$G$19+$G$20)&gt;=$F$19,"yes","no"))</f>
        <v>yes</v>
      </c>
      <c r="W25" s="82" t="str">
        <f ca="1">IF(W14&lt;&gt;0,"no",IF(W16/('Series A'!$C$14+'Series A'!$J$12+$G$19+$G$20)&gt;=$F$19,"yes","no"))</f>
        <v>yes</v>
      </c>
      <c r="X25" s="82" t="str">
        <f ca="1">IF(X14&lt;&gt;0,"no",IF(X16/('Series A'!$C$14+'Series A'!$J$12+$G$19+$G$20)&gt;=$F$19,"yes","no"))</f>
        <v>yes</v>
      </c>
    </row>
    <row r="26" spans="1:24" x14ac:dyDescent="0.2">
      <c r="A26" s="1" t="s">
        <v>143</v>
      </c>
      <c r="B26" s="1" t="s">
        <v>117</v>
      </c>
      <c r="C26" s="1"/>
      <c r="D26" s="1"/>
      <c r="E26" s="1"/>
      <c r="F26" s="1"/>
      <c r="G26" s="1"/>
      <c r="H26" s="1"/>
      <c r="I26" s="81">
        <f ca="1">+IF(I14=0,IF(I25="yes",0,I$19),$H$19*I16)</f>
        <v>20000001.895199999</v>
      </c>
      <c r="J26" s="81">
        <f ca="1">+IF(J14=0,IF(J25="yes",0,J$19),$H$19*J16)</f>
        <v>20000001.895199999</v>
      </c>
      <c r="K26" s="81">
        <f ca="1">+IF(K14=0,IF(K25="yes",0,K$19),$H$19*K16)</f>
        <v>0</v>
      </c>
      <c r="L26" s="81">
        <f ca="1">+IF(L14=0,IF(L25="yes",0,L$19),$H$19*L16)</f>
        <v>0</v>
      </c>
      <c r="M26" s="81">
        <f ca="1">+IF(M14=0,IF(M25="yes",0,M$19),$H$19*M16)</f>
        <v>0</v>
      </c>
      <c r="N26" s="81">
        <f ca="1">+IF(N14=0,IF(N25="yes",0,N$19),$H$19*N16)</f>
        <v>0</v>
      </c>
      <c r="O26" s="81">
        <f ca="1">+IF(O14=0,IF(O25="yes",0,O$19),$H$19*O16)</f>
        <v>0</v>
      </c>
      <c r="P26" s="81">
        <f ca="1">+IF(P14=0,IF(P25="yes",0,P$19),$H$19*P16)</f>
        <v>0</v>
      </c>
      <c r="Q26" s="81">
        <f ca="1">+IF(Q14=0,IF(Q25="yes",0,Q$19),$H$19*Q16)</f>
        <v>0</v>
      </c>
      <c r="R26" s="81">
        <f ca="1">+IF(R14=0,IF(R25="yes",0,R$19),$H$19*R16)</f>
        <v>0</v>
      </c>
      <c r="S26" s="81">
        <f ca="1">+IF(S14=0,IF(S25="yes",0,S$19),$H$19*S16)</f>
        <v>0</v>
      </c>
      <c r="T26" s="81">
        <f ca="1">+IF(T14=0,IF(T25="yes",0,T$19),$H$19*T16)</f>
        <v>0</v>
      </c>
      <c r="U26" s="81">
        <f ca="1">+IF(U14=0,IF(U25="yes",0,U$19),$H$19*U16)</f>
        <v>0</v>
      </c>
      <c r="V26" s="81">
        <f ca="1">+IF(V14=0,IF(V25="yes",0,V$19),$H$19*V16)</f>
        <v>0</v>
      </c>
      <c r="W26" s="81">
        <f ca="1">+IF(W14=0,IF(W25="yes",0,W$19),$H$19*W16)</f>
        <v>0</v>
      </c>
      <c r="X26" s="81">
        <f ca="1">+IF(X14=0,IF(X25="yes",0,X$19),$H$19*X16)</f>
        <v>0</v>
      </c>
    </row>
    <row r="27" spans="1:24" x14ac:dyDescent="0.2">
      <c r="A27" s="1" t="s">
        <v>143</v>
      </c>
      <c r="B27" s="1" t="s">
        <v>118</v>
      </c>
      <c r="C27" s="1"/>
      <c r="D27" s="1"/>
      <c r="E27" s="1"/>
      <c r="F27" s="1"/>
      <c r="G27" s="1"/>
      <c r="H27" s="1"/>
      <c r="I27" s="83">
        <f ca="1">+I26/$G$19</f>
        <v>4.3128000000000002</v>
      </c>
      <c r="J27" s="83">
        <f ca="1">+J26/$G$19</f>
        <v>4.3128000000000002</v>
      </c>
      <c r="K27" s="83">
        <f ca="1">+K26/$G$19</f>
        <v>0</v>
      </c>
      <c r="L27" s="83">
        <f ca="1">+L26/$G$19</f>
        <v>0</v>
      </c>
      <c r="M27" s="83">
        <f ca="1">+M26/$G$19</f>
        <v>0</v>
      </c>
      <c r="N27" s="83">
        <f ca="1">+N26/$G$19</f>
        <v>0</v>
      </c>
      <c r="O27" s="83">
        <f ca="1">+O26/$G$19</f>
        <v>0</v>
      </c>
      <c r="P27" s="83">
        <f ca="1">+P26/$G$19</f>
        <v>0</v>
      </c>
      <c r="Q27" s="83">
        <f ca="1">+Q26/$G$19</f>
        <v>0</v>
      </c>
      <c r="R27" s="83">
        <f ca="1">+R26/$G$19</f>
        <v>0</v>
      </c>
      <c r="S27" s="83">
        <f ca="1">+S26/$G$19</f>
        <v>0</v>
      </c>
      <c r="T27" s="83">
        <f ca="1">+T26/$G$19</f>
        <v>0</v>
      </c>
      <c r="U27" s="83">
        <f ca="1">+U26/$G$19</f>
        <v>0</v>
      </c>
      <c r="V27" s="83">
        <f ca="1">+V26/$G$19</f>
        <v>0</v>
      </c>
      <c r="W27" s="83">
        <f ca="1">+W26/$G$19</f>
        <v>0</v>
      </c>
      <c r="X27" s="83">
        <f ca="1">+X26/$G$19</f>
        <v>0</v>
      </c>
    </row>
    <row r="28" spans="1:24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2">
      <c r="A29" s="1" t="s">
        <v>68</v>
      </c>
      <c r="B29" s="1" t="s">
        <v>119</v>
      </c>
      <c r="C29" s="1"/>
      <c r="D29" s="1"/>
      <c r="E29" s="1"/>
      <c r="F29" s="1"/>
      <c r="G29" s="1"/>
      <c r="H29" s="1"/>
      <c r="I29" s="77">
        <f>I20</f>
        <v>9824999.3054000009</v>
      </c>
      <c r="J29" s="77">
        <f>J20</f>
        <v>9824999.3054000009</v>
      </c>
      <c r="K29" s="77">
        <f>K20</f>
        <v>9824999.3054000009</v>
      </c>
      <c r="L29" s="77">
        <f>L20</f>
        <v>9824999.3054000009</v>
      </c>
      <c r="M29" s="77">
        <f>M20</f>
        <v>9824999.3054000009</v>
      </c>
      <c r="N29" s="77">
        <f>N20</f>
        <v>9824999.3054000009</v>
      </c>
      <c r="O29" s="77">
        <f>O20</f>
        <v>9824999.3054000009</v>
      </c>
      <c r="P29" s="77">
        <f>P20</f>
        <v>9824999.3054000009</v>
      </c>
      <c r="Q29" s="77">
        <f>Q20</f>
        <v>9824999.3054000009</v>
      </c>
      <c r="R29" s="77">
        <f>R20</f>
        <v>9824999.3054000009</v>
      </c>
      <c r="S29" s="77">
        <f>S20</f>
        <v>9824999.3054000009</v>
      </c>
      <c r="T29" s="77">
        <f>T20</f>
        <v>9824999.3054000009</v>
      </c>
      <c r="U29" s="77">
        <f>U20</f>
        <v>9824999.3054000009</v>
      </c>
      <c r="V29" s="77">
        <f>V20</f>
        <v>9824999.3054000009</v>
      </c>
      <c r="W29" s="77">
        <f>W20</f>
        <v>9824999.3054000009</v>
      </c>
      <c r="X29" s="77">
        <f>X20</f>
        <v>9824999.3054000009</v>
      </c>
    </row>
    <row r="30" spans="1:24" x14ac:dyDescent="0.2">
      <c r="A30" s="1" t="s">
        <v>68</v>
      </c>
      <c r="B30" s="1" t="s">
        <v>120</v>
      </c>
      <c r="C30" s="1"/>
      <c r="D30" s="1"/>
      <c r="E30" s="1"/>
      <c r="F30" s="1"/>
      <c r="G30" s="1"/>
      <c r="H30" s="1"/>
      <c r="I30" s="82" t="str">
        <f ca="1">IF(I14&lt;&gt;0,"no",IF(I25="yes","yes",IF((I16-I$19)/('Series A'!$C$14+'Series A'!$J$12+$G$20)&gt;=$F$20,"yes","no")))</f>
        <v>no</v>
      </c>
      <c r="J30" s="82" t="str">
        <f ca="1">IF(J14&lt;&gt;0,"no",IF(J25="yes","yes",IF((J16-J$19)/('Series A'!$C$14+'Series A'!$J$12+$G$20)&gt;=$F$20,"yes","no")))</f>
        <v>no</v>
      </c>
      <c r="K30" s="82" t="str">
        <f ca="1">IF(K14&lt;&gt;0,"no",IF(K25="yes","yes",IF((K16-K$19)/('Series A'!$C$14+'Series A'!$J$12+$G$20)&gt;=$F$20,"yes","no")))</f>
        <v>yes</v>
      </c>
      <c r="L30" s="82" t="str">
        <f ca="1">IF(L14&lt;&gt;0,"no",IF(L25="yes","yes",IF((L16-L$19)/('Series A'!$C$14+'Series A'!$J$12+$G$20)&gt;=$F$20,"yes","no")))</f>
        <v>yes</v>
      </c>
      <c r="M30" s="82" t="str">
        <f ca="1">IF(M14&lt;&gt;0,"no",IF(M25="yes","yes",IF((M16-M$19)/('Series A'!$C$14+'Series A'!$J$12+$G$20)&gt;=$F$20,"yes","no")))</f>
        <v>yes</v>
      </c>
      <c r="N30" s="82" t="str">
        <f ca="1">IF(N14&lt;&gt;0,"no",IF(N25="yes","yes",IF((N16-N$19)/('Series A'!$C$14+'Series A'!$J$12+$G$20)&gt;=$F$20,"yes","no")))</f>
        <v>yes</v>
      </c>
      <c r="O30" s="82" t="str">
        <f ca="1">IF(O14&lt;&gt;0,"no",IF(O25="yes","yes",IF((O16-O$19)/('Series A'!$C$14+'Series A'!$J$12+$G$20)&gt;=$F$20,"yes","no")))</f>
        <v>yes</v>
      </c>
      <c r="P30" s="82" t="str">
        <f ca="1">IF(P14&lt;&gt;0,"no",IF(P25="yes","yes",IF((P16-P$19)/('Series A'!$C$14+'Series A'!$J$12+$G$20)&gt;=$F$20,"yes","no")))</f>
        <v>yes</v>
      </c>
      <c r="Q30" s="82" t="str">
        <f ca="1">IF(Q14&lt;&gt;0,"no",IF(Q25="yes","yes",IF((Q16-Q$19)/('Series A'!$C$14+'Series A'!$J$12+$G$20)&gt;=$F$20,"yes","no")))</f>
        <v>yes</v>
      </c>
      <c r="R30" s="82" t="str">
        <f ca="1">IF(R14&lt;&gt;0,"no",IF(R25="yes","yes",IF((R16-R$19)/('Series A'!$C$14+'Series A'!$J$12+$G$20)&gt;=$F$20,"yes","no")))</f>
        <v>yes</v>
      </c>
      <c r="S30" s="82" t="str">
        <f ca="1">IF(S14&lt;&gt;0,"no",IF(S25="yes","yes",IF((S16-S$19)/('Series A'!$C$14+'Series A'!$J$12+$G$20)&gt;=$F$20,"yes","no")))</f>
        <v>yes</v>
      </c>
      <c r="T30" s="82" t="str">
        <f ca="1">IF(T14&lt;&gt;0,"no",IF(T25="yes","yes",IF((T16-T$19)/('Series A'!$C$14+'Series A'!$J$12+$G$20)&gt;=$F$20,"yes","no")))</f>
        <v>yes</v>
      </c>
      <c r="U30" s="82" t="str">
        <f ca="1">IF(U14&lt;&gt;0,"no",IF(U25="yes","yes",IF((U16-U$19)/('Series A'!$C$14+'Series A'!$J$12+$G$20)&gt;=$F$20,"yes","no")))</f>
        <v>yes</v>
      </c>
      <c r="V30" s="82" t="str">
        <f ca="1">IF(V14&lt;&gt;0,"no",IF(V25="yes","yes",IF((V16-V$19)/('Series A'!$C$14+'Series A'!$J$12+$G$20)&gt;=$F$20,"yes","no")))</f>
        <v>yes</v>
      </c>
      <c r="W30" s="82" t="str">
        <f ca="1">IF(W14&lt;&gt;0,"no",IF(W25="yes","yes",IF((W16-W$19)/('Series A'!$C$14+'Series A'!$J$12+$G$20)&gt;=$F$20,"yes","no")))</f>
        <v>yes</v>
      </c>
      <c r="X30" s="82" t="str">
        <f ca="1">IF(X14&lt;&gt;0,"no",IF(X25="yes","yes",IF((X16-X$19)/('Series A'!$C$14+'Series A'!$J$12+$G$20)&gt;=$F$20,"yes","no")))</f>
        <v>yes</v>
      </c>
    </row>
    <row r="31" spans="1:24" x14ac:dyDescent="0.2">
      <c r="A31" s="1" t="s">
        <v>68</v>
      </c>
      <c r="B31" s="1" t="s">
        <v>121</v>
      </c>
      <c r="C31" s="1"/>
      <c r="D31" s="1"/>
      <c r="E31" s="1"/>
      <c r="F31" s="1"/>
      <c r="G31" s="1"/>
      <c r="H31" s="1"/>
      <c r="I31" s="81">
        <f ca="1">+IF(I14=0,IF(I30="yes",0,I$20),$H$20*I16)</f>
        <v>9824999.3054000009</v>
      </c>
      <c r="J31" s="81">
        <f ca="1">+IF(J14=0,IF(J30="yes",0,J$20),$H$20*J16)</f>
        <v>9824999.3054000009</v>
      </c>
      <c r="K31" s="81">
        <f ca="1">+IF(K14=0,IF(K30="yes",0,K$20),$H$20*K16)</f>
        <v>0</v>
      </c>
      <c r="L31" s="81">
        <f ca="1">+IF(L14=0,IF(L30="yes",0,L$20),$H$20*L16)</f>
        <v>0</v>
      </c>
      <c r="M31" s="81">
        <f ca="1">+IF(M14=0,IF(M30="yes",0,M$20),$H$20*M16)</f>
        <v>0</v>
      </c>
      <c r="N31" s="81">
        <f ca="1">+IF(N14=0,IF(N30="yes",0,N$20),$H$20*N16)</f>
        <v>0</v>
      </c>
      <c r="O31" s="81">
        <f ca="1">+IF(O14=0,IF(O30="yes",0,O$20),$H$20*O16)</f>
        <v>0</v>
      </c>
      <c r="P31" s="81">
        <f ca="1">+IF(P14=0,IF(P30="yes",0,P$20),$H$20*P16)</f>
        <v>0</v>
      </c>
      <c r="Q31" s="81">
        <f ca="1">+IF(Q14=0,IF(Q30="yes",0,Q$20),$H$20*Q16)</f>
        <v>0</v>
      </c>
      <c r="R31" s="81">
        <f ca="1">+IF(R14=0,IF(R30="yes",0,R$20),$H$20*R16)</f>
        <v>0</v>
      </c>
      <c r="S31" s="81">
        <f ca="1">+IF(S14=0,IF(S30="yes",0,S$20),$H$20*S16)</f>
        <v>0</v>
      </c>
      <c r="T31" s="81">
        <f ca="1">+IF(T14=0,IF(T30="yes",0,T$20),$H$20*T16)</f>
        <v>0</v>
      </c>
      <c r="U31" s="81">
        <f ca="1">+IF(U14=0,IF(U30="yes",0,U$20),$H$20*U16)</f>
        <v>0</v>
      </c>
      <c r="V31" s="81">
        <f ca="1">+IF(V14=0,IF(V30="yes",0,V$20),$H$20*V16)</f>
        <v>0</v>
      </c>
      <c r="W31" s="81">
        <f ca="1">+IF(W14=0,IF(W30="yes",0,W$20),$H$20*W16)</f>
        <v>0</v>
      </c>
      <c r="X31" s="81">
        <f ca="1">+IF(X14=0,IF(X30="yes",0,X$20),$H$20*X16)</f>
        <v>0</v>
      </c>
    </row>
    <row r="32" spans="1:24" x14ac:dyDescent="0.2">
      <c r="A32" s="1" t="s">
        <v>68</v>
      </c>
      <c r="B32" s="1" t="s">
        <v>122</v>
      </c>
      <c r="C32" s="1"/>
      <c r="D32" s="1"/>
      <c r="E32" s="1"/>
      <c r="F32" s="1"/>
      <c r="G32" s="1"/>
      <c r="H32" s="1"/>
      <c r="I32" s="83">
        <f ca="1">+I31/$G$20</f>
        <v>4.1246</v>
      </c>
      <c r="J32" s="83">
        <f ca="1">+J31/$G$20</f>
        <v>4.1246</v>
      </c>
      <c r="K32" s="83">
        <f ca="1">+K31/$G$20</f>
        <v>0</v>
      </c>
      <c r="L32" s="83">
        <f ca="1">+L31/$G$20</f>
        <v>0</v>
      </c>
      <c r="M32" s="83">
        <f ca="1">+M31/$G$20</f>
        <v>0</v>
      </c>
      <c r="N32" s="83">
        <f ca="1">+N31/$G$20</f>
        <v>0</v>
      </c>
      <c r="O32" s="83">
        <f ca="1">+O31/$G$20</f>
        <v>0</v>
      </c>
      <c r="P32" s="83">
        <f ca="1">+P31/$G$20</f>
        <v>0</v>
      </c>
      <c r="Q32" s="83">
        <f ca="1">+Q31/$G$20</f>
        <v>0</v>
      </c>
      <c r="R32" s="83">
        <f ca="1">+R31/$G$20</f>
        <v>0</v>
      </c>
      <c r="S32" s="83">
        <f ca="1">+S31/$G$20</f>
        <v>0</v>
      </c>
      <c r="T32" s="83">
        <f ca="1">+T31/$G$20</f>
        <v>0</v>
      </c>
      <c r="U32" s="83">
        <f ca="1">+U31/$G$20</f>
        <v>0</v>
      </c>
      <c r="V32" s="83">
        <f ca="1">+V31/$G$20</f>
        <v>0</v>
      </c>
      <c r="W32" s="83">
        <f ca="1">+W31/$G$20</f>
        <v>0</v>
      </c>
      <c r="X32" s="83">
        <f ca="1">+X31/$G$20</f>
        <v>0</v>
      </c>
    </row>
    <row r="33" spans="1:24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2">
      <c r="A39" s="1"/>
      <c r="B39" s="1" t="s">
        <v>123</v>
      </c>
      <c r="C39" s="1"/>
      <c r="D39" s="1"/>
      <c r="E39" s="1"/>
      <c r="F39" s="1"/>
      <c r="G39" s="1"/>
      <c r="H39" s="1"/>
      <c r="I39" s="81">
        <f ca="1">+I16-I26-I31</f>
        <v>19424998.799400002</v>
      </c>
      <c r="J39" s="81">
        <f ca="1">+J16-J26-J31</f>
        <v>39124998.799400002</v>
      </c>
      <c r="K39" s="81">
        <f ca="1">+K16-K26-K31</f>
        <v>88650000</v>
      </c>
      <c r="L39" s="81">
        <f ca="1">+L16-L26-L31</f>
        <v>108350000</v>
      </c>
      <c r="M39" s="81">
        <f ca="1">+M16-M26-M31</f>
        <v>128050000</v>
      </c>
      <c r="N39" s="81">
        <f ca="1">+N16-N26-N31</f>
        <v>147750000</v>
      </c>
      <c r="O39" s="81">
        <f ca="1">+O16-O26-O31</f>
        <v>167450000</v>
      </c>
      <c r="P39" s="81">
        <f ca="1">+P16-P26-P31</f>
        <v>187150000</v>
      </c>
      <c r="Q39" s="81">
        <f ca="1">+Q16-Q26-Q31</f>
        <v>206850000</v>
      </c>
      <c r="R39" s="81">
        <f ca="1">+R16-R26-R31</f>
        <v>226550000</v>
      </c>
      <c r="S39" s="81">
        <f ca="1">+S16-S26-S31</f>
        <v>246250000</v>
      </c>
      <c r="T39" s="81">
        <f ca="1">+T16-T26-T31</f>
        <v>265950000</v>
      </c>
      <c r="U39" s="81">
        <f ca="1">+U16-U26-U31</f>
        <v>285650000</v>
      </c>
      <c r="V39" s="81">
        <f ca="1">+V16-V26-V31</f>
        <v>305350000</v>
      </c>
      <c r="W39" s="81">
        <f ca="1">+W16-W26-W31</f>
        <v>325050000</v>
      </c>
      <c r="X39" s="81">
        <f ca="1">+X16-X26-X31</f>
        <v>344750000</v>
      </c>
    </row>
    <row r="40" spans="1:24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2">
      <c r="A41" s="1"/>
      <c r="B41" s="30" t="s">
        <v>124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2">
      <c r="A42" s="1"/>
      <c r="B42" s="1" t="s">
        <v>125</v>
      </c>
      <c r="C42" s="1"/>
      <c r="D42" s="1"/>
      <c r="E42" s="1"/>
      <c r="F42" s="1"/>
      <c r="G42" s="1"/>
      <c r="H42" s="1"/>
      <c r="I42" s="86">
        <f ca="1">'Series A'!$C$14+'Series A'!$J$12+IF(I25="yes",$G$19,0)+IF(I30="yes",$G$20,0)</f>
        <v>11530110</v>
      </c>
      <c r="J42" s="86">
        <f ca="1">'Series A'!$C$14+'Series A'!$J$12+IF(J25="yes",$G$19,0)+IF(J30="yes",$G$20,0)</f>
        <v>11530110</v>
      </c>
      <c r="K42" s="86">
        <f ca="1">'Series A'!$C$14+'Series A'!$J$12+IF(K25="yes",$G$19,0)+IF(K30="yes",$G$20,0)</f>
        <v>18549518</v>
      </c>
      <c r="L42" s="86">
        <f ca="1">'Series A'!$C$14+'Series A'!$J$12+IF(L25="yes",$G$19,0)+IF(L30="yes",$G$20,0)</f>
        <v>18549518</v>
      </c>
      <c r="M42" s="86">
        <f ca="1">'Series A'!$C$14+'Series A'!$J$12+IF(M25="yes",$G$19,0)+IF(M30="yes",$G$20,0)</f>
        <v>18549518</v>
      </c>
      <c r="N42" s="86">
        <f ca="1">'Series A'!$C$14+'Series A'!$J$12+IF(N25="yes",$G$19,0)+IF(N30="yes",$G$20,0)</f>
        <v>18549518</v>
      </c>
      <c r="O42" s="86">
        <f ca="1">'Series A'!$C$14+'Series A'!$J$12+IF(O25="yes",$G$19,0)+IF(O30="yes",$G$20,0)</f>
        <v>18549518</v>
      </c>
      <c r="P42" s="86">
        <f ca="1">'Series A'!$C$14+'Series A'!$J$12+IF(P25="yes",$G$19,0)+IF(P30="yes",$G$20,0)</f>
        <v>18549518</v>
      </c>
      <c r="Q42" s="86">
        <f ca="1">'Series A'!$C$14+'Series A'!$J$12+IF(Q25="yes",$G$19,0)+IF(Q30="yes",$G$20,0)</f>
        <v>18549518</v>
      </c>
      <c r="R42" s="86">
        <f ca="1">'Series A'!$C$14+'Series A'!$J$12+IF(R25="yes",$G$19,0)+IF(R30="yes",$G$20,0)</f>
        <v>18549518</v>
      </c>
      <c r="S42" s="86">
        <f ca="1">'Series A'!$C$14+'Series A'!$J$12+IF(S25="yes",$G$19,0)+IF(S30="yes",$G$20,0)</f>
        <v>18549518</v>
      </c>
      <c r="T42" s="86">
        <f ca="1">'Series A'!$C$14+'Series A'!$J$12+IF(T25="yes",$G$19,0)+IF(T30="yes",$G$20,0)</f>
        <v>18549518</v>
      </c>
      <c r="U42" s="86">
        <f ca="1">'Series A'!$C$14+'Series A'!$J$12+IF(U25="yes",$G$19,0)+IF(U30="yes",$G$20,0)</f>
        <v>18549518</v>
      </c>
      <c r="V42" s="86">
        <f ca="1">'Series A'!$C$14+'Series A'!$J$12+IF(V25="yes",$G$19,0)+IF(V30="yes",$G$20,0)</f>
        <v>18549518</v>
      </c>
      <c r="W42" s="86">
        <f ca="1">'Series A'!$C$14+'Series A'!$J$12+IF(W25="yes",$G$19,0)+IF(W30="yes",$G$20,0)</f>
        <v>18549518</v>
      </c>
      <c r="X42" s="86">
        <f ca="1">'Series A'!$C$14+'Series A'!$J$12+IF(X25="yes",$G$19,0)+IF(X30="yes",$G$20,0)</f>
        <v>18549518</v>
      </c>
    </row>
    <row r="43" spans="1:24" x14ac:dyDescent="0.2">
      <c r="A43" s="1"/>
      <c r="B43" s="1" t="s">
        <v>126</v>
      </c>
      <c r="C43" s="1"/>
      <c r="D43" s="1"/>
      <c r="E43" s="1"/>
      <c r="F43" s="1"/>
      <c r="G43" s="1"/>
      <c r="H43" s="1"/>
      <c r="I43" s="83">
        <f ca="1">+IFERROR(I39/I42,0)</f>
        <v>1.6847192957742816</v>
      </c>
      <c r="J43" s="83">
        <f ca="1">+IFERROR(J39/J42,0)</f>
        <v>3.3932892920709343</v>
      </c>
      <c r="K43" s="83">
        <f ca="1">+IFERROR(K39/K42,0)</f>
        <v>4.7790999205478011</v>
      </c>
      <c r="L43" s="83">
        <f ca="1">+IFERROR(L39/L42,0)</f>
        <v>5.8411221251139791</v>
      </c>
      <c r="M43" s="83">
        <f ca="1">+IFERROR(M39/M42,0)</f>
        <v>6.9031443296801562</v>
      </c>
      <c r="N43" s="83">
        <f ca="1">+IFERROR(N39/N42,0)</f>
        <v>7.9651665342463343</v>
      </c>
      <c r="O43" s="83">
        <f ca="1">+IFERROR(O39/O42,0)</f>
        <v>9.0271887388125123</v>
      </c>
      <c r="P43" s="83">
        <f ca="1">+IFERROR(P39/P42,0)</f>
        <v>10.08921094337869</v>
      </c>
      <c r="Q43" s="83">
        <f ca="1">+IFERROR(Q39/Q42,0)</f>
        <v>11.151233147944868</v>
      </c>
      <c r="R43" s="83">
        <f ca="1">+IFERROR(R39/R42,0)</f>
        <v>12.213255352511046</v>
      </c>
      <c r="S43" s="83">
        <f ca="1">+IFERROR(S39/S42,0)</f>
        <v>13.275277557077224</v>
      </c>
      <c r="T43" s="83">
        <f ca="1">+IFERROR(T39/T42,0)</f>
        <v>14.337299761643402</v>
      </c>
      <c r="U43" s="83">
        <f ca="1">+IFERROR(U39/U42,0)</f>
        <v>15.39932196620958</v>
      </c>
      <c r="V43" s="83">
        <f ca="1">+IFERROR(V39/V42,0)</f>
        <v>16.461344170775757</v>
      </c>
      <c r="W43" s="83">
        <f ca="1">+IFERROR(W39/W42,0)</f>
        <v>17.523366375341936</v>
      </c>
      <c r="X43" s="83">
        <f ca="1">+IFERROR(X39/X42,0)</f>
        <v>18.585388579908113</v>
      </c>
    </row>
    <row r="44" spans="1:24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x14ac:dyDescent="0.2">
      <c r="A45" s="1"/>
      <c r="B45" s="30" t="s">
        <v>127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x14ac:dyDescent="0.2">
      <c r="A46" s="1" t="s">
        <v>143</v>
      </c>
      <c r="B46" s="1" t="s">
        <v>3</v>
      </c>
      <c r="C46" s="1"/>
      <c r="D46" s="1"/>
      <c r="E46" s="1"/>
      <c r="F46" s="1"/>
      <c r="G46" s="1"/>
      <c r="H46" s="1"/>
      <c r="I46" s="83">
        <f ca="1">+IF(I25="yes",I43,I27)</f>
        <v>4.3128000000000002</v>
      </c>
      <c r="J46" s="83">
        <f ca="1">+IF(J25="yes",J43,J27)</f>
        <v>4.3128000000000002</v>
      </c>
      <c r="K46" s="83">
        <f ca="1">+IF(K25="yes",K43,K27)</f>
        <v>4.7790999205478011</v>
      </c>
      <c r="L46" s="83">
        <f ca="1">+IF(L25="yes",L43,L27)</f>
        <v>5.8411221251139791</v>
      </c>
      <c r="M46" s="83">
        <f ca="1">+IF(M25="yes",M43,M27)</f>
        <v>6.9031443296801562</v>
      </c>
      <c r="N46" s="83">
        <f ca="1">+IF(N25="yes",N43,N27)</f>
        <v>7.9651665342463343</v>
      </c>
      <c r="O46" s="83">
        <f ca="1">+IF(O25="yes",O43,O27)</f>
        <v>9.0271887388125123</v>
      </c>
      <c r="P46" s="83">
        <f ca="1">+IF(P25="yes",P43,P27)</f>
        <v>10.08921094337869</v>
      </c>
      <c r="Q46" s="83">
        <f ca="1">+IF(Q25="yes",Q43,Q27)</f>
        <v>11.151233147944868</v>
      </c>
      <c r="R46" s="83">
        <f ca="1">+IF(R25="yes",R43,R27)</f>
        <v>12.213255352511046</v>
      </c>
      <c r="S46" s="83">
        <f ca="1">+IF(S25="yes",S43,S27)</f>
        <v>13.275277557077224</v>
      </c>
      <c r="T46" s="83">
        <f ca="1">+IF(T25="yes",T43,T27)</f>
        <v>14.337299761643402</v>
      </c>
      <c r="U46" s="83">
        <f ca="1">+IF(U25="yes",U43,U27)</f>
        <v>15.39932196620958</v>
      </c>
      <c r="V46" s="83">
        <f ca="1">+IF(V25="yes",V43,V27)</f>
        <v>16.461344170775757</v>
      </c>
      <c r="W46" s="83">
        <f ca="1">+IF(W25="yes",W43,W27)</f>
        <v>17.523366375341936</v>
      </c>
      <c r="X46" s="83">
        <f ca="1">+IF(X25="yes",X43,X27)</f>
        <v>18.585388579908113</v>
      </c>
    </row>
    <row r="47" spans="1:24" x14ac:dyDescent="0.2">
      <c r="A47" s="1" t="s">
        <v>68</v>
      </c>
      <c r="B47" s="1" t="s">
        <v>2</v>
      </c>
      <c r="C47" s="1"/>
      <c r="D47" s="1"/>
      <c r="E47" s="1"/>
      <c r="F47" s="1"/>
      <c r="G47" s="1"/>
      <c r="H47" s="1"/>
      <c r="I47" s="83">
        <f ca="1">+IF(I30="yes",I43,I32)</f>
        <v>4.1246</v>
      </c>
      <c r="J47" s="83">
        <f ca="1">+IF(J30="yes",J43,J32)</f>
        <v>4.1246</v>
      </c>
      <c r="K47" s="83">
        <f ca="1">+IF(K30="yes",K43,K32)</f>
        <v>4.7790999205478011</v>
      </c>
      <c r="L47" s="83">
        <f ca="1">+IF(L30="yes",L43,L32)</f>
        <v>5.8411221251139791</v>
      </c>
      <c r="M47" s="83">
        <f ca="1">+IF(M30="yes",M43,M32)</f>
        <v>6.9031443296801562</v>
      </c>
      <c r="N47" s="83">
        <f ca="1">+IF(N30="yes",N43,N32)</f>
        <v>7.9651665342463343</v>
      </c>
      <c r="O47" s="83">
        <f ca="1">+IF(O30="yes",O43,O32)</f>
        <v>9.0271887388125123</v>
      </c>
      <c r="P47" s="83">
        <f ca="1">+IF(P30="yes",P43,P32)</f>
        <v>10.08921094337869</v>
      </c>
      <c r="Q47" s="83">
        <f ca="1">+IF(Q30="yes",Q43,Q32)</f>
        <v>11.151233147944868</v>
      </c>
      <c r="R47" s="83">
        <f ca="1">+IF(R30="yes",R43,R32)</f>
        <v>12.213255352511046</v>
      </c>
      <c r="S47" s="83">
        <f ca="1">+IF(S30="yes",S43,S32)</f>
        <v>13.275277557077224</v>
      </c>
      <c r="T47" s="83">
        <f ca="1">+IF(T30="yes",T43,T32)</f>
        <v>14.337299761643402</v>
      </c>
      <c r="U47" s="83">
        <f ca="1">+IF(U30="yes",U43,U32)</f>
        <v>15.39932196620958</v>
      </c>
      <c r="V47" s="83">
        <f ca="1">+IF(V30="yes",V43,V32)</f>
        <v>16.461344170775757</v>
      </c>
      <c r="W47" s="83">
        <f ca="1">+IF(W30="yes",W43,W32)</f>
        <v>17.523366375341936</v>
      </c>
      <c r="X47" s="83">
        <f ca="1">+IF(X30="yes",X43,X32)</f>
        <v>18.585388579908113</v>
      </c>
    </row>
    <row r="48" spans="1:24" x14ac:dyDescent="0.2">
      <c r="A48" s="1"/>
      <c r="B48" s="1" t="s">
        <v>128</v>
      </c>
      <c r="C48" s="1"/>
      <c r="D48" s="1"/>
      <c r="E48" s="1"/>
      <c r="F48" s="1"/>
      <c r="G48" s="1"/>
      <c r="H48" s="1"/>
      <c r="I48" s="83">
        <f ca="1">+I43</f>
        <v>1.6847192957742816</v>
      </c>
      <c r="J48" s="83">
        <f ca="1">+J43</f>
        <v>3.3932892920709343</v>
      </c>
      <c r="K48" s="83">
        <f ca="1">+K43</f>
        <v>4.7790999205478011</v>
      </c>
      <c r="L48" s="83">
        <f ca="1">+L43</f>
        <v>5.8411221251139791</v>
      </c>
      <c r="M48" s="83">
        <f ca="1">+M43</f>
        <v>6.9031443296801562</v>
      </c>
      <c r="N48" s="83">
        <f ca="1">+N43</f>
        <v>7.9651665342463343</v>
      </c>
      <c r="O48" s="83">
        <f ca="1">+O43</f>
        <v>9.0271887388125123</v>
      </c>
      <c r="P48" s="83">
        <f ca="1">+P43</f>
        <v>10.08921094337869</v>
      </c>
      <c r="Q48" s="83">
        <f ca="1">+Q43</f>
        <v>11.151233147944868</v>
      </c>
      <c r="R48" s="83">
        <f ca="1">+R43</f>
        <v>12.213255352511046</v>
      </c>
      <c r="S48" s="83">
        <f ca="1">+S43</f>
        <v>13.275277557077224</v>
      </c>
      <c r="T48" s="83">
        <f ca="1">+T43</f>
        <v>14.337299761643402</v>
      </c>
      <c r="U48" s="83">
        <f ca="1">+U43</f>
        <v>15.39932196620958</v>
      </c>
      <c r="V48" s="83">
        <f ca="1">+V43</f>
        <v>16.461344170775757</v>
      </c>
      <c r="W48" s="83">
        <f ca="1">+W43</f>
        <v>17.523366375341936</v>
      </c>
      <c r="X48" s="83">
        <f ca="1">+X43</f>
        <v>18.585388579908113</v>
      </c>
    </row>
    <row r="49" spans="1:24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x14ac:dyDescent="0.2">
      <c r="A50" s="1"/>
      <c r="B50" s="30" t="s">
        <v>129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x14ac:dyDescent="0.2">
      <c r="A51" s="1"/>
      <c r="B51" s="1" t="s">
        <v>3</v>
      </c>
      <c r="C51" s="1"/>
      <c r="D51" s="1"/>
      <c r="E51" s="1"/>
      <c r="F51" s="1"/>
      <c r="G51" s="1"/>
      <c r="H51" s="1"/>
      <c r="I51" s="77">
        <f ca="1">+I46*$G$19</f>
        <v>20000001.895199999</v>
      </c>
      <c r="J51" s="77">
        <f ca="1">+J46*$G$19</f>
        <v>20000001.895199999</v>
      </c>
      <c r="K51" s="77">
        <f ca="1">+K46*$G$19</f>
        <v>22162402.028451629</v>
      </c>
      <c r="L51" s="77">
        <f ca="1">+L46*$G$19</f>
        <v>27087380.256996438</v>
      </c>
      <c r="M51" s="77">
        <f ca="1">+M46*$G$19</f>
        <v>32012358.485541239</v>
      </c>
      <c r="N51" s="77">
        <f ca="1">+N46*$G$19</f>
        <v>36937336.714086048</v>
      </c>
      <c r="O51" s="77">
        <f ca="1">+O46*$G$19</f>
        <v>41862314.94263085</v>
      </c>
      <c r="P51" s="77">
        <f ca="1">+P46*$G$19</f>
        <v>46787293.171175659</v>
      </c>
      <c r="Q51" s="77">
        <f ca="1">+Q46*$G$19</f>
        <v>51712271.399720468</v>
      </c>
      <c r="R51" s="77">
        <f ca="1">+R46*$G$19</f>
        <v>56637249.628265277</v>
      </c>
      <c r="S51" s="77">
        <f ca="1">+S46*$G$19</f>
        <v>61562227.856810078</v>
      </c>
      <c r="T51" s="77">
        <f ca="1">+T46*$G$19</f>
        <v>66487206.085354887</v>
      </c>
      <c r="U51" s="77">
        <f ca="1">+U46*$G$19</f>
        <v>71412184.313899696</v>
      </c>
      <c r="V51" s="77">
        <f ca="1">+V46*$G$19</f>
        <v>76337162.542444497</v>
      </c>
      <c r="W51" s="77">
        <f ca="1">+W46*$G$19</f>
        <v>81262140.770989314</v>
      </c>
      <c r="X51" s="77">
        <f ca="1">+X46*$G$19</f>
        <v>86187118.9995341</v>
      </c>
    </row>
    <row r="52" spans="1:24" x14ac:dyDescent="0.2">
      <c r="A52" s="1"/>
      <c r="B52" s="1" t="s">
        <v>2</v>
      </c>
      <c r="C52" s="1"/>
      <c r="D52" s="1"/>
      <c r="E52" s="1"/>
      <c r="F52" s="1"/>
      <c r="G52" s="1"/>
      <c r="H52" s="1"/>
      <c r="I52" s="77">
        <f ca="1">+I47*$G$20</f>
        <v>9824999.3054000009</v>
      </c>
      <c r="J52" s="77">
        <f ca="1">+J47*$G$20</f>
        <v>9824999.3054000009</v>
      </c>
      <c r="K52" s="77">
        <f ca="1">+K47*$G$20</f>
        <v>11384050.186640969</v>
      </c>
      <c r="L52" s="77">
        <f ca="1">+L47*$G$20</f>
        <v>13913839.117005629</v>
      </c>
      <c r="M52" s="77">
        <f ca="1">+M47*$G$20</f>
        <v>16443628.047370287</v>
      </c>
      <c r="N52" s="77">
        <f ca="1">+N47*$G$20</f>
        <v>18973416.977734946</v>
      </c>
      <c r="O52" s="77">
        <f ca="1">+O47*$G$20</f>
        <v>21503205.908099607</v>
      </c>
      <c r="P52" s="77">
        <f ca="1">+P47*$G$20</f>
        <v>24032994.838464268</v>
      </c>
      <c r="Q52" s="77">
        <f ca="1">+Q47*$G$20</f>
        <v>26562783.768828925</v>
      </c>
      <c r="R52" s="77">
        <f ca="1">+R47*$G$20</f>
        <v>29092572.699193586</v>
      </c>
      <c r="S52" s="77">
        <f ca="1">+S47*$G$20</f>
        <v>31622361.629558247</v>
      </c>
      <c r="T52" s="77">
        <f ca="1">+T47*$G$20</f>
        <v>34152150.559922904</v>
      </c>
      <c r="U52" s="77">
        <f ca="1">+U47*$G$20</f>
        <v>36681939.490287565</v>
      </c>
      <c r="V52" s="77">
        <f ca="1">+V47*$G$20</f>
        <v>39211728.420652218</v>
      </c>
      <c r="W52" s="77">
        <f ca="1">+W47*$G$20</f>
        <v>41741517.351016887</v>
      </c>
      <c r="X52" s="77">
        <f ca="1">+X47*$G$20</f>
        <v>44271306.28138154</v>
      </c>
    </row>
    <row r="53" spans="1:24" x14ac:dyDescent="0.2">
      <c r="A53" s="1"/>
      <c r="B53" s="1" t="s">
        <v>128</v>
      </c>
      <c r="C53" s="1"/>
      <c r="D53" s="1"/>
      <c r="E53" s="1"/>
      <c r="F53" s="1"/>
      <c r="G53" s="1"/>
      <c r="H53" s="1"/>
      <c r="I53" s="77">
        <f ca="1">I48*('Series A'!$C$14+'Series A'!$J$12)</f>
        <v>19424998.799400002</v>
      </c>
      <c r="J53" s="77">
        <f ca="1">J48*('Series A'!$C$14+'Series A'!$J$12)</f>
        <v>39124998.799400002</v>
      </c>
      <c r="K53" s="77">
        <f ca="1">K48*('Series A'!$C$14+'Series A'!$J$12)</f>
        <v>55103547.784907408</v>
      </c>
      <c r="L53" s="77">
        <f ca="1">L48*('Series A'!$C$14+'Series A'!$J$12)</f>
        <v>67348780.625997946</v>
      </c>
      <c r="M53" s="77">
        <f ca="1">M48*('Series A'!$C$14+'Series A'!$J$12)</f>
        <v>79594013.467088461</v>
      </c>
      <c r="N53" s="77">
        <f ca="1">N48*('Series A'!$C$14+'Series A'!$J$12)</f>
        <v>91839246.308179006</v>
      </c>
      <c r="O53" s="77">
        <f ca="1">O48*('Series A'!$C$14+'Series A'!$J$12)</f>
        <v>104084479.14926954</v>
      </c>
      <c r="P53" s="77">
        <f ca="1">P48*('Series A'!$C$14+'Series A'!$J$12)</f>
        <v>116329711.99036007</v>
      </c>
      <c r="Q53" s="77">
        <f ca="1">Q48*('Series A'!$C$14+'Series A'!$J$12)</f>
        <v>128574944.83145061</v>
      </c>
      <c r="R53" s="77">
        <f ca="1">R48*('Series A'!$C$14+'Series A'!$J$12)</f>
        <v>140820177.67254114</v>
      </c>
      <c r="S53" s="77">
        <f ca="1">S48*('Series A'!$C$14+'Series A'!$J$12)</f>
        <v>153065410.51363167</v>
      </c>
      <c r="T53" s="77">
        <f ca="1">T48*('Series A'!$C$14+'Series A'!$J$12)</f>
        <v>165310643.3547222</v>
      </c>
      <c r="U53" s="77">
        <f ca="1">U48*('Series A'!$C$14+'Series A'!$J$12)</f>
        <v>177555876.19581273</v>
      </c>
      <c r="V53" s="77">
        <f ca="1">V48*('Series A'!$C$14+'Series A'!$J$12)</f>
        <v>189801109.03690326</v>
      </c>
      <c r="W53" s="77">
        <f ca="1">W48*('Series A'!$C$14+'Series A'!$J$12)</f>
        <v>202046341.87799382</v>
      </c>
      <c r="X53" s="77">
        <f ca="1">X48*('Series A'!$C$14+'Series A'!$J$12)</f>
        <v>214291574.71908432</v>
      </c>
    </row>
    <row r="54" spans="1:24" x14ac:dyDescent="0.2">
      <c r="A54" s="1"/>
      <c r="B54" s="1"/>
      <c r="C54" s="1"/>
      <c r="D54" s="1"/>
      <c r="E54" s="1"/>
      <c r="F54" s="1"/>
      <c r="G54" s="1"/>
      <c r="H54" s="1"/>
      <c r="I54" s="85">
        <f ca="1">+SUM(I51:I53)-I16</f>
        <v>0</v>
      </c>
      <c r="J54" s="85">
        <f ca="1">+SUM(J51:J53)-J16</f>
        <v>0</v>
      </c>
      <c r="K54" s="85">
        <f ca="1">+SUM(K51:K53)-K16</f>
        <v>0</v>
      </c>
      <c r="L54" s="85">
        <f ca="1">+SUM(L51:L53)-L16</f>
        <v>0</v>
      </c>
      <c r="M54" s="85">
        <f ca="1">+SUM(M51:M53)-M16</f>
        <v>0</v>
      </c>
      <c r="N54" s="85">
        <f ca="1">+SUM(N51:N53)-N16</f>
        <v>0</v>
      </c>
      <c r="O54" s="85">
        <f ca="1">+SUM(O51:O53)-O16</f>
        <v>0</v>
      </c>
      <c r="P54" s="85">
        <f ca="1">+SUM(P51:P53)-P16</f>
        <v>0</v>
      </c>
      <c r="Q54" s="85">
        <f ca="1">+SUM(Q51:Q53)-Q16</f>
        <v>0</v>
      </c>
      <c r="R54" s="85">
        <f ca="1">+SUM(R51:R53)-R16</f>
        <v>0</v>
      </c>
      <c r="S54" s="85">
        <f ca="1">+SUM(S51:S53)-S16</f>
        <v>0</v>
      </c>
      <c r="T54" s="85">
        <f ca="1">+SUM(T51:T53)-T16</f>
        <v>0</v>
      </c>
      <c r="U54" s="85">
        <f ca="1">+SUM(U51:U53)-U16</f>
        <v>0</v>
      </c>
      <c r="V54" s="85">
        <f ca="1">+SUM(V51:V53)-V16</f>
        <v>0</v>
      </c>
      <c r="W54" s="85">
        <f ca="1">+SUM(W51:W53)-W16</f>
        <v>0</v>
      </c>
      <c r="X54" s="85">
        <f ca="1">+SUM(X51:X53)-X16</f>
        <v>0</v>
      </c>
    </row>
    <row r="55" spans="1:24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ht="13.5" customHeight="1" x14ac:dyDescent="0.2">
      <c r="A56" s="1"/>
      <c r="B56" s="30" t="s">
        <v>130</v>
      </c>
      <c r="C56" s="1"/>
      <c r="D56" s="1"/>
      <c r="E56" s="1"/>
      <c r="F56" s="1"/>
      <c r="G56" s="1"/>
      <c r="H56" s="1"/>
      <c r="I56" s="1" t="s">
        <v>8</v>
      </c>
      <c r="J56" s="1" t="s">
        <v>8</v>
      </c>
      <c r="K56" s="1" t="s">
        <v>8</v>
      </c>
      <c r="L56" s="1" t="s">
        <v>8</v>
      </c>
      <c r="M56" s="1" t="s">
        <v>8</v>
      </c>
      <c r="N56" s="1" t="s">
        <v>8</v>
      </c>
      <c r="O56" s="1" t="s">
        <v>8</v>
      </c>
      <c r="P56" s="1" t="s">
        <v>8</v>
      </c>
      <c r="Q56" s="1" t="s">
        <v>8</v>
      </c>
      <c r="R56" s="1" t="s">
        <v>8</v>
      </c>
      <c r="S56" s="1" t="s">
        <v>8</v>
      </c>
      <c r="T56" s="1" t="s">
        <v>8</v>
      </c>
      <c r="U56" s="1" t="s">
        <v>8</v>
      </c>
      <c r="V56" s="1" t="s">
        <v>8</v>
      </c>
      <c r="W56" s="1" t="s">
        <v>8</v>
      </c>
      <c r="X56" s="1" t="s">
        <v>8</v>
      </c>
    </row>
    <row r="57" spans="1:24" ht="13.5" customHeight="1" x14ac:dyDescent="0.2">
      <c r="A57" s="1"/>
      <c r="B57" s="1" t="s">
        <v>19</v>
      </c>
      <c r="C57" s="1"/>
      <c r="D57" s="1"/>
      <c r="E57" s="1"/>
      <c r="F57" s="1"/>
      <c r="G57" s="1"/>
      <c r="H57" s="1"/>
      <c r="I57" s="86">
        <f ca="1">(I$46*'Series A'!$H8)+(I$47*'Series A'!$E8)+(I$48*'Series A'!$C8)</f>
        <v>6064989.4647874134</v>
      </c>
      <c r="J57" s="86">
        <f ca="1">(J$46*'Series A'!$H8)+(J$47*'Series A'!$E8)+(J$48*'Series A'!$C8)</f>
        <v>12215841.451455364</v>
      </c>
      <c r="K57" s="86">
        <f ca="1">(K$46*'Series A'!$H8)+(K$47*'Series A'!$E8)+(K$48*'Series A'!$C8)</f>
        <v>17204759.713972084</v>
      </c>
      <c r="L57" s="86">
        <f ca="1">(L$46*'Series A'!$H8)+(L$47*'Series A'!$E8)+(L$48*'Series A'!$C8)</f>
        <v>21028039.650410324</v>
      </c>
      <c r="M57" s="86">
        <f ca="1">(M$46*'Series A'!$H8)+(M$47*'Series A'!$E8)+(M$48*'Series A'!$C8)</f>
        <v>24851319.586848561</v>
      </c>
      <c r="N57" s="86">
        <f ca="1">(N$46*'Series A'!$H8)+(N$47*'Series A'!$E8)+(N$48*'Series A'!$C8)</f>
        <v>28674599.523286805</v>
      </c>
      <c r="O57" s="86">
        <f ca="1">(O$46*'Series A'!$H8)+(O$47*'Series A'!$E8)+(O$48*'Series A'!$C8)</f>
        <v>32497879.459725045</v>
      </c>
      <c r="P57" s="86">
        <f ca="1">(P$46*'Series A'!$H8)+(P$47*'Series A'!$E8)+(P$48*'Series A'!$C8)</f>
        <v>36321159.396163285</v>
      </c>
      <c r="Q57" s="86">
        <f ca="1">(Q$46*'Series A'!$H8)+(Q$47*'Series A'!$E8)+(Q$48*'Series A'!$C8)</f>
        <v>40144439.332601525</v>
      </c>
      <c r="R57" s="86">
        <f ca="1">(R$46*'Series A'!$H8)+(R$47*'Series A'!$E8)+(R$48*'Series A'!$C8)</f>
        <v>43967719.269039765</v>
      </c>
      <c r="S57" s="86">
        <f ca="1">(S$46*'Series A'!$H8)+(S$47*'Series A'!$E8)+(S$48*'Series A'!$C8)</f>
        <v>47790999.205478005</v>
      </c>
      <c r="T57" s="86">
        <f ca="1">(T$46*'Series A'!$H8)+(T$47*'Series A'!$E8)+(T$48*'Series A'!$C8)</f>
        <v>51614279.141916245</v>
      </c>
      <c r="U57" s="86">
        <f ca="1">(U$46*'Series A'!$H8)+(U$47*'Series A'!$E8)+(U$48*'Series A'!$C8)</f>
        <v>55437559.078354493</v>
      </c>
      <c r="V57" s="86">
        <f ca="1">(V$46*'Series A'!$H8)+(V$47*'Series A'!$E8)+(V$48*'Series A'!$C8)</f>
        <v>59260839.014792725</v>
      </c>
      <c r="W57" s="86">
        <f ca="1">(W$46*'Series A'!$H8)+(W$47*'Series A'!$E8)+(W$48*'Series A'!$C8)</f>
        <v>63084118.951230973</v>
      </c>
      <c r="X57" s="86">
        <f ca="1">(X$46*'Series A'!$H8)+(X$47*'Series A'!$E8)+(X$48*'Series A'!$C8)</f>
        <v>66907398.887669206</v>
      </c>
    </row>
    <row r="58" spans="1:24" x14ac:dyDescent="0.2">
      <c r="A58" s="1"/>
      <c r="B58" s="1" t="s">
        <v>20</v>
      </c>
      <c r="C58" s="1"/>
      <c r="D58" s="1"/>
      <c r="E58" s="1"/>
      <c r="F58" s="1"/>
      <c r="G58" s="1"/>
      <c r="H58" s="1"/>
      <c r="I58" s="86">
        <f ca="1">(I$46*'Series A'!$H9)+(I$47*'Series A'!$E9)+(I$48*'Series A'!$C9)</f>
        <v>6064989.4647874134</v>
      </c>
      <c r="J58" s="86">
        <f ca="1">(J$46*'Series A'!$H9)+(J$47*'Series A'!$E9)+(J$48*'Series A'!$C9)</f>
        <v>12215841.451455364</v>
      </c>
      <c r="K58" s="86">
        <f ca="1">(K$46*'Series A'!$H9)+(K$47*'Series A'!$E9)+(K$48*'Series A'!$C9)</f>
        <v>17204759.713972084</v>
      </c>
      <c r="L58" s="86">
        <f ca="1">(L$46*'Series A'!$H9)+(L$47*'Series A'!$E9)+(L$48*'Series A'!$C9)</f>
        <v>21028039.650410324</v>
      </c>
      <c r="M58" s="86">
        <f ca="1">(M$46*'Series A'!$H9)+(M$47*'Series A'!$E9)+(M$48*'Series A'!$C9)</f>
        <v>24851319.586848561</v>
      </c>
      <c r="N58" s="86">
        <f ca="1">(N$46*'Series A'!$H9)+(N$47*'Series A'!$E9)+(N$48*'Series A'!$C9)</f>
        <v>28674599.523286805</v>
      </c>
      <c r="O58" s="86">
        <f ca="1">(O$46*'Series A'!$H9)+(O$47*'Series A'!$E9)+(O$48*'Series A'!$C9)</f>
        <v>32497879.459725045</v>
      </c>
      <c r="P58" s="86">
        <f ca="1">(P$46*'Series A'!$H9)+(P$47*'Series A'!$E9)+(P$48*'Series A'!$C9)</f>
        <v>36321159.396163285</v>
      </c>
      <c r="Q58" s="86">
        <f ca="1">(Q$46*'Series A'!$H9)+(Q$47*'Series A'!$E9)+(Q$48*'Series A'!$C9)</f>
        <v>40144439.332601525</v>
      </c>
      <c r="R58" s="86">
        <f ca="1">(R$46*'Series A'!$H9)+(R$47*'Series A'!$E9)+(R$48*'Series A'!$C9)</f>
        <v>43967719.269039765</v>
      </c>
      <c r="S58" s="86">
        <f ca="1">(S$46*'Series A'!$H9)+(S$47*'Series A'!$E9)+(S$48*'Series A'!$C9)</f>
        <v>47790999.205478005</v>
      </c>
      <c r="T58" s="86">
        <f ca="1">(T$46*'Series A'!$H9)+(T$47*'Series A'!$E9)+(T$48*'Series A'!$C9)</f>
        <v>51614279.141916245</v>
      </c>
      <c r="U58" s="86">
        <f ca="1">(U$46*'Series A'!$H9)+(U$47*'Series A'!$E9)+(U$48*'Series A'!$C9)</f>
        <v>55437559.078354493</v>
      </c>
      <c r="V58" s="86">
        <f ca="1">(V$46*'Series A'!$H9)+(V$47*'Series A'!$E9)+(V$48*'Series A'!$C9)</f>
        <v>59260839.014792725</v>
      </c>
      <c r="W58" s="86">
        <f ca="1">(W$46*'Series A'!$H9)+(W$47*'Series A'!$E9)+(W$48*'Series A'!$C9)</f>
        <v>63084118.951230973</v>
      </c>
      <c r="X58" s="86">
        <f ca="1">(X$46*'Series A'!$H9)+(X$47*'Series A'!$E9)+(X$48*'Series A'!$C9)</f>
        <v>66907398.887669206</v>
      </c>
    </row>
    <row r="59" spans="1:24" x14ac:dyDescent="0.2">
      <c r="A59" s="1"/>
      <c r="B59" s="1" t="s">
        <v>21</v>
      </c>
      <c r="C59" s="1"/>
      <c r="D59" s="1"/>
      <c r="E59" s="1"/>
      <c r="F59" s="1"/>
      <c r="G59" s="1"/>
      <c r="H59" s="1"/>
      <c r="I59" s="86">
        <f ca="1">(I$46*'Series A'!$H10)+(I$47*'Series A'!$E10)+(I$48*'Series A'!$C10)</f>
        <v>3779814.3106483333</v>
      </c>
      <c r="J59" s="86">
        <f ca="1">(J$46*'Series A'!$H10)+(J$47*'Series A'!$E10)+(J$48*'Series A'!$C10)</f>
        <v>7613139.7429295518</v>
      </c>
      <c r="K59" s="86">
        <f ca="1">(K$46*'Series A'!$H10)+(K$47*'Series A'!$E10)+(K$48*'Series A'!$C10)</f>
        <v>10722326.45344208</v>
      </c>
      <c r="L59" s="86">
        <f ca="1">(L$46*'Series A'!$H10)+(L$47*'Series A'!$E10)+(L$48*'Series A'!$C10)</f>
        <v>13105065.665318098</v>
      </c>
      <c r="M59" s="86">
        <f ca="1">(M$46*'Series A'!$H10)+(M$47*'Series A'!$E10)+(M$48*'Series A'!$C10)</f>
        <v>15487804.877194112</v>
      </c>
      <c r="N59" s="86">
        <f ca="1">(N$46*'Series A'!$H10)+(N$47*'Series A'!$E10)+(N$48*'Series A'!$C10)</f>
        <v>17870544.08907013</v>
      </c>
      <c r="O59" s="86">
        <f ca="1">(O$46*'Series A'!$H10)+(O$47*'Series A'!$E10)+(O$48*'Series A'!$C10)</f>
        <v>20253283.300946146</v>
      </c>
      <c r="P59" s="86">
        <f ca="1">(P$46*'Series A'!$H10)+(P$47*'Series A'!$E10)+(P$48*'Series A'!$C10)</f>
        <v>22636022.512822166</v>
      </c>
      <c r="Q59" s="86">
        <f ca="1">(Q$46*'Series A'!$H10)+(Q$47*'Series A'!$E10)+(Q$48*'Series A'!$C10)</f>
        <v>25018761.724698182</v>
      </c>
      <c r="R59" s="86">
        <f ca="1">(R$46*'Series A'!$H10)+(R$47*'Series A'!$E10)+(R$48*'Series A'!$C10)</f>
        <v>27401500.936574202</v>
      </c>
      <c r="S59" s="86">
        <f ca="1">(S$46*'Series A'!$H10)+(S$47*'Series A'!$E10)+(S$48*'Series A'!$C10)</f>
        <v>29784240.148450218</v>
      </c>
      <c r="T59" s="86">
        <f ca="1">(T$46*'Series A'!$H10)+(T$47*'Series A'!$E10)+(T$48*'Series A'!$C10)</f>
        <v>32166979.360326238</v>
      </c>
      <c r="U59" s="86">
        <f ca="1">(U$46*'Series A'!$H10)+(U$47*'Series A'!$E10)+(U$48*'Series A'!$C10)</f>
        <v>34549718.57220225</v>
      </c>
      <c r="V59" s="86">
        <f ca="1">(V$46*'Series A'!$H10)+(V$47*'Series A'!$E10)+(V$48*'Series A'!$C10)</f>
        <v>36932457.78407827</v>
      </c>
      <c r="W59" s="86">
        <f ca="1">(W$46*'Series A'!$H10)+(W$47*'Series A'!$E10)+(W$48*'Series A'!$C10)</f>
        <v>39315196.99595429</v>
      </c>
      <c r="X59" s="86">
        <f ca="1">(X$46*'Series A'!$H10)+(X$47*'Series A'!$E10)+(X$48*'Series A'!$C10)</f>
        <v>41697936.207830302</v>
      </c>
    </row>
    <row r="60" spans="1:24" x14ac:dyDescent="0.2">
      <c r="A60" s="1"/>
      <c r="B60" s="1" t="s">
        <v>22</v>
      </c>
      <c r="C60" s="1"/>
      <c r="D60" s="1"/>
      <c r="E60" s="1"/>
      <c r="F60" s="1"/>
      <c r="G60" s="1"/>
      <c r="H60" s="1"/>
      <c r="I60" s="86">
        <f ca="1">(I$46*'Series A'!$H11)+(I$47*'Series A'!$E11)+(I$48*'Series A'!$C11)</f>
        <v>390132.13204174617</v>
      </c>
      <c r="J60" s="86">
        <f ca="1">(J$46*'Series A'!$H11)+(J$47*'Series A'!$E11)+(J$48*'Series A'!$C11)</f>
        <v>785787.39465415839</v>
      </c>
      <c r="K60" s="86">
        <f ca="1">(K$46*'Series A'!$H11)+(K$47*'Series A'!$E11)+(K$48*'Series A'!$C11)</f>
        <v>1106700.9477011748</v>
      </c>
      <c r="L60" s="86">
        <f ca="1">(L$46*'Series A'!$H11)+(L$47*'Series A'!$E11)+(L$48*'Series A'!$C11)</f>
        <v>1352634.4916347694</v>
      </c>
      <c r="M60" s="86">
        <f ca="1">(M$46*'Series A'!$H11)+(M$47*'Series A'!$E11)+(M$48*'Series A'!$C11)</f>
        <v>1598568.0355683635</v>
      </c>
      <c r="N60" s="86">
        <f ca="1">(N$46*'Series A'!$H11)+(N$47*'Series A'!$E11)+(N$48*'Series A'!$C11)</f>
        <v>1844501.5795019579</v>
      </c>
      <c r="O60" s="86">
        <f ca="1">(O$46*'Series A'!$H11)+(O$47*'Series A'!$E11)+(O$48*'Series A'!$C11)</f>
        <v>2090435.1234355522</v>
      </c>
      <c r="P60" s="86">
        <f ca="1">(P$46*'Series A'!$H11)+(P$47*'Series A'!$E11)+(P$48*'Series A'!$C11)</f>
        <v>2336368.6673691468</v>
      </c>
      <c r="Q60" s="86">
        <f ca="1">(Q$46*'Series A'!$H11)+(Q$47*'Series A'!$E11)+(Q$48*'Series A'!$C11)</f>
        <v>2582302.211302741</v>
      </c>
      <c r="R60" s="86">
        <f ca="1">(R$46*'Series A'!$H11)+(R$47*'Series A'!$E11)+(R$48*'Series A'!$C11)</f>
        <v>2828235.7552363356</v>
      </c>
      <c r="S60" s="86">
        <f ca="1">(S$46*'Series A'!$H11)+(S$47*'Series A'!$E11)+(S$48*'Series A'!$C11)</f>
        <v>3074169.2991699297</v>
      </c>
      <c r="T60" s="86">
        <f ca="1">(T$46*'Series A'!$H11)+(T$47*'Series A'!$E11)+(T$48*'Series A'!$C11)</f>
        <v>3320102.8431035243</v>
      </c>
      <c r="U60" s="86">
        <f ca="1">(U$46*'Series A'!$H11)+(U$47*'Series A'!$E11)+(U$48*'Series A'!$C11)</f>
        <v>3566036.3870371189</v>
      </c>
      <c r="V60" s="86">
        <f ca="1">(V$46*'Series A'!$H11)+(V$47*'Series A'!$E11)+(V$48*'Series A'!$C11)</f>
        <v>3811969.9309707126</v>
      </c>
      <c r="W60" s="86">
        <f ca="1">(W$46*'Series A'!$H11)+(W$47*'Series A'!$E11)+(W$48*'Series A'!$C11)</f>
        <v>4057903.4749043076</v>
      </c>
      <c r="X60" s="86">
        <f ca="1">(X$46*'Series A'!$H11)+(X$47*'Series A'!$E11)+(X$48*'Series A'!$C11)</f>
        <v>4303837.0188379018</v>
      </c>
    </row>
    <row r="61" spans="1:24" x14ac:dyDescent="0.2">
      <c r="A61" s="1"/>
      <c r="B61" s="1" t="s">
        <v>23</v>
      </c>
      <c r="C61" s="1"/>
      <c r="D61" s="1"/>
      <c r="E61" s="1"/>
      <c r="F61" s="1"/>
      <c r="G61" s="1"/>
      <c r="H61" s="1"/>
      <c r="I61" s="86">
        <f ca="1">(I$46*'Series A'!$H12)+(I$47*'Series A'!$E12)+(I$48*('Series A'!$C12+'Series A'!$J12))</f>
        <v>3125073.427135095</v>
      </c>
      <c r="J61" s="86">
        <f ca="1">(J$46*'Series A'!$H12)+(J$47*'Series A'!$E12)+(J$48*('Series A'!$C12+'Series A'!$J12))</f>
        <v>6294388.7589055635</v>
      </c>
      <c r="K61" s="86">
        <f ca="1">(K$46*'Series A'!$H12)+(K$47*'Series A'!$E12)+(K$48*('Series A'!$C12+'Series A'!$J12))</f>
        <v>8865000.9558199849</v>
      </c>
      <c r="L61" s="86">
        <f ca="1">(L$46*'Series A'!$H12)+(L$47*'Series A'!$E12)+(L$48*('Series A'!$C12+'Series A'!$J12))</f>
        <v>10835001.168224426</v>
      </c>
      <c r="M61" s="86">
        <f ca="1">(M$46*'Series A'!$H12)+(M$47*'Series A'!$E12)+(M$48*('Series A'!$C12+'Series A'!$J12))</f>
        <v>12805001.380628865</v>
      </c>
      <c r="N61" s="86">
        <f ca="1">(N$46*'Series A'!$H12)+(N$47*'Series A'!$E12)+(N$48*('Series A'!$C12+'Series A'!$J12))</f>
        <v>14775001.593033306</v>
      </c>
      <c r="O61" s="86">
        <f ca="1">(O$46*'Series A'!$H12)+(O$47*'Series A'!$E12)+(O$48*('Series A'!$C12+'Series A'!$J12))</f>
        <v>16745001.805437747</v>
      </c>
      <c r="P61" s="86">
        <f ca="1">(P$46*'Series A'!$H12)+(P$47*'Series A'!$E12)+(P$48*('Series A'!$C12+'Series A'!$J12))</f>
        <v>18715002.017842188</v>
      </c>
      <c r="Q61" s="86">
        <f ca="1">(Q$46*'Series A'!$H12)+(Q$47*'Series A'!$E12)+(Q$48*('Series A'!$C12+'Series A'!$J12))</f>
        <v>20685002.23024663</v>
      </c>
      <c r="R61" s="86">
        <f ca="1">(R$46*'Series A'!$H12)+(R$47*'Series A'!$E12)+(R$48*('Series A'!$C12+'Series A'!$J12))</f>
        <v>22655002.442651071</v>
      </c>
      <c r="S61" s="86">
        <f ca="1">(S$46*'Series A'!$H12)+(S$47*'Series A'!$E12)+(S$48*('Series A'!$C12+'Series A'!$J12))</f>
        <v>24625002.655055512</v>
      </c>
      <c r="T61" s="86">
        <f ca="1">(T$46*'Series A'!$H12)+(T$47*'Series A'!$E12)+(T$48*('Series A'!$C12+'Series A'!$J12))</f>
        <v>26595002.867459953</v>
      </c>
      <c r="U61" s="86">
        <f ca="1">(U$46*'Series A'!$H12)+(U$47*'Series A'!$E12)+(U$48*('Series A'!$C12+'Series A'!$J12))</f>
        <v>28565003.079864394</v>
      </c>
      <c r="V61" s="86">
        <f ca="1">(V$46*'Series A'!$H12)+(V$47*'Series A'!$E12)+(V$48*('Series A'!$C12+'Series A'!$J12))</f>
        <v>30535003.292268831</v>
      </c>
      <c r="W61" s="86">
        <f ca="1">(W$46*'Series A'!$H12)+(W$47*'Series A'!$E12)+(W$48*('Series A'!$C12+'Series A'!$J12))</f>
        <v>32505003.504673276</v>
      </c>
      <c r="X61" s="86">
        <f ca="1">(X$46*'Series A'!$H12)+(X$47*'Series A'!$E12)+(X$48*('Series A'!$C12+'Series A'!$J12))</f>
        <v>34475003.71707771</v>
      </c>
    </row>
    <row r="62" spans="1:24" x14ac:dyDescent="0.2">
      <c r="A62" s="1"/>
      <c r="B62" s="1" t="s">
        <v>26</v>
      </c>
      <c r="C62" s="1"/>
      <c r="D62" s="1"/>
      <c r="E62" s="1"/>
      <c r="F62" s="1"/>
      <c r="G62" s="1"/>
      <c r="H62" s="1"/>
      <c r="I62" s="86">
        <f ca="1">(I$46*'Series A'!$H16)+(I$47*'Series A'!$E16)+(I$48*'Series A'!$C16)</f>
        <v>13000001.4692</v>
      </c>
      <c r="J62" s="86">
        <f ca="1">(J$46*'Series A'!$H16)+(J$47*'Series A'!$E16)+(J$48*'Series A'!$C16)</f>
        <v>13000001.4692</v>
      </c>
      <c r="K62" s="86">
        <f ca="1">(K$46*'Series A'!$H16)+(K$47*'Series A'!$E16)+(K$48*'Series A'!$C16)</f>
        <v>14810057.883983832</v>
      </c>
      <c r="L62" s="86">
        <f ca="1">(L$46*'Series A'!$H16)+(L$47*'Series A'!$E16)+(L$48*'Series A'!$C16)</f>
        <v>18101181.858202461</v>
      </c>
      <c r="M62" s="86">
        <f ca="1">(M$46*'Series A'!$H16)+(M$47*'Series A'!$E16)+(M$48*'Series A'!$C16)</f>
        <v>21392305.832421087</v>
      </c>
      <c r="N62" s="86">
        <f ca="1">(N$46*'Series A'!$H16)+(N$47*'Series A'!$E16)+(N$48*'Series A'!$C16)</f>
        <v>24683429.806639716</v>
      </c>
      <c r="O62" s="86">
        <f ca="1">(O$46*'Series A'!$H16)+(O$47*'Series A'!$E16)+(O$48*'Series A'!$C16)</f>
        <v>27974553.780858349</v>
      </c>
      <c r="P62" s="86">
        <f ca="1">(P$46*'Series A'!$H16)+(P$47*'Series A'!$E16)+(P$48*'Series A'!$C16)</f>
        <v>31265677.755076978</v>
      </c>
      <c r="Q62" s="86">
        <f ca="1">(Q$46*'Series A'!$H16)+(Q$47*'Series A'!$E16)+(Q$48*'Series A'!$C16)</f>
        <v>34556801.729295611</v>
      </c>
      <c r="R62" s="86">
        <f ca="1">(R$46*'Series A'!$H16)+(R$47*'Series A'!$E16)+(R$48*'Series A'!$C16)</f>
        <v>37847925.703514233</v>
      </c>
      <c r="S62" s="86">
        <f ca="1">(S$46*'Series A'!$H16)+(S$47*'Series A'!$E16)+(S$48*'Series A'!$C16)</f>
        <v>41139049.67773287</v>
      </c>
      <c r="T62" s="86">
        <f ca="1">(T$46*'Series A'!$H16)+(T$47*'Series A'!$E16)+(T$48*'Series A'!$C16)</f>
        <v>44430173.651951499</v>
      </c>
      <c r="U62" s="86">
        <f ca="1">(U$46*'Series A'!$H16)+(U$47*'Series A'!$E16)+(U$48*'Series A'!$C16)</f>
        <v>47721297.626170129</v>
      </c>
      <c r="V62" s="86">
        <f ca="1">(V$46*'Series A'!$H16)+(V$47*'Series A'!$E16)+(V$48*'Series A'!$C16)</f>
        <v>51012421.60038875</v>
      </c>
      <c r="W62" s="86">
        <f ca="1">(W$46*'Series A'!$H16)+(W$47*'Series A'!$E16)+(W$48*'Series A'!$C16)</f>
        <v>54303545.574607387</v>
      </c>
      <c r="X62" s="86">
        <f ca="1">(X$46*'Series A'!$H16)+(X$47*'Series A'!$E16)+(X$48*'Series A'!$C16)</f>
        <v>57594669.548826009</v>
      </c>
    </row>
    <row r="63" spans="1:24" x14ac:dyDescent="0.2">
      <c r="A63" s="1"/>
      <c r="B63" s="1" t="s">
        <v>27</v>
      </c>
      <c r="C63" s="1"/>
      <c r="D63" s="1"/>
      <c r="E63" s="1"/>
      <c r="F63" s="1"/>
      <c r="G63" s="1"/>
      <c r="H63" s="1"/>
      <c r="I63" s="86">
        <f ca="1">(I$46*'Series A'!$H17)+(I$47*'Series A'!$E17)+(I$48*'Series A'!$C17)</f>
        <v>1824999.3881999999</v>
      </c>
      <c r="J63" s="86">
        <f ca="1">(J$46*'Series A'!$H17)+(J$47*'Series A'!$E17)+(J$48*'Series A'!$C17)</f>
        <v>1824999.3881999999</v>
      </c>
      <c r="K63" s="86">
        <f ca="1">(K$46*'Series A'!$H17)+(K$47*'Series A'!$E17)+(K$48*'Series A'!$C17)</f>
        <v>2114594.0045450241</v>
      </c>
      <c r="L63" s="86">
        <f ca="1">(L$46*'Series A'!$H17)+(L$47*'Series A'!$E17)+(L$48*'Series A'!$C17)</f>
        <v>2584503.783332807</v>
      </c>
      <c r="M63" s="86">
        <f ca="1">(M$46*'Series A'!$H17)+(M$47*'Series A'!$E17)+(M$48*'Series A'!$C17)</f>
        <v>3054413.5621205899</v>
      </c>
      <c r="N63" s="86">
        <f ca="1">(N$46*'Series A'!$H17)+(N$47*'Series A'!$E17)+(N$48*'Series A'!$C17)</f>
        <v>3524323.3409083728</v>
      </c>
      <c r="O63" s="86">
        <f ca="1">(O$46*'Series A'!$H17)+(O$47*'Series A'!$E17)+(O$48*'Series A'!$C17)</f>
        <v>3994233.1196961557</v>
      </c>
      <c r="P63" s="86">
        <f ca="1">(P$46*'Series A'!$H17)+(P$47*'Series A'!$E17)+(P$48*'Series A'!$C17)</f>
        <v>4464142.8984839385</v>
      </c>
      <c r="Q63" s="86">
        <f ca="1">(Q$46*'Series A'!$H17)+(Q$47*'Series A'!$E17)+(Q$48*'Series A'!$C17)</f>
        <v>4934052.6772717219</v>
      </c>
      <c r="R63" s="86">
        <f ca="1">(R$46*'Series A'!$H17)+(R$47*'Series A'!$E17)+(R$48*'Series A'!$C17)</f>
        <v>5403962.4560595052</v>
      </c>
      <c r="S63" s="86">
        <f ca="1">(S$46*'Series A'!$H17)+(S$47*'Series A'!$E17)+(S$48*'Series A'!$C17)</f>
        <v>5873872.2348472886</v>
      </c>
      <c r="T63" s="86">
        <f ca="1">(T$46*'Series A'!$H17)+(T$47*'Series A'!$E17)+(T$48*'Series A'!$C17)</f>
        <v>6343782.013635071</v>
      </c>
      <c r="U63" s="86">
        <f ca="1">(U$46*'Series A'!$H17)+(U$47*'Series A'!$E17)+(U$48*'Series A'!$C17)</f>
        <v>6813691.7924228543</v>
      </c>
      <c r="V63" s="86">
        <f ca="1">(V$46*'Series A'!$H17)+(V$47*'Series A'!$E17)+(V$48*'Series A'!$C17)</f>
        <v>7283601.5712106368</v>
      </c>
      <c r="W63" s="86">
        <f ca="1">(W$46*'Series A'!$H17)+(W$47*'Series A'!$E17)+(W$48*'Series A'!$C17)</f>
        <v>7753511.349998421</v>
      </c>
      <c r="X63" s="86">
        <f ca="1">(X$46*'Series A'!$H17)+(X$47*'Series A'!$E17)+(X$48*'Series A'!$C17)</f>
        <v>8223421.1287862025</v>
      </c>
    </row>
    <row r="64" spans="1:24" x14ac:dyDescent="0.2">
      <c r="A64" s="1"/>
      <c r="B64" s="1">
        <v>1011</v>
      </c>
      <c r="C64" s="1"/>
      <c r="D64" s="1"/>
      <c r="E64" s="1"/>
      <c r="F64" s="1"/>
      <c r="G64" s="1"/>
      <c r="H64" s="1"/>
      <c r="I64" s="86">
        <f ca="1">(I$46*'Series A'!$H18)+(I$47*'Series A'!$E18)+(I$48*'Series A'!$C18)</f>
        <v>11999999.412</v>
      </c>
      <c r="J64" s="86">
        <f ca="1">(J$46*'Series A'!$H18)+(J$47*'Series A'!$E18)+(J$48*'Series A'!$C18)</f>
        <v>11999999.412</v>
      </c>
      <c r="K64" s="86">
        <f ca="1">(K$46*'Series A'!$H18)+(K$47*'Series A'!$E18)+(K$48*'Series A'!$C18)</f>
        <v>13297439.30543101</v>
      </c>
      <c r="L64" s="86">
        <f ca="1">(L$46*'Series A'!$H18)+(L$47*'Series A'!$E18)+(L$48*'Series A'!$C18)</f>
        <v>16252425.817749012</v>
      </c>
      <c r="M64" s="86">
        <f ca="1">(M$46*'Series A'!$H18)+(M$47*'Series A'!$E18)+(M$48*'Series A'!$C18)</f>
        <v>19207412.330067012</v>
      </c>
      <c r="N64" s="86">
        <f ca="1">(N$46*'Series A'!$H18)+(N$47*'Series A'!$E18)+(N$48*'Series A'!$C18)</f>
        <v>22162398.842385013</v>
      </c>
      <c r="O64" s="86">
        <f ca="1">(O$46*'Series A'!$H18)+(O$47*'Series A'!$E18)+(O$48*'Series A'!$C18)</f>
        <v>25117385.354703017</v>
      </c>
      <c r="P64" s="86">
        <f ca="1">(P$46*'Series A'!$H18)+(P$47*'Series A'!$E18)+(P$48*'Series A'!$C18)</f>
        <v>28072371.867021017</v>
      </c>
      <c r="Q64" s="86">
        <f ca="1">(Q$46*'Series A'!$H18)+(Q$47*'Series A'!$E18)+(Q$48*'Series A'!$C18)</f>
        <v>31027358.379339021</v>
      </c>
      <c r="R64" s="86">
        <f ca="1">(R$46*'Series A'!$H18)+(R$47*'Series A'!$E18)+(R$48*'Series A'!$C18)</f>
        <v>33982344.891657025</v>
      </c>
      <c r="S64" s="86">
        <f ca="1">(S$46*'Series A'!$H18)+(S$47*'Series A'!$E18)+(S$48*'Series A'!$C18)</f>
        <v>36937331.403975025</v>
      </c>
      <c r="T64" s="86">
        <f ca="1">(T$46*'Series A'!$H18)+(T$47*'Series A'!$E18)+(T$48*'Series A'!$C18)</f>
        <v>39892317.916293025</v>
      </c>
      <c r="U64" s="86">
        <f ca="1">(U$46*'Series A'!$H18)+(U$47*'Series A'!$E18)+(U$48*'Series A'!$C18)</f>
        <v>42847304.428611033</v>
      </c>
      <c r="V64" s="86">
        <f ca="1">(V$46*'Series A'!$H18)+(V$47*'Series A'!$E18)+(V$48*'Series A'!$C18)</f>
        <v>45802290.940929025</v>
      </c>
      <c r="W64" s="86">
        <f ca="1">(W$46*'Series A'!$H18)+(W$47*'Series A'!$E18)+(W$48*'Series A'!$C18)</f>
        <v>48757277.453247033</v>
      </c>
      <c r="X64" s="86">
        <f ca="1">(X$46*'Series A'!$H18)+(X$47*'Series A'!$E18)+(X$48*'Series A'!$C18)</f>
        <v>51712263.965565033</v>
      </c>
    </row>
    <row r="65" spans="1:24" x14ac:dyDescent="0.2">
      <c r="A65" s="1"/>
      <c r="B65" s="1" t="s">
        <v>28</v>
      </c>
      <c r="C65" s="1"/>
      <c r="D65" s="1"/>
      <c r="E65" s="1"/>
      <c r="F65" s="1"/>
      <c r="G65" s="1"/>
      <c r="H65" s="1"/>
      <c r="I65" s="86">
        <f ca="1">(I$46*'Series A'!$H19)+(I$47*'Series A'!$E19)+(I$48*'Series A'!$C19)</f>
        <v>3000000.9312</v>
      </c>
      <c r="J65" s="86">
        <f ca="1">(J$46*'Series A'!$H19)+(J$47*'Series A'!$E19)+(J$48*'Series A'!$C19)</f>
        <v>3000000.9312</v>
      </c>
      <c r="K65" s="86">
        <f ca="1">(K$46*'Series A'!$H19)+(K$47*'Series A'!$E19)+(K$48*'Series A'!$C19)</f>
        <v>3324361.0211327327</v>
      </c>
      <c r="L65" s="86">
        <f ca="1">(L$46*'Series A'!$H19)+(L$47*'Series A'!$E19)+(L$48*'Series A'!$C19)</f>
        <v>4063107.9147177842</v>
      </c>
      <c r="M65" s="86">
        <f ca="1">(M$46*'Series A'!$H19)+(M$47*'Series A'!$E19)+(M$48*'Series A'!$C19)</f>
        <v>4801854.8083028356</v>
      </c>
      <c r="N65" s="86">
        <f ca="1">(N$46*'Series A'!$H19)+(N$47*'Series A'!$E19)+(N$48*'Series A'!$C19)</f>
        <v>5540601.701887887</v>
      </c>
      <c r="O65" s="86">
        <f ca="1">(O$46*'Series A'!$H19)+(O$47*'Series A'!$E19)+(O$48*'Series A'!$C19)</f>
        <v>6279348.5954729384</v>
      </c>
      <c r="P65" s="86">
        <f ca="1">(P$46*'Series A'!$H19)+(P$47*'Series A'!$E19)+(P$48*'Series A'!$C19)</f>
        <v>7018095.4890579907</v>
      </c>
      <c r="Q65" s="86">
        <f ca="1">(Q$46*'Series A'!$H19)+(Q$47*'Series A'!$E19)+(Q$48*'Series A'!$C19)</f>
        <v>7756842.3826430421</v>
      </c>
      <c r="R65" s="86">
        <f ca="1">(R$46*'Series A'!$H19)+(R$47*'Series A'!$E19)+(R$48*'Series A'!$C19)</f>
        <v>8495589.2762280945</v>
      </c>
      <c r="S65" s="86">
        <f ca="1">(S$46*'Series A'!$H19)+(S$47*'Series A'!$E19)+(S$48*'Series A'!$C19)</f>
        <v>9234336.169813145</v>
      </c>
      <c r="T65" s="86">
        <f ca="1">(T$46*'Series A'!$H19)+(T$47*'Series A'!$E19)+(T$48*'Series A'!$C19)</f>
        <v>9973083.0633981973</v>
      </c>
      <c r="U65" s="86">
        <f ca="1">(U$46*'Series A'!$H19)+(U$47*'Series A'!$E19)+(U$48*'Series A'!$C19)</f>
        <v>10711829.95698325</v>
      </c>
      <c r="V65" s="86">
        <f ca="1">(V$46*'Series A'!$H19)+(V$47*'Series A'!$E19)+(V$48*'Series A'!$C19)</f>
        <v>11450576.8505683</v>
      </c>
      <c r="W65" s="86">
        <f ca="1">(W$46*'Series A'!$H19)+(W$47*'Series A'!$E19)+(W$48*'Series A'!$C19)</f>
        <v>12189323.744153352</v>
      </c>
      <c r="X65" s="86">
        <f ca="1">(X$46*'Series A'!$H19)+(X$47*'Series A'!$E19)+(X$48*'Series A'!$C19)</f>
        <v>12928070.637738403</v>
      </c>
    </row>
    <row r="66" spans="1:24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x14ac:dyDescent="0.2">
      <c r="A67" s="1"/>
      <c r="B67" s="1" t="s">
        <v>131</v>
      </c>
      <c r="C67" s="1"/>
      <c r="D67" s="1"/>
      <c r="E67" s="1"/>
      <c r="F67" s="1"/>
      <c r="G67" s="1"/>
      <c r="H67" s="1"/>
      <c r="I67" s="85">
        <f ca="1">+SUM(I57:I66)-I16</f>
        <v>0</v>
      </c>
      <c r="J67" s="85">
        <f ca="1">+SUM(J57:J66)-J16</f>
        <v>0</v>
      </c>
      <c r="K67" s="85">
        <f ca="1">+SUM(K57:K66)-K16</f>
        <v>0</v>
      </c>
      <c r="L67" s="85">
        <f ca="1">+SUM(L57:L66)-L16</f>
        <v>0</v>
      </c>
      <c r="M67" s="85">
        <f ca="1">+SUM(M57:M66)-M16</f>
        <v>0</v>
      </c>
      <c r="N67" s="85">
        <f ca="1">+SUM(N57:N66)-N16</f>
        <v>0</v>
      </c>
      <c r="O67" s="85">
        <f ca="1">+SUM(O57:O66)-O16</f>
        <v>0</v>
      </c>
      <c r="P67" s="85">
        <f ca="1">+SUM(P57:P66)-P16</f>
        <v>0</v>
      </c>
      <c r="Q67" s="85">
        <f ca="1">+SUM(Q57:Q66)-Q16</f>
        <v>0</v>
      </c>
      <c r="R67" s="85">
        <f ca="1">+SUM(R57:R66)-R16</f>
        <v>0</v>
      </c>
      <c r="S67" s="85">
        <f ca="1">+SUM(S57:S66)-S16</f>
        <v>0</v>
      </c>
      <c r="T67" s="85">
        <f ca="1">+SUM(T57:T66)-T16</f>
        <v>0</v>
      </c>
      <c r="U67" s="85">
        <f ca="1">+SUM(U57:U66)-U16</f>
        <v>0</v>
      </c>
      <c r="V67" s="85">
        <f ca="1">+SUM(V57:V66)-V16</f>
        <v>0</v>
      </c>
      <c r="W67" s="85">
        <f ca="1">+SUM(W57:W66)-W16</f>
        <v>0</v>
      </c>
      <c r="X67" s="85">
        <f ca="1">+SUM(X57:X66)-X16</f>
        <v>0</v>
      </c>
    </row>
    <row r="68" spans="1:24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x14ac:dyDescent="0.2">
      <c r="A69" s="1"/>
      <c r="B69" s="76" t="s">
        <v>132</v>
      </c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</row>
    <row r="70" spans="1:24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x14ac:dyDescent="0.2">
      <c r="A71" s="1"/>
      <c r="B71" s="1" t="s">
        <v>133</v>
      </c>
      <c r="C71" s="1"/>
      <c r="D71" s="1"/>
      <c r="E71" s="1"/>
      <c r="F71" s="1"/>
      <c r="G71" s="1"/>
      <c r="H71" s="1"/>
      <c r="I71" s="81">
        <f ca="1">+I64</f>
        <v>11999999.412</v>
      </c>
      <c r="J71" s="81">
        <f ca="1">+J64</f>
        <v>11999999.412</v>
      </c>
      <c r="K71" s="81">
        <f ca="1">+K64</f>
        <v>13297439.30543101</v>
      </c>
      <c r="L71" s="81">
        <f ca="1">+L64</f>
        <v>16252425.817749012</v>
      </c>
      <c r="M71" s="81">
        <f ca="1">+M64</f>
        <v>19207412.330067012</v>
      </c>
      <c r="N71" s="81">
        <f ca="1">+N64</f>
        <v>22162398.842385013</v>
      </c>
      <c r="O71" s="81">
        <f ca="1">+O64</f>
        <v>25117385.354703017</v>
      </c>
      <c r="P71" s="81">
        <f ca="1">+P64</f>
        <v>28072371.867021017</v>
      </c>
      <c r="Q71" s="81">
        <f ca="1">+Q64</f>
        <v>31027358.379339021</v>
      </c>
      <c r="R71" s="81">
        <f ca="1">+R64</f>
        <v>33982344.891657025</v>
      </c>
      <c r="S71" s="81">
        <f ca="1">+S64</f>
        <v>36937331.403975025</v>
      </c>
      <c r="T71" s="81">
        <f ca="1">+T64</f>
        <v>39892317.916293025</v>
      </c>
      <c r="U71" s="81">
        <f ca="1">+U64</f>
        <v>42847304.428611033</v>
      </c>
      <c r="V71" s="81">
        <f ca="1">+V64</f>
        <v>45802290.940929025</v>
      </c>
      <c r="W71" s="81">
        <f ca="1">+W64</f>
        <v>48757277.453247033</v>
      </c>
      <c r="X71" s="81">
        <f ca="1">+X64</f>
        <v>51712263.965565033</v>
      </c>
    </row>
    <row r="72" spans="1:24" x14ac:dyDescent="0.2">
      <c r="A72" s="1"/>
      <c r="B72" s="1" t="s">
        <v>134</v>
      </c>
      <c r="C72" s="1"/>
      <c r="D72" s="1"/>
      <c r="E72" s="1"/>
      <c r="F72" s="1"/>
      <c r="G72" s="1"/>
      <c r="H72" s="1"/>
      <c r="I72" s="84">
        <f>'Series A'!$G$18</f>
        <v>12000000</v>
      </c>
      <c r="J72" s="84">
        <f>'Series A'!$G$18</f>
        <v>12000000</v>
      </c>
      <c r="K72" s="84">
        <f>'Series A'!$G$18</f>
        <v>12000000</v>
      </c>
      <c r="L72" s="84">
        <f>'Series A'!$G$18</f>
        <v>12000000</v>
      </c>
      <c r="M72" s="84">
        <f>'Series A'!$G$18</f>
        <v>12000000</v>
      </c>
      <c r="N72" s="84">
        <f>'Series A'!$G$18</f>
        <v>12000000</v>
      </c>
      <c r="O72" s="84">
        <f>'Series A'!$G$18</f>
        <v>12000000</v>
      </c>
      <c r="P72" s="84">
        <f>'Series A'!$G$18</f>
        <v>12000000</v>
      </c>
      <c r="Q72" s="84">
        <f>'Series A'!$G$18</f>
        <v>12000000</v>
      </c>
      <c r="R72" s="84">
        <f>'Series A'!$G$18</f>
        <v>12000000</v>
      </c>
      <c r="S72" s="84">
        <f>'Series A'!$G$18</f>
        <v>12000000</v>
      </c>
      <c r="T72" s="84">
        <f>'Series A'!$G$18</f>
        <v>12000000</v>
      </c>
      <c r="U72" s="84">
        <f>'Series A'!$G$18</f>
        <v>12000000</v>
      </c>
      <c r="V72" s="84">
        <f>'Series A'!$G$18</f>
        <v>12000000</v>
      </c>
      <c r="W72" s="84">
        <f>'Series A'!$G$18</f>
        <v>12000000</v>
      </c>
      <c r="X72" s="84">
        <f>'Series A'!$G$18</f>
        <v>12000000</v>
      </c>
    </row>
    <row r="73" spans="1:24" x14ac:dyDescent="0.2">
      <c r="A73" s="1"/>
      <c r="B73" s="1" t="s">
        <v>135</v>
      </c>
      <c r="C73" s="1"/>
      <c r="D73" s="1"/>
      <c r="E73" s="1"/>
      <c r="F73" s="1"/>
      <c r="G73" s="1"/>
      <c r="H73" s="1"/>
      <c r="I73" s="81">
        <f ca="1">I71-I72</f>
        <v>-0.58799999952316284</v>
      </c>
      <c r="J73" s="81">
        <f ca="1">J71-J72</f>
        <v>-0.58799999952316284</v>
      </c>
      <c r="K73" s="81">
        <f ca="1">K71-K72</f>
        <v>1297439.3054310102</v>
      </c>
      <c r="L73" s="81">
        <f ca="1">L71-L72</f>
        <v>4252425.8177490123</v>
      </c>
      <c r="M73" s="81">
        <f ca="1">M71-M72</f>
        <v>7207412.3300670125</v>
      </c>
      <c r="N73" s="81">
        <f ca="1">N71-N72</f>
        <v>10162398.842385013</v>
      </c>
      <c r="O73" s="81">
        <f ca="1">O71-O72</f>
        <v>13117385.354703017</v>
      </c>
      <c r="P73" s="81">
        <f ca="1">P71-P72</f>
        <v>16072371.867021017</v>
      </c>
      <c r="Q73" s="81">
        <f ca="1">Q71-Q72</f>
        <v>19027358.379339021</v>
      </c>
      <c r="R73" s="81">
        <f ca="1">R71-R72</f>
        <v>21982344.891657025</v>
      </c>
      <c r="S73" s="81">
        <f ca="1">S71-S72</f>
        <v>24937331.403975025</v>
      </c>
      <c r="T73" s="81">
        <f ca="1">T71-T72</f>
        <v>27892317.916293025</v>
      </c>
      <c r="U73" s="81">
        <f ca="1">U71-U72</f>
        <v>30847304.428611033</v>
      </c>
      <c r="V73" s="81">
        <f ca="1">V71-V72</f>
        <v>33802290.940929025</v>
      </c>
      <c r="W73" s="81">
        <f ca="1">W71-W72</f>
        <v>36757277.453247033</v>
      </c>
      <c r="X73" s="81">
        <f ca="1">X71-X72</f>
        <v>39712263.965565033</v>
      </c>
    </row>
    <row r="74" spans="1:24" x14ac:dyDescent="0.2">
      <c r="A74" s="1"/>
      <c r="B74" s="1" t="s">
        <v>136</v>
      </c>
      <c r="C74" s="1"/>
      <c r="D74" s="1"/>
      <c r="E74" s="1"/>
      <c r="F74" s="1"/>
      <c r="G74" s="1"/>
      <c r="H74" s="1"/>
      <c r="I74" s="79">
        <f ca="1">I71/I72</f>
        <v>0.99999995100000005</v>
      </c>
      <c r="J74" s="79">
        <f ca="1">J71/J72</f>
        <v>0.99999995100000005</v>
      </c>
      <c r="K74" s="79">
        <f ca="1">K71/K72</f>
        <v>1.1081199421192509</v>
      </c>
      <c r="L74" s="79">
        <f ca="1">L71/L72</f>
        <v>1.3543688181457509</v>
      </c>
      <c r="M74" s="79">
        <f ca="1">M71/M72</f>
        <v>1.600617694172251</v>
      </c>
      <c r="N74" s="79">
        <f ca="1">N71/N72</f>
        <v>1.846866570198751</v>
      </c>
      <c r="O74" s="79">
        <f ca="1">O71/O72</f>
        <v>2.0931154462252515</v>
      </c>
      <c r="P74" s="79">
        <f ca="1">P71/P72</f>
        <v>2.3393643222517513</v>
      </c>
      <c r="Q74" s="79">
        <f ca="1">Q71/Q72</f>
        <v>2.5856131982782515</v>
      </c>
      <c r="R74" s="79">
        <f ca="1">R71/R72</f>
        <v>2.8318620743047522</v>
      </c>
      <c r="S74" s="79">
        <f ca="1">S71/S72</f>
        <v>3.078110950331252</v>
      </c>
      <c r="T74" s="79">
        <f ca="1">T71/T72</f>
        <v>3.3243598263577523</v>
      </c>
      <c r="U74" s="79">
        <f ca="1">U71/U72</f>
        <v>3.5706087023842525</v>
      </c>
      <c r="V74" s="79">
        <f ca="1">V71/V72</f>
        <v>3.8168575784107519</v>
      </c>
      <c r="W74" s="79">
        <f ca="1">W71/W72</f>
        <v>4.0631064544372526</v>
      </c>
      <c r="X74" s="79">
        <f ca="1">X71/X72</f>
        <v>4.3093553304637524</v>
      </c>
    </row>
    <row r="75" spans="1:24" x14ac:dyDescent="0.2">
      <c r="A75" s="1"/>
      <c r="B75" s="1" t="s">
        <v>137</v>
      </c>
      <c r="C75" s="1"/>
      <c r="D75" s="1"/>
      <c r="E75" s="1"/>
      <c r="F75" s="1"/>
      <c r="G75" s="1"/>
      <c r="H75" s="1"/>
      <c r="I75" s="79">
        <f ca="1">+I46/'Series A'!$H$23</f>
        <v>1</v>
      </c>
      <c r="J75" s="79">
        <f ca="1">+J46/'Series A'!$H$23</f>
        <v>1</v>
      </c>
      <c r="K75" s="79">
        <f ca="1">+K46/'Series A'!$H$23</f>
        <v>1.1081199964171307</v>
      </c>
      <c r="L75" s="79">
        <f ca="1">+L46/'Series A'!$H$23</f>
        <v>1.3543688845098263</v>
      </c>
      <c r="M75" s="79">
        <f ca="1">+M46/'Series A'!$H$23</f>
        <v>1.6006177726025217</v>
      </c>
      <c r="N75" s="79">
        <f ca="1">+N46/'Series A'!$H$23</f>
        <v>1.8468666606952175</v>
      </c>
      <c r="O75" s="79">
        <f ca="1">+O46/'Series A'!$H$23</f>
        <v>2.0931155487879129</v>
      </c>
      <c r="P75" s="79">
        <f ca="1">+P46/'Series A'!$H$23</f>
        <v>2.3393644368806088</v>
      </c>
      <c r="Q75" s="79">
        <f ca="1">+Q46/'Series A'!$H$23</f>
        <v>2.5856133249733046</v>
      </c>
      <c r="R75" s="79">
        <f ca="1">+R46/'Series A'!$H$23</f>
        <v>2.8318622130660001</v>
      </c>
      <c r="S75" s="79">
        <f ca="1">+S46/'Series A'!$H$23</f>
        <v>3.0781111011586959</v>
      </c>
      <c r="T75" s="79">
        <f ca="1">+T46/'Series A'!$H$23</f>
        <v>3.3243599892513918</v>
      </c>
      <c r="U75" s="79">
        <f ca="1">+U46/'Series A'!$H$23</f>
        <v>3.5706088773440872</v>
      </c>
      <c r="V75" s="79">
        <f ca="1">+V46/'Series A'!$H$23</f>
        <v>3.8168577654367826</v>
      </c>
      <c r="W75" s="79">
        <f ca="1">+W46/'Series A'!$H$23</f>
        <v>4.0631066535294789</v>
      </c>
      <c r="X75" s="79">
        <f ca="1">+X46/'Series A'!$H$23</f>
        <v>4.3093555416221738</v>
      </c>
    </row>
    <row r="76" spans="1:24" x14ac:dyDescent="0.2">
      <c r="A76" s="1"/>
      <c r="B76" s="1" t="s">
        <v>138</v>
      </c>
      <c r="C76" s="1"/>
      <c r="D76" s="1"/>
      <c r="E76" s="1"/>
      <c r="F76" s="1"/>
      <c r="G76" s="1"/>
      <c r="H76" s="1"/>
      <c r="I76" s="87">
        <f ca="1">XIRR(I78:I79,$D$78:$D$79)</f>
        <v>-3.2782554626464846E-8</v>
      </c>
      <c r="J76" s="87">
        <f ca="1">XIRR(J78:J79,$D$78:$D$79)</f>
        <v>-3.2782554626464846E-8</v>
      </c>
      <c r="K76" s="87">
        <f ca="1">XIRR(K78:K79,$D$78:$D$79)</f>
        <v>7.0772954821586589E-2</v>
      </c>
      <c r="L76" s="87">
        <f ca="1">XIRR(L78:L79,$D$78:$D$79)</f>
        <v>0.2238959491252899</v>
      </c>
      <c r="M76" s="87">
        <f ca="1">XIRR(M78:M79,$D$78:$D$79)</f>
        <v>0.36794136166572566</v>
      </c>
      <c r="N76" s="87">
        <f ca="1">XIRR(N78:N79,$D$78:$D$79)</f>
        <v>0.50474051833152767</v>
      </c>
      <c r="O76" s="87">
        <f ca="1">XIRR(O78:O79,$D$78:$D$79)</f>
        <v>0.63556192517280596</v>
      </c>
      <c r="P76" s="87">
        <f ca="1">XIRR(P78:P79,$D$78:$D$79)</f>
        <v>0.76132999658584577</v>
      </c>
      <c r="Q76" s="87">
        <f ca="1">XIRR(Q78:Q79,$D$78:$D$79)</f>
        <v>0.88274463415145887</v>
      </c>
      <c r="R76" s="87">
        <f ca="1">XIRR(R78:R79,$D$78:$D$79)</f>
        <v>1.0003519654273989</v>
      </c>
      <c r="S76" s="87">
        <f ca="1">XIRR(S78:S79,$D$78:$D$79)</f>
        <v>1.1145883679389954</v>
      </c>
      <c r="T76" s="87">
        <f ca="1">XIRR(T78:T79,$D$78:$D$79)</f>
        <v>1.2258095860481262</v>
      </c>
      <c r="U76" s="87">
        <f ca="1">XIRR(U78:U79,$D$78:$D$79)</f>
        <v>1.334310495853424</v>
      </c>
      <c r="V76" s="87">
        <f ca="1">XIRR(V78:V79,$D$78:$D$79)</f>
        <v>1.4403388619422912</v>
      </c>
      <c r="W76" s="87">
        <f ca="1">XIRR(W78:W79,$D$78:$D$79)</f>
        <v>1.5441054940223697</v>
      </c>
      <c r="X76" s="87">
        <f ca="1">XIRR(X78:X79,$D$78:$D$79)</f>
        <v>1.6457916617393495</v>
      </c>
    </row>
    <row r="77" spans="1:24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x14ac:dyDescent="0.2">
      <c r="A78" s="1"/>
      <c r="B78" s="1" t="s">
        <v>139</v>
      </c>
      <c r="C78" s="1" t="s">
        <v>3</v>
      </c>
      <c r="D78" s="75">
        <v>45762</v>
      </c>
      <c r="E78" s="1"/>
      <c r="F78" s="1"/>
      <c r="G78" s="1"/>
      <c r="H78" s="1"/>
      <c r="I78" s="86">
        <f>-I72</f>
        <v>-12000000</v>
      </c>
      <c r="J78" s="86">
        <f>-J72</f>
        <v>-12000000</v>
      </c>
      <c r="K78" s="86">
        <f>-K72</f>
        <v>-12000000</v>
      </c>
      <c r="L78" s="86">
        <f>-L72</f>
        <v>-12000000</v>
      </c>
      <c r="M78" s="86">
        <f>-M72</f>
        <v>-12000000</v>
      </c>
      <c r="N78" s="86">
        <f>-N72</f>
        <v>-12000000</v>
      </c>
      <c r="O78" s="86">
        <f>-O72</f>
        <v>-12000000</v>
      </c>
      <c r="P78" s="86">
        <f>-P72</f>
        <v>-12000000</v>
      </c>
      <c r="Q78" s="86">
        <f>-Q72</f>
        <v>-12000000</v>
      </c>
      <c r="R78" s="86">
        <f>-R72</f>
        <v>-12000000</v>
      </c>
      <c r="S78" s="86">
        <f>-S72</f>
        <v>-12000000</v>
      </c>
      <c r="T78" s="86">
        <f>-T72</f>
        <v>-12000000</v>
      </c>
      <c r="U78" s="86">
        <f>-U72</f>
        <v>-12000000</v>
      </c>
      <c r="V78" s="86">
        <f>-V72</f>
        <v>-12000000</v>
      </c>
      <c r="W78" s="86">
        <f>-W72</f>
        <v>-12000000</v>
      </c>
      <c r="X78" s="86">
        <f>-X72</f>
        <v>-12000000</v>
      </c>
    </row>
    <row r="79" spans="1:24" x14ac:dyDescent="0.2">
      <c r="A79" s="1"/>
      <c r="B79" s="1"/>
      <c r="C79" s="1" t="s">
        <v>140</v>
      </c>
      <c r="D79" s="74">
        <f>DATE(YEAR(D78),MONTH(D78)+18,DAY(D78))</f>
        <v>46310</v>
      </c>
      <c r="E79" s="1"/>
      <c r="F79" s="1"/>
      <c r="G79" s="1"/>
      <c r="H79" s="1"/>
      <c r="I79" s="86">
        <f ca="1">I71</f>
        <v>11999999.412</v>
      </c>
      <c r="J79" s="86">
        <f ca="1">J71</f>
        <v>11999999.412</v>
      </c>
      <c r="K79" s="86">
        <f ca="1">K71</f>
        <v>13297439.30543101</v>
      </c>
      <c r="L79" s="86">
        <f ca="1">L71</f>
        <v>16252425.817749012</v>
      </c>
      <c r="M79" s="86">
        <f ca="1">M71</f>
        <v>19207412.330067012</v>
      </c>
      <c r="N79" s="86">
        <f ca="1">N71</f>
        <v>22162398.842385013</v>
      </c>
      <c r="O79" s="86">
        <f ca="1">O71</f>
        <v>25117385.354703017</v>
      </c>
      <c r="P79" s="86">
        <f ca="1">P71</f>
        <v>28072371.867021017</v>
      </c>
      <c r="Q79" s="86">
        <f ca="1">Q71</f>
        <v>31027358.379339021</v>
      </c>
      <c r="R79" s="86">
        <f ca="1">R71</f>
        <v>33982344.891657025</v>
      </c>
      <c r="S79" s="86">
        <f ca="1">S71</f>
        <v>36937331.403975025</v>
      </c>
      <c r="T79" s="86">
        <f ca="1">T71</f>
        <v>39892317.916293025</v>
      </c>
      <c r="U79" s="86">
        <f ca="1">U71</f>
        <v>42847304.428611033</v>
      </c>
      <c r="V79" s="86">
        <f ca="1">V71</f>
        <v>45802290.940929025</v>
      </c>
      <c r="W79" s="86">
        <f ca="1">W71</f>
        <v>48757277.453247033</v>
      </c>
      <c r="X79" s="86">
        <f ca="1">X71</f>
        <v>51712263.965565033</v>
      </c>
    </row>
    <row r="80" spans="1:24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__temp__</vt:lpstr>
      <vt:lpstr>Detailed Cap Table</vt:lpstr>
      <vt:lpstr>SAFE Investments</vt:lpstr>
      <vt:lpstr>Series A</vt:lpstr>
      <vt:lpstr>Series B</vt:lpstr>
      <vt:lpstr>PostBReturns</vt:lpstr>
      <vt:lpstr>PostAReturns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Sidarth Subramanian</cp:lastModifiedBy>
  <dcterms:created xsi:type="dcterms:W3CDTF">2026-04-16T00:49:44Z</dcterms:created>
  <dcterms:modified xsi:type="dcterms:W3CDTF">2026-04-16T01:47:04Z</dcterms:modified>
</cp:coreProperties>
</file>