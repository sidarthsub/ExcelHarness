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var/folders/pk/d3fxz1r57v334zbrzvw1g9pw0000gn/T/"/>
    </mc:Choice>
  </mc:AlternateContent>
  <xr:revisionPtr revIDLastSave="0" documentId="8_{66F84D26-ADFA-F44A-B112-2395B6BE6FD8}" xr6:coauthVersionLast="47" xr6:coauthVersionMax="47" xr10:uidLastSave="{00000000-0000-0000-0000-000000000000}"/>
  <bookViews>
    <workbookView xWindow="0" yWindow="760" windowWidth="29400" windowHeight="17180" activeTab="6" xr2:uid="{00000000-000D-0000-FFFF-FFFF00000000}"/>
  </bookViews>
  <sheets>
    <sheet name="Sheet9" sheetId="168" r:id="rId1"/>
    <sheet name="Detailed Cap Table" sheetId="169" r:id="rId2"/>
    <sheet name="SAFE Investments" sheetId="170" r:id="rId3"/>
    <sheet name="SeriesA" sheetId="172" r:id="rId4"/>
    <sheet name="PostA Returns" sheetId="181" r:id="rId5"/>
    <sheet name="SeriesB" sheetId="182" r:id="rId6"/>
    <sheet name="PostB Returns" sheetId="184" r:id="rId7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2" i="184" l="1"/>
  <c r="R53" i="184"/>
  <c r="Q53" i="184"/>
  <c r="P53" i="184"/>
  <c r="O53" i="184"/>
  <c r="N53" i="184"/>
  <c r="M53" i="184"/>
  <c r="L53" i="184"/>
  <c r="J54" i="184"/>
  <c r="R153" i="184"/>
  <c r="Q153" i="184"/>
  <c r="P153" i="184"/>
  <c r="O153" i="184"/>
  <c r="N153" i="184"/>
  <c r="M153" i="184"/>
  <c r="L153" i="184"/>
  <c r="K153" i="184"/>
  <c r="R152" i="184"/>
  <c r="Q152" i="184"/>
  <c r="P152" i="184"/>
  <c r="O152" i="184"/>
  <c r="N152" i="184"/>
  <c r="M152" i="184"/>
  <c r="L152" i="184"/>
  <c r="K152" i="184"/>
  <c r="R151" i="184"/>
  <c r="Q151" i="184"/>
  <c r="P151" i="184"/>
  <c r="O151" i="184"/>
  <c r="N151" i="184"/>
  <c r="M151" i="184"/>
  <c r="L151" i="184"/>
  <c r="K151" i="184"/>
  <c r="R149" i="184"/>
  <c r="Q149" i="184"/>
  <c r="P149" i="184"/>
  <c r="O149" i="184"/>
  <c r="N149" i="184"/>
  <c r="M149" i="184"/>
  <c r="L149" i="184"/>
  <c r="K149" i="184"/>
  <c r="R148" i="184"/>
  <c r="Q148" i="184"/>
  <c r="P148" i="184"/>
  <c r="O148" i="184"/>
  <c r="N148" i="184"/>
  <c r="M148" i="184"/>
  <c r="L148" i="184"/>
  <c r="K148" i="184"/>
  <c r="R147" i="184"/>
  <c r="Q147" i="184"/>
  <c r="P147" i="184"/>
  <c r="O147" i="184"/>
  <c r="N147" i="184"/>
  <c r="M147" i="184"/>
  <c r="L147" i="184"/>
  <c r="K147" i="184"/>
  <c r="R146" i="184"/>
  <c r="Q146" i="184"/>
  <c r="P146" i="184"/>
  <c r="O146" i="184"/>
  <c r="N146" i="184"/>
  <c r="M146" i="184"/>
  <c r="L146" i="184"/>
  <c r="K146" i="184"/>
  <c r="R145" i="184"/>
  <c r="Q145" i="184"/>
  <c r="P145" i="184"/>
  <c r="O145" i="184"/>
  <c r="N145" i="184"/>
  <c r="M145" i="184"/>
  <c r="L145" i="184"/>
  <c r="K145" i="184"/>
  <c r="R143" i="184"/>
  <c r="Q143" i="184"/>
  <c r="P143" i="184"/>
  <c r="O143" i="184"/>
  <c r="N143" i="184"/>
  <c r="M143" i="184"/>
  <c r="L143" i="184"/>
  <c r="K143" i="184"/>
  <c r="R142" i="184"/>
  <c r="Q142" i="184"/>
  <c r="P142" i="184"/>
  <c r="O142" i="184"/>
  <c r="N142" i="184"/>
  <c r="M142" i="184"/>
  <c r="L142" i="184"/>
  <c r="K142" i="184"/>
  <c r="R141" i="184"/>
  <c r="Q141" i="184"/>
  <c r="P141" i="184"/>
  <c r="O141" i="184"/>
  <c r="N141" i="184"/>
  <c r="M141" i="184"/>
  <c r="L141" i="184"/>
  <c r="K141" i="184"/>
  <c r="R140" i="184"/>
  <c r="Q140" i="184"/>
  <c r="P140" i="184"/>
  <c r="O140" i="184"/>
  <c r="N140" i="184"/>
  <c r="M140" i="184"/>
  <c r="L140" i="184"/>
  <c r="K140" i="184"/>
  <c r="R139" i="184"/>
  <c r="Q139" i="184"/>
  <c r="P139" i="184"/>
  <c r="O139" i="184"/>
  <c r="N139" i="184"/>
  <c r="M139" i="184"/>
  <c r="L139" i="184"/>
  <c r="K139" i="184"/>
  <c r="R137" i="184"/>
  <c r="Q137" i="184"/>
  <c r="P137" i="184"/>
  <c r="O137" i="184"/>
  <c r="N137" i="184"/>
  <c r="M137" i="184"/>
  <c r="L137" i="184"/>
  <c r="K137" i="184"/>
  <c r="R136" i="184"/>
  <c r="Q136" i="184"/>
  <c r="P136" i="184"/>
  <c r="O136" i="184"/>
  <c r="N136" i="184"/>
  <c r="M136" i="184"/>
  <c r="L136" i="184"/>
  <c r="K136" i="184"/>
  <c r="R135" i="184"/>
  <c r="Q135" i="184"/>
  <c r="P135" i="184"/>
  <c r="O135" i="184"/>
  <c r="N135" i="184"/>
  <c r="M135" i="184"/>
  <c r="L135" i="184"/>
  <c r="K135" i="184"/>
  <c r="R134" i="184"/>
  <c r="Q134" i="184"/>
  <c r="P134" i="184"/>
  <c r="O134" i="184"/>
  <c r="N134" i="184"/>
  <c r="M134" i="184"/>
  <c r="L134" i="184"/>
  <c r="K134" i="184"/>
  <c r="R133" i="184"/>
  <c r="Q133" i="184"/>
  <c r="P133" i="184"/>
  <c r="O133" i="184"/>
  <c r="N133" i="184"/>
  <c r="M133" i="184"/>
  <c r="L133" i="184"/>
  <c r="K133" i="184"/>
  <c r="R131" i="184"/>
  <c r="Q131" i="184"/>
  <c r="P131" i="184"/>
  <c r="O131" i="184"/>
  <c r="N131" i="184"/>
  <c r="M131" i="184"/>
  <c r="L131" i="184"/>
  <c r="K131" i="184"/>
  <c r="R130" i="184"/>
  <c r="Q130" i="184"/>
  <c r="P130" i="184"/>
  <c r="O130" i="184"/>
  <c r="N130" i="184"/>
  <c r="M130" i="184"/>
  <c r="L130" i="184"/>
  <c r="K130" i="184"/>
  <c r="R129" i="184"/>
  <c r="Q129" i="184"/>
  <c r="P129" i="184"/>
  <c r="O129" i="184"/>
  <c r="N129" i="184"/>
  <c r="M129" i="184"/>
  <c r="L129" i="184"/>
  <c r="K129" i="184"/>
  <c r="R128" i="184"/>
  <c r="Q128" i="184"/>
  <c r="P128" i="184"/>
  <c r="O128" i="184"/>
  <c r="N128" i="184"/>
  <c r="M128" i="184"/>
  <c r="L128" i="184"/>
  <c r="K128" i="184"/>
  <c r="R127" i="184"/>
  <c r="Q127" i="184"/>
  <c r="P127" i="184"/>
  <c r="O127" i="184"/>
  <c r="N127" i="184"/>
  <c r="M127" i="184"/>
  <c r="L127" i="184"/>
  <c r="K127" i="184"/>
  <c r="R125" i="184"/>
  <c r="Q125" i="184"/>
  <c r="P125" i="184"/>
  <c r="O125" i="184"/>
  <c r="N125" i="184"/>
  <c r="M125" i="184"/>
  <c r="L125" i="184"/>
  <c r="K125" i="184"/>
  <c r="R124" i="184"/>
  <c r="Q124" i="184"/>
  <c r="P124" i="184"/>
  <c r="O124" i="184"/>
  <c r="N124" i="184"/>
  <c r="M124" i="184"/>
  <c r="L124" i="184"/>
  <c r="K124" i="184"/>
  <c r="R123" i="184"/>
  <c r="Q123" i="184"/>
  <c r="P123" i="184"/>
  <c r="O123" i="184"/>
  <c r="N123" i="184"/>
  <c r="M123" i="184"/>
  <c r="L123" i="184"/>
  <c r="K123" i="184"/>
  <c r="R122" i="184"/>
  <c r="Q122" i="184"/>
  <c r="P122" i="184"/>
  <c r="O122" i="184"/>
  <c r="N122" i="184"/>
  <c r="M122" i="184"/>
  <c r="L122" i="184"/>
  <c r="K122" i="184"/>
  <c r="R121" i="184"/>
  <c r="Q121" i="184"/>
  <c r="P121" i="184"/>
  <c r="O121" i="184"/>
  <c r="N121" i="184"/>
  <c r="M121" i="184"/>
  <c r="L121" i="184"/>
  <c r="K121" i="184"/>
  <c r="R119" i="184"/>
  <c r="Q119" i="184"/>
  <c r="P119" i="184"/>
  <c r="O119" i="184"/>
  <c r="N119" i="184"/>
  <c r="M119" i="184"/>
  <c r="L119" i="184"/>
  <c r="K119" i="184"/>
  <c r="R118" i="184"/>
  <c r="Q118" i="184"/>
  <c r="P118" i="184"/>
  <c r="O118" i="184"/>
  <c r="N118" i="184"/>
  <c r="M118" i="184"/>
  <c r="L118" i="184"/>
  <c r="K118" i="184"/>
  <c r="R117" i="184"/>
  <c r="Q117" i="184"/>
  <c r="P117" i="184"/>
  <c r="O117" i="184"/>
  <c r="N117" i="184"/>
  <c r="M117" i="184"/>
  <c r="L117" i="184"/>
  <c r="K117" i="184"/>
  <c r="R116" i="184"/>
  <c r="Q116" i="184"/>
  <c r="P116" i="184"/>
  <c r="O116" i="184"/>
  <c r="N116" i="184"/>
  <c r="M116" i="184"/>
  <c r="L116" i="184"/>
  <c r="K116" i="184"/>
  <c r="R115" i="184"/>
  <c r="Q115" i="184"/>
  <c r="P115" i="184"/>
  <c r="O115" i="184"/>
  <c r="N115" i="184"/>
  <c r="M115" i="184"/>
  <c r="L115" i="184"/>
  <c r="K115" i="184"/>
  <c r="R113" i="184"/>
  <c r="Q113" i="184"/>
  <c r="P113" i="184"/>
  <c r="O113" i="184"/>
  <c r="N113" i="184"/>
  <c r="M113" i="184"/>
  <c r="L113" i="184"/>
  <c r="K113" i="184"/>
  <c r="R112" i="184"/>
  <c r="Q112" i="184"/>
  <c r="P112" i="184"/>
  <c r="O112" i="184"/>
  <c r="N112" i="184"/>
  <c r="M112" i="184"/>
  <c r="L112" i="184"/>
  <c r="K112" i="184"/>
  <c r="R111" i="184"/>
  <c r="Q111" i="184"/>
  <c r="P111" i="184"/>
  <c r="O111" i="184"/>
  <c r="N111" i="184"/>
  <c r="M111" i="184"/>
  <c r="L111" i="184"/>
  <c r="K111" i="184"/>
  <c r="R110" i="184"/>
  <c r="Q110" i="184"/>
  <c r="P110" i="184"/>
  <c r="O110" i="184"/>
  <c r="N110" i="184"/>
  <c r="M110" i="184"/>
  <c r="L110" i="184"/>
  <c r="K110" i="184"/>
  <c r="R109" i="184"/>
  <c r="Q109" i="184"/>
  <c r="P109" i="184"/>
  <c r="O109" i="184"/>
  <c r="N109" i="184"/>
  <c r="M109" i="184"/>
  <c r="L109" i="184"/>
  <c r="K109" i="184"/>
  <c r="R107" i="184"/>
  <c r="Q107" i="184"/>
  <c r="P107" i="184"/>
  <c r="O107" i="184"/>
  <c r="N107" i="184"/>
  <c r="M107" i="184"/>
  <c r="L107" i="184"/>
  <c r="K107" i="184"/>
  <c r="R106" i="184"/>
  <c r="Q106" i="184"/>
  <c r="P106" i="184"/>
  <c r="O106" i="184"/>
  <c r="N106" i="184"/>
  <c r="M106" i="184"/>
  <c r="L106" i="184"/>
  <c r="K106" i="184"/>
  <c r="R105" i="184"/>
  <c r="Q105" i="184"/>
  <c r="P105" i="184"/>
  <c r="O105" i="184"/>
  <c r="N105" i="184"/>
  <c r="M105" i="184"/>
  <c r="L105" i="184"/>
  <c r="K105" i="184"/>
  <c r="R104" i="184"/>
  <c r="Q104" i="184"/>
  <c r="P104" i="184"/>
  <c r="O104" i="184"/>
  <c r="N104" i="184"/>
  <c r="M104" i="184"/>
  <c r="L104" i="184"/>
  <c r="K104" i="184"/>
  <c r="R103" i="184"/>
  <c r="Q103" i="184"/>
  <c r="P103" i="184"/>
  <c r="O103" i="184"/>
  <c r="N103" i="184"/>
  <c r="M103" i="184"/>
  <c r="L103" i="184"/>
  <c r="K103" i="184"/>
  <c r="R101" i="184"/>
  <c r="Q101" i="184"/>
  <c r="P101" i="184"/>
  <c r="O101" i="184"/>
  <c r="N101" i="184"/>
  <c r="M101" i="184"/>
  <c r="L101" i="184"/>
  <c r="K101" i="184"/>
  <c r="R100" i="184"/>
  <c r="Q100" i="184"/>
  <c r="P100" i="184"/>
  <c r="O100" i="184"/>
  <c r="N100" i="184"/>
  <c r="M100" i="184"/>
  <c r="L100" i="184"/>
  <c r="K100" i="184"/>
  <c r="J91" i="184"/>
  <c r="J90" i="184"/>
  <c r="J89" i="184"/>
  <c r="J88" i="184"/>
  <c r="J87" i="184"/>
  <c r="J86" i="184"/>
  <c r="J85" i="184"/>
  <c r="J84" i="184"/>
  <c r="R81" i="184"/>
  <c r="Q81" i="184"/>
  <c r="P81" i="184"/>
  <c r="O81" i="184"/>
  <c r="N81" i="184"/>
  <c r="M81" i="184"/>
  <c r="L81" i="184"/>
  <c r="K81" i="184"/>
  <c r="E88" i="184"/>
  <c r="F87" i="184"/>
  <c r="E87" i="184"/>
  <c r="F86" i="184"/>
  <c r="E86" i="184"/>
  <c r="F80" i="184"/>
  <c r="B71" i="184"/>
  <c r="B70" i="184"/>
  <c r="B69" i="184"/>
  <c r="B68" i="184"/>
  <c r="B67" i="184"/>
  <c r="B66" i="184"/>
  <c r="B65" i="184"/>
  <c r="B64" i="184"/>
  <c r="B63" i="184"/>
  <c r="B57" i="184"/>
  <c r="A57" i="184"/>
  <c r="B56" i="184"/>
  <c r="A56" i="184"/>
  <c r="B55" i="184"/>
  <c r="A55" i="184"/>
  <c r="B41" i="184"/>
  <c r="A41" i="184"/>
  <c r="B40" i="184"/>
  <c r="A40" i="184"/>
  <c r="B39" i="184"/>
  <c r="A39" i="184"/>
  <c r="F38" i="184"/>
  <c r="B38" i="184"/>
  <c r="A38" i="184"/>
  <c r="B36" i="184"/>
  <c r="A36" i="184"/>
  <c r="B35" i="184"/>
  <c r="A35" i="184"/>
  <c r="B34" i="184"/>
  <c r="A34" i="184"/>
  <c r="F33" i="184"/>
  <c r="B33" i="184"/>
  <c r="A33" i="184"/>
  <c r="B31" i="184"/>
  <c r="A31" i="184"/>
  <c r="B30" i="184"/>
  <c r="A30" i="184"/>
  <c r="B29" i="184"/>
  <c r="A29" i="184"/>
  <c r="F28" i="184"/>
  <c r="B28" i="184"/>
  <c r="A28" i="184"/>
  <c r="F24" i="184"/>
  <c r="B24" i="184"/>
  <c r="B23" i="184"/>
  <c r="B22" i="184"/>
  <c r="F20" i="184"/>
  <c r="F19" i="184"/>
  <c r="F15" i="184"/>
  <c r="F12" i="184"/>
  <c r="C8" i="184"/>
  <c r="C31" i="182"/>
  <c r="C29" i="182"/>
  <c r="H25" i="182"/>
  <c r="E25" i="182"/>
  <c r="M24" i="182"/>
  <c r="H24" i="182"/>
  <c r="E24" i="182"/>
  <c r="E23" i="182"/>
  <c r="L21" i="182"/>
  <c r="G21" i="182"/>
  <c r="E21" i="182"/>
  <c r="D21" i="182"/>
  <c r="C21" i="182"/>
  <c r="Q16" i="182"/>
  <c r="Q10" i="182"/>
  <c r="Q9" i="182"/>
  <c r="Q8" i="182"/>
  <c r="G19" i="182"/>
  <c r="G18" i="182"/>
  <c r="G17" i="182"/>
  <c r="E17" i="182"/>
  <c r="D17" i="182"/>
  <c r="E16" i="182"/>
  <c r="D16" i="182"/>
  <c r="C14" i="182"/>
  <c r="C11" i="182"/>
  <c r="C10" i="182"/>
  <c r="C9" i="182"/>
  <c r="C8" i="182"/>
  <c r="D74" i="181"/>
  <c r="T73" i="181"/>
  <c r="S73" i="181"/>
  <c r="R73" i="181"/>
  <c r="Q73" i="181"/>
  <c r="P73" i="181"/>
  <c r="O73" i="181"/>
  <c r="N73" i="181"/>
  <c r="M73" i="181"/>
  <c r="L73" i="181"/>
  <c r="K73" i="181"/>
  <c r="J73" i="181"/>
  <c r="I73" i="181"/>
  <c r="T67" i="181"/>
  <c r="S67" i="181"/>
  <c r="R67" i="181"/>
  <c r="Q67" i="181"/>
  <c r="P67" i="181"/>
  <c r="O67" i="181"/>
  <c r="N67" i="181"/>
  <c r="M67" i="181"/>
  <c r="L67" i="181"/>
  <c r="K67" i="181"/>
  <c r="J67" i="181"/>
  <c r="I67" i="181"/>
  <c r="B60" i="181"/>
  <c r="B59" i="181"/>
  <c r="B58" i="181"/>
  <c r="B57" i="181"/>
  <c r="B56" i="181"/>
  <c r="B55" i="181"/>
  <c r="B54" i="181"/>
  <c r="B53" i="181"/>
  <c r="B49" i="181"/>
  <c r="B48" i="181"/>
  <c r="B47" i="181"/>
  <c r="B43" i="181"/>
  <c r="A43" i="181"/>
  <c r="B42" i="181"/>
  <c r="A42" i="181"/>
  <c r="B32" i="181"/>
  <c r="A32" i="181"/>
  <c r="B31" i="181"/>
  <c r="A31" i="181"/>
  <c r="B30" i="181"/>
  <c r="A30" i="181"/>
  <c r="T29" i="181"/>
  <c r="S29" i="181"/>
  <c r="R29" i="181"/>
  <c r="Q29" i="181"/>
  <c r="P29" i="181"/>
  <c r="O29" i="181"/>
  <c r="N29" i="181"/>
  <c r="M29" i="181"/>
  <c r="L29" i="181"/>
  <c r="K29" i="181"/>
  <c r="J29" i="181"/>
  <c r="I29" i="181"/>
  <c r="B29" i="181"/>
  <c r="A29" i="181"/>
  <c r="B27" i="181"/>
  <c r="A27" i="181"/>
  <c r="B26" i="181"/>
  <c r="A26" i="181"/>
  <c r="B25" i="181"/>
  <c r="A25" i="181"/>
  <c r="B24" i="181"/>
  <c r="A24" i="181"/>
  <c r="T20" i="181"/>
  <c r="S20" i="181"/>
  <c r="R20" i="181"/>
  <c r="Q20" i="181"/>
  <c r="P20" i="181"/>
  <c r="O20" i="181"/>
  <c r="N20" i="181"/>
  <c r="M20" i="181"/>
  <c r="L20" i="181"/>
  <c r="K20" i="181"/>
  <c r="J20" i="181"/>
  <c r="I20" i="181"/>
  <c r="G20" i="181"/>
  <c r="F20" i="181"/>
  <c r="B20" i="181"/>
  <c r="B19" i="181"/>
  <c r="T12" i="181"/>
  <c r="S12" i="181"/>
  <c r="R12" i="181"/>
  <c r="Q12" i="181"/>
  <c r="P12" i="181"/>
  <c r="O12" i="181"/>
  <c r="N12" i="181"/>
  <c r="M12" i="181"/>
  <c r="L12" i="181"/>
  <c r="K12" i="181"/>
  <c r="J12" i="181"/>
  <c r="I12" i="181"/>
  <c r="T11" i="181"/>
  <c r="S11" i="181"/>
  <c r="R11" i="181"/>
  <c r="Q11" i="181"/>
  <c r="P11" i="181"/>
  <c r="O11" i="181"/>
  <c r="N11" i="181"/>
  <c r="M11" i="181"/>
  <c r="L11" i="181"/>
  <c r="K11" i="181"/>
  <c r="J11" i="181"/>
  <c r="I11" i="181"/>
  <c r="T4" i="181"/>
  <c r="S4" i="181"/>
  <c r="R4" i="181"/>
  <c r="Q4" i="181"/>
  <c r="P4" i="181"/>
  <c r="O4" i="181"/>
  <c r="N4" i="181"/>
  <c r="M4" i="181"/>
  <c r="L4" i="181"/>
  <c r="K4" i="181"/>
  <c r="J4" i="181"/>
  <c r="I4" i="181"/>
  <c r="T7" i="181"/>
  <c r="S7" i="181"/>
  <c r="R7" i="181"/>
  <c r="Q7" i="181"/>
  <c r="P7" i="181"/>
  <c r="O7" i="181"/>
  <c r="N7" i="181"/>
  <c r="M7" i="181"/>
  <c r="L7" i="181"/>
  <c r="K7" i="181"/>
  <c r="J7" i="181"/>
  <c r="T5" i="181"/>
  <c r="S5" i="181"/>
  <c r="R5" i="181"/>
  <c r="Q5" i="181"/>
  <c r="P5" i="181"/>
  <c r="O5" i="181"/>
  <c r="N5" i="181"/>
  <c r="M5" i="181"/>
  <c r="L5" i="181"/>
  <c r="K5" i="181"/>
  <c r="J5" i="181"/>
  <c r="C31" i="172"/>
  <c r="C29" i="172"/>
  <c r="E25" i="172"/>
  <c r="H24" i="172"/>
  <c r="E24" i="172"/>
  <c r="E23" i="172"/>
  <c r="D21" i="172"/>
  <c r="C21" i="172"/>
  <c r="L12" i="172"/>
  <c r="L11" i="172"/>
  <c r="L10" i="172"/>
  <c r="G19" i="172"/>
  <c r="E17" i="172"/>
  <c r="D17" i="172"/>
  <c r="E16" i="172"/>
  <c r="E21" i="172" s="1"/>
  <c r="D16" i="172"/>
  <c r="C14" i="172"/>
  <c r="C13" i="172"/>
  <c r="C12" i="172"/>
  <c r="C11" i="172"/>
  <c r="C10" i="172"/>
  <c r="C27" i="170"/>
  <c r="C23" i="169"/>
  <c r="D23" i="169"/>
  <c r="E23" i="169"/>
  <c r="F23" i="169"/>
  <c r="G23" i="169"/>
  <c r="H8" i="169" s="1"/>
  <c r="H21" i="169"/>
  <c r="G21" i="169"/>
  <c r="H20" i="169"/>
  <c r="G20" i="169"/>
  <c r="H19" i="169"/>
  <c r="G19" i="169"/>
  <c r="G18" i="169"/>
  <c r="G17" i="169"/>
  <c r="H16" i="169"/>
  <c r="G16" i="169"/>
  <c r="H15" i="169"/>
  <c r="G15" i="169"/>
  <c r="H14" i="169"/>
  <c r="G14" i="169"/>
  <c r="G13" i="169"/>
  <c r="G12" i="169"/>
  <c r="H11" i="169"/>
  <c r="G11" i="169"/>
  <c r="H10" i="169"/>
  <c r="G10" i="169"/>
  <c r="H9" i="169"/>
  <c r="G9" i="169"/>
  <c r="G8" i="169"/>
  <c r="G7" i="169"/>
  <c r="H6" i="169"/>
  <c r="G6" i="169"/>
  <c r="H5" i="169"/>
  <c r="G5" i="169"/>
  <c r="H4" i="169"/>
  <c r="G4" i="169"/>
  <c r="L16" i="172" l="1"/>
  <c r="H17" i="169"/>
  <c r="H12" i="169"/>
  <c r="H13" i="169"/>
  <c r="H18" i="169"/>
  <c r="H7" i="169"/>
  <c r="I14" i="181" l="1"/>
  <c r="J14" i="181"/>
  <c r="K14" i="181"/>
  <c r="L14" i="181"/>
  <c r="M14" i="181"/>
  <c r="N14" i="181"/>
  <c r="O14" i="181"/>
  <c r="P14" i="181"/>
  <c r="Q14" i="181"/>
  <c r="R14" i="181"/>
  <c r="S14" i="181"/>
  <c r="T14" i="181"/>
  <c r="I16" i="181"/>
  <c r="J16" i="181"/>
  <c r="K16" i="181"/>
  <c r="L16" i="181"/>
  <c r="M16" i="181"/>
  <c r="N16" i="181"/>
  <c r="O16" i="181"/>
  <c r="P16" i="181"/>
  <c r="Q16" i="181"/>
  <c r="R16" i="181"/>
  <c r="S16" i="181"/>
  <c r="T16" i="181"/>
  <c r="F19" i="181"/>
  <c r="G19" i="181"/>
  <c r="H19" i="181"/>
  <c r="I19" i="181"/>
  <c r="J19" i="181"/>
  <c r="K19" i="181"/>
  <c r="L19" i="181"/>
  <c r="M19" i="181"/>
  <c r="N19" i="181"/>
  <c r="O19" i="181"/>
  <c r="P19" i="181"/>
  <c r="Q19" i="181"/>
  <c r="R19" i="181"/>
  <c r="S19" i="181"/>
  <c r="T19" i="181"/>
  <c r="H20" i="181"/>
  <c r="I24" i="181"/>
  <c r="J24" i="181"/>
  <c r="K24" i="181"/>
  <c r="L24" i="181"/>
  <c r="M24" i="181"/>
  <c r="N24" i="181"/>
  <c r="O24" i="181"/>
  <c r="P24" i="181"/>
  <c r="Q24" i="181"/>
  <c r="R24" i="181"/>
  <c r="S24" i="181"/>
  <c r="T24" i="181"/>
  <c r="I25" i="181"/>
  <c r="J25" i="181"/>
  <c r="K25" i="181"/>
  <c r="L25" i="181"/>
  <c r="M25" i="181"/>
  <c r="N25" i="181"/>
  <c r="O25" i="181"/>
  <c r="P25" i="181"/>
  <c r="Q25" i="181"/>
  <c r="R25" i="181"/>
  <c r="S25" i="181"/>
  <c r="T25" i="181"/>
  <c r="I26" i="181"/>
  <c r="J26" i="181"/>
  <c r="K26" i="181"/>
  <c r="L26" i="181"/>
  <c r="M26" i="181"/>
  <c r="N26" i="181"/>
  <c r="O26" i="181"/>
  <c r="P26" i="181"/>
  <c r="Q26" i="181"/>
  <c r="R26" i="181"/>
  <c r="S26" i="181"/>
  <c r="T26" i="181"/>
  <c r="I27" i="181"/>
  <c r="J27" i="181"/>
  <c r="K27" i="181"/>
  <c r="L27" i="181"/>
  <c r="M27" i="181"/>
  <c r="N27" i="181"/>
  <c r="O27" i="181"/>
  <c r="P27" i="181"/>
  <c r="Q27" i="181"/>
  <c r="R27" i="181"/>
  <c r="S27" i="181"/>
  <c r="T27" i="181"/>
  <c r="I30" i="181"/>
  <c r="J30" i="181"/>
  <c r="K30" i="181"/>
  <c r="L30" i="181"/>
  <c r="M30" i="181"/>
  <c r="N30" i="181"/>
  <c r="O30" i="181"/>
  <c r="P30" i="181"/>
  <c r="Q30" i="181"/>
  <c r="R30" i="181"/>
  <c r="S30" i="181"/>
  <c r="T30" i="181"/>
  <c r="I31" i="181"/>
  <c r="J31" i="181"/>
  <c r="K31" i="181"/>
  <c r="L31" i="181"/>
  <c r="M31" i="181"/>
  <c r="N31" i="181"/>
  <c r="O31" i="181"/>
  <c r="P31" i="181"/>
  <c r="Q31" i="181"/>
  <c r="R31" i="181"/>
  <c r="S31" i="181"/>
  <c r="T31" i="181"/>
  <c r="I32" i="181"/>
  <c r="J32" i="181"/>
  <c r="K32" i="181"/>
  <c r="L32" i="181"/>
  <c r="M32" i="181"/>
  <c r="N32" i="181"/>
  <c r="O32" i="181"/>
  <c r="P32" i="181"/>
  <c r="Q32" i="181"/>
  <c r="R32" i="181"/>
  <c r="S32" i="181"/>
  <c r="T32" i="181"/>
  <c r="I35" i="181"/>
  <c r="J35" i="181"/>
  <c r="K35" i="181"/>
  <c r="L35" i="181"/>
  <c r="M35" i="181"/>
  <c r="N35" i="181"/>
  <c r="O35" i="181"/>
  <c r="P35" i="181"/>
  <c r="Q35" i="181"/>
  <c r="R35" i="181"/>
  <c r="S35" i="181"/>
  <c r="T35" i="181"/>
  <c r="I38" i="181"/>
  <c r="J38" i="181"/>
  <c r="K38" i="181"/>
  <c r="L38" i="181"/>
  <c r="M38" i="181"/>
  <c r="N38" i="181"/>
  <c r="O38" i="181"/>
  <c r="P38" i="181"/>
  <c r="Q38" i="181"/>
  <c r="R38" i="181"/>
  <c r="S38" i="181"/>
  <c r="T38" i="181"/>
  <c r="I39" i="181"/>
  <c r="J39" i="181"/>
  <c r="K39" i="181"/>
  <c r="L39" i="181"/>
  <c r="M39" i="181"/>
  <c r="N39" i="181"/>
  <c r="O39" i="181"/>
  <c r="P39" i="181"/>
  <c r="Q39" i="181"/>
  <c r="R39" i="181"/>
  <c r="S39" i="181"/>
  <c r="T39" i="181"/>
  <c r="I42" i="181"/>
  <c r="J42" i="181"/>
  <c r="K42" i="181"/>
  <c r="L42" i="181"/>
  <c r="M42" i="181"/>
  <c r="N42" i="181"/>
  <c r="O42" i="181"/>
  <c r="P42" i="181"/>
  <c r="Q42" i="181"/>
  <c r="R42" i="181"/>
  <c r="S42" i="181"/>
  <c r="T42" i="181"/>
  <c r="I43" i="181"/>
  <c r="J43" i="181"/>
  <c r="K43" i="181"/>
  <c r="L43" i="181"/>
  <c r="M43" i="181"/>
  <c r="N43" i="181"/>
  <c r="O43" i="181"/>
  <c r="P43" i="181"/>
  <c r="Q43" i="181"/>
  <c r="R43" i="181"/>
  <c r="S43" i="181"/>
  <c r="T43" i="181"/>
  <c r="I44" i="181"/>
  <c r="J44" i="181"/>
  <c r="K44" i="181"/>
  <c r="L44" i="181"/>
  <c r="M44" i="181"/>
  <c r="N44" i="181"/>
  <c r="O44" i="181"/>
  <c r="P44" i="181"/>
  <c r="Q44" i="181"/>
  <c r="R44" i="181"/>
  <c r="S44" i="181"/>
  <c r="T44" i="181"/>
  <c r="I47" i="181"/>
  <c r="J47" i="181"/>
  <c r="K47" i="181"/>
  <c r="L47" i="181"/>
  <c r="M47" i="181"/>
  <c r="N47" i="181"/>
  <c r="O47" i="181"/>
  <c r="P47" i="181"/>
  <c r="Q47" i="181"/>
  <c r="R47" i="181"/>
  <c r="S47" i="181"/>
  <c r="T47" i="181"/>
  <c r="I48" i="181"/>
  <c r="J48" i="181"/>
  <c r="K48" i="181"/>
  <c r="L48" i="181"/>
  <c r="M48" i="181"/>
  <c r="N48" i="181"/>
  <c r="O48" i="181"/>
  <c r="P48" i="181"/>
  <c r="Q48" i="181"/>
  <c r="R48" i="181"/>
  <c r="S48" i="181"/>
  <c r="T48" i="181"/>
  <c r="I49" i="181"/>
  <c r="J49" i="181"/>
  <c r="K49" i="181"/>
  <c r="L49" i="181"/>
  <c r="M49" i="181"/>
  <c r="N49" i="181"/>
  <c r="O49" i="181"/>
  <c r="P49" i="181"/>
  <c r="Q49" i="181"/>
  <c r="R49" i="181"/>
  <c r="S49" i="181"/>
  <c r="T49" i="181"/>
  <c r="I50" i="181"/>
  <c r="J50" i="181"/>
  <c r="K50" i="181"/>
  <c r="L50" i="181"/>
  <c r="M50" i="181"/>
  <c r="N50" i="181"/>
  <c r="O50" i="181"/>
  <c r="P50" i="181"/>
  <c r="Q50" i="181"/>
  <c r="R50" i="181"/>
  <c r="S50" i="181"/>
  <c r="T50" i="181"/>
  <c r="I53" i="181"/>
  <c r="J53" i="181"/>
  <c r="K53" i="181"/>
  <c r="L53" i="181"/>
  <c r="M53" i="181"/>
  <c r="N53" i="181"/>
  <c r="O53" i="181"/>
  <c r="P53" i="181"/>
  <c r="Q53" i="181"/>
  <c r="R53" i="181"/>
  <c r="S53" i="181"/>
  <c r="T53" i="181"/>
  <c r="I54" i="181"/>
  <c r="J54" i="181"/>
  <c r="K54" i="181"/>
  <c r="L54" i="181"/>
  <c r="M54" i="181"/>
  <c r="N54" i="181"/>
  <c r="O54" i="181"/>
  <c r="P54" i="181"/>
  <c r="Q54" i="181"/>
  <c r="R54" i="181"/>
  <c r="S54" i="181"/>
  <c r="T54" i="181"/>
  <c r="I55" i="181"/>
  <c r="J55" i="181"/>
  <c r="K55" i="181"/>
  <c r="L55" i="181"/>
  <c r="M55" i="181"/>
  <c r="N55" i="181"/>
  <c r="O55" i="181"/>
  <c r="P55" i="181"/>
  <c r="Q55" i="181"/>
  <c r="R55" i="181"/>
  <c r="S55" i="181"/>
  <c r="T55" i="181"/>
  <c r="I56" i="181"/>
  <c r="J56" i="181"/>
  <c r="K56" i="181"/>
  <c r="L56" i="181"/>
  <c r="M56" i="181"/>
  <c r="N56" i="181"/>
  <c r="O56" i="181"/>
  <c r="P56" i="181"/>
  <c r="Q56" i="181"/>
  <c r="R56" i="181"/>
  <c r="S56" i="181"/>
  <c r="T56" i="181"/>
  <c r="I57" i="181"/>
  <c r="J57" i="181"/>
  <c r="K57" i="181"/>
  <c r="L57" i="181"/>
  <c r="M57" i="181"/>
  <c r="N57" i="181"/>
  <c r="O57" i="181"/>
  <c r="P57" i="181"/>
  <c r="Q57" i="181"/>
  <c r="R57" i="181"/>
  <c r="S57" i="181"/>
  <c r="T57" i="181"/>
  <c r="I58" i="181"/>
  <c r="J58" i="181"/>
  <c r="K58" i="181"/>
  <c r="L58" i="181"/>
  <c r="M58" i="181"/>
  <c r="N58" i="181"/>
  <c r="O58" i="181"/>
  <c r="P58" i="181"/>
  <c r="Q58" i="181"/>
  <c r="R58" i="181"/>
  <c r="S58" i="181"/>
  <c r="T58" i="181"/>
  <c r="I59" i="181"/>
  <c r="J59" i="181"/>
  <c r="K59" i="181"/>
  <c r="L59" i="181"/>
  <c r="M59" i="181"/>
  <c r="N59" i="181"/>
  <c r="O59" i="181"/>
  <c r="P59" i="181"/>
  <c r="Q59" i="181"/>
  <c r="R59" i="181"/>
  <c r="S59" i="181"/>
  <c r="T59" i="181"/>
  <c r="I60" i="181"/>
  <c r="J60" i="181"/>
  <c r="K60" i="181"/>
  <c r="L60" i="181"/>
  <c r="M60" i="181"/>
  <c r="N60" i="181"/>
  <c r="O60" i="181"/>
  <c r="P60" i="181"/>
  <c r="Q60" i="181"/>
  <c r="R60" i="181"/>
  <c r="S60" i="181"/>
  <c r="T60" i="181"/>
  <c r="I62" i="181"/>
  <c r="J62" i="181"/>
  <c r="K62" i="181"/>
  <c r="L62" i="181"/>
  <c r="M62" i="181"/>
  <c r="N62" i="181"/>
  <c r="O62" i="181"/>
  <c r="P62" i="181"/>
  <c r="Q62" i="181"/>
  <c r="R62" i="181"/>
  <c r="S62" i="181"/>
  <c r="T62" i="181"/>
  <c r="I66" i="181"/>
  <c r="J66" i="181"/>
  <c r="K66" i="181"/>
  <c r="L66" i="181"/>
  <c r="M66" i="181"/>
  <c r="N66" i="181"/>
  <c r="O66" i="181"/>
  <c r="P66" i="181"/>
  <c r="Q66" i="181"/>
  <c r="R66" i="181"/>
  <c r="S66" i="181"/>
  <c r="T66" i="181"/>
  <c r="I68" i="181"/>
  <c r="J68" i="181"/>
  <c r="K68" i="181"/>
  <c r="L68" i="181"/>
  <c r="M68" i="181"/>
  <c r="N68" i="181"/>
  <c r="O68" i="181"/>
  <c r="P68" i="181"/>
  <c r="Q68" i="181"/>
  <c r="R68" i="181"/>
  <c r="S68" i="181"/>
  <c r="T68" i="181"/>
  <c r="I69" i="181"/>
  <c r="J69" i="181"/>
  <c r="K69" i="181"/>
  <c r="L69" i="181"/>
  <c r="M69" i="181"/>
  <c r="N69" i="181"/>
  <c r="O69" i="181"/>
  <c r="P69" i="181"/>
  <c r="Q69" i="181"/>
  <c r="R69" i="181"/>
  <c r="S69" i="181"/>
  <c r="T69" i="181"/>
  <c r="I70" i="181"/>
  <c r="J70" i="181"/>
  <c r="K70" i="181"/>
  <c r="L70" i="181"/>
  <c r="M70" i="181"/>
  <c r="N70" i="181"/>
  <c r="O70" i="181"/>
  <c r="P70" i="181"/>
  <c r="Q70" i="181"/>
  <c r="R70" i="181"/>
  <c r="S70" i="181"/>
  <c r="T70" i="181"/>
  <c r="I71" i="181"/>
  <c r="J71" i="181"/>
  <c r="K71" i="181"/>
  <c r="L71" i="181"/>
  <c r="M71" i="181"/>
  <c r="N71" i="181"/>
  <c r="O71" i="181"/>
  <c r="P71" i="181"/>
  <c r="Q71" i="181"/>
  <c r="R71" i="181"/>
  <c r="S71" i="181"/>
  <c r="T71" i="181"/>
  <c r="I74" i="181"/>
  <c r="J74" i="181"/>
  <c r="K74" i="181"/>
  <c r="L74" i="181"/>
  <c r="M74" i="181"/>
  <c r="N74" i="181"/>
  <c r="O74" i="181"/>
  <c r="P74" i="181"/>
  <c r="Q74" i="181"/>
  <c r="R74" i="181"/>
  <c r="S74" i="181"/>
  <c r="T74" i="181"/>
  <c r="F22" i="184"/>
  <c r="F23" i="184"/>
  <c r="F29" i="184"/>
  <c r="F30" i="184"/>
  <c r="F31" i="184"/>
  <c r="F34" i="184"/>
  <c r="F35" i="184"/>
  <c r="F36" i="184"/>
  <c r="F39" i="184"/>
  <c r="F40" i="184"/>
  <c r="F41" i="184"/>
  <c r="F48" i="184"/>
  <c r="F51" i="184"/>
  <c r="F52" i="184"/>
  <c r="F55" i="184"/>
  <c r="K55" i="184"/>
  <c r="L55" i="184"/>
  <c r="M55" i="184"/>
  <c r="N55" i="184"/>
  <c r="O55" i="184"/>
  <c r="P55" i="184"/>
  <c r="Q55" i="184"/>
  <c r="R55" i="184"/>
  <c r="F56" i="184"/>
  <c r="K56" i="184"/>
  <c r="L56" i="184"/>
  <c r="M56" i="184"/>
  <c r="N56" i="184"/>
  <c r="O56" i="184"/>
  <c r="P56" i="184"/>
  <c r="Q56" i="184"/>
  <c r="R56" i="184"/>
  <c r="F57" i="184"/>
  <c r="K57" i="184"/>
  <c r="L57" i="184"/>
  <c r="M57" i="184"/>
  <c r="N57" i="184"/>
  <c r="O57" i="184"/>
  <c r="P57" i="184"/>
  <c r="Q57" i="184"/>
  <c r="R57" i="184"/>
  <c r="K58" i="184"/>
  <c r="L58" i="184"/>
  <c r="M58" i="184"/>
  <c r="N58" i="184"/>
  <c r="O58" i="184"/>
  <c r="P58" i="184"/>
  <c r="Q58" i="184"/>
  <c r="R58" i="184"/>
  <c r="F59" i="184"/>
  <c r="K59" i="184"/>
  <c r="L59" i="184"/>
  <c r="M59" i="184"/>
  <c r="N59" i="184"/>
  <c r="O59" i="184"/>
  <c r="P59" i="184"/>
  <c r="Q59" i="184"/>
  <c r="R59" i="184"/>
  <c r="F63" i="184"/>
  <c r="G63" i="184"/>
  <c r="F64" i="184"/>
  <c r="G64" i="184"/>
  <c r="F65" i="184"/>
  <c r="G65" i="184"/>
  <c r="F66" i="184"/>
  <c r="G66" i="184"/>
  <c r="F67" i="184"/>
  <c r="G67" i="184"/>
  <c r="F68" i="184"/>
  <c r="G68" i="184"/>
  <c r="F69" i="184"/>
  <c r="G69" i="184"/>
  <c r="F70" i="184"/>
  <c r="G70" i="184"/>
  <c r="F71" i="184"/>
  <c r="G71" i="184"/>
  <c r="F74" i="184"/>
  <c r="F76" i="184"/>
  <c r="F79" i="184"/>
  <c r="F81" i="184"/>
  <c r="F82" i="184"/>
  <c r="F83" i="184"/>
  <c r="K83" i="184"/>
  <c r="L83" i="184"/>
  <c r="M83" i="184"/>
  <c r="N83" i="184"/>
  <c r="O83" i="184"/>
  <c r="P83" i="184"/>
  <c r="Q83" i="184"/>
  <c r="R83" i="184"/>
  <c r="F84" i="184"/>
  <c r="K84" i="184"/>
  <c r="L84" i="184"/>
  <c r="M84" i="184"/>
  <c r="N84" i="184"/>
  <c r="O84" i="184"/>
  <c r="P84" i="184"/>
  <c r="Q84" i="184"/>
  <c r="R84" i="184"/>
  <c r="K85" i="184"/>
  <c r="L85" i="184"/>
  <c r="M85" i="184"/>
  <c r="N85" i="184"/>
  <c r="O85" i="184"/>
  <c r="P85" i="184"/>
  <c r="Q85" i="184"/>
  <c r="R85" i="184"/>
  <c r="K86" i="184"/>
  <c r="L86" i="184"/>
  <c r="M86" i="184"/>
  <c r="N86" i="184"/>
  <c r="O86" i="184"/>
  <c r="P86" i="184"/>
  <c r="Q86" i="184"/>
  <c r="R86" i="184"/>
  <c r="K87" i="184"/>
  <c r="L87" i="184"/>
  <c r="M87" i="184"/>
  <c r="N87" i="184"/>
  <c r="O87" i="184"/>
  <c r="P87" i="184"/>
  <c r="Q87" i="184"/>
  <c r="R87" i="184"/>
  <c r="F88" i="184"/>
  <c r="K88" i="184"/>
  <c r="L88" i="184"/>
  <c r="M88" i="184"/>
  <c r="N88" i="184"/>
  <c r="O88" i="184"/>
  <c r="P88" i="184"/>
  <c r="Q88" i="184"/>
  <c r="R88" i="184"/>
  <c r="K89" i="184"/>
  <c r="L89" i="184"/>
  <c r="M89" i="184"/>
  <c r="N89" i="184"/>
  <c r="O89" i="184"/>
  <c r="P89" i="184"/>
  <c r="Q89" i="184"/>
  <c r="R89" i="184"/>
  <c r="K90" i="184"/>
  <c r="L90" i="184"/>
  <c r="M90" i="184"/>
  <c r="N90" i="184"/>
  <c r="O90" i="184"/>
  <c r="P90" i="184"/>
  <c r="Q90" i="184"/>
  <c r="R90" i="184"/>
  <c r="K91" i="184"/>
  <c r="L91" i="184"/>
  <c r="M91" i="184"/>
  <c r="N91" i="184"/>
  <c r="O91" i="184"/>
  <c r="P91" i="184"/>
  <c r="Q91" i="184"/>
  <c r="R91" i="184"/>
  <c r="K102" i="184"/>
  <c r="L102" i="184"/>
  <c r="M102" i="184"/>
  <c r="N102" i="184"/>
  <c r="O102" i="184"/>
  <c r="P102" i="184"/>
  <c r="Q102" i="184"/>
  <c r="R102" i="184"/>
  <c r="K108" i="184"/>
  <c r="L108" i="184"/>
  <c r="M108" i="184"/>
  <c r="N108" i="184"/>
  <c r="O108" i="184"/>
  <c r="P108" i="184"/>
  <c r="Q108" i="184"/>
  <c r="R108" i="184"/>
  <c r="K114" i="184"/>
  <c r="L114" i="184"/>
  <c r="M114" i="184"/>
  <c r="N114" i="184"/>
  <c r="O114" i="184"/>
  <c r="P114" i="184"/>
  <c r="Q114" i="184"/>
  <c r="R114" i="184"/>
  <c r="K120" i="184"/>
  <c r="L120" i="184"/>
  <c r="M120" i="184"/>
  <c r="N120" i="184"/>
  <c r="O120" i="184"/>
  <c r="P120" i="184"/>
  <c r="Q120" i="184"/>
  <c r="R120" i="184"/>
  <c r="K126" i="184"/>
  <c r="L126" i="184"/>
  <c r="M126" i="184"/>
  <c r="N126" i="184"/>
  <c r="O126" i="184"/>
  <c r="P126" i="184"/>
  <c r="Q126" i="184"/>
  <c r="R126" i="184"/>
  <c r="K132" i="184"/>
  <c r="L132" i="184"/>
  <c r="M132" i="184"/>
  <c r="N132" i="184"/>
  <c r="O132" i="184"/>
  <c r="P132" i="184"/>
  <c r="Q132" i="184"/>
  <c r="R132" i="184"/>
  <c r="K138" i="184"/>
  <c r="L138" i="184"/>
  <c r="M138" i="184"/>
  <c r="N138" i="184"/>
  <c r="O138" i="184"/>
  <c r="P138" i="184"/>
  <c r="Q138" i="184"/>
  <c r="R138" i="184"/>
  <c r="K144" i="184"/>
  <c r="L144" i="184"/>
  <c r="M144" i="184"/>
  <c r="N144" i="184"/>
  <c r="O144" i="184"/>
  <c r="P144" i="184"/>
  <c r="Q144" i="184"/>
  <c r="R144" i="184"/>
  <c r="K150" i="184"/>
  <c r="L150" i="184"/>
  <c r="M150" i="184"/>
  <c r="N150" i="184"/>
  <c r="O150" i="184"/>
  <c r="P150" i="184"/>
  <c r="Q150" i="184"/>
  <c r="R150" i="184"/>
  <c r="M10" i="172"/>
  <c r="M11" i="172"/>
  <c r="M12" i="172"/>
  <c r="J13" i="172"/>
  <c r="L13" i="172"/>
  <c r="M13" i="172"/>
  <c r="L14" i="172"/>
  <c r="M14" i="172"/>
  <c r="M16" i="172"/>
  <c r="H17" i="172"/>
  <c r="L17" i="172"/>
  <c r="M17" i="172"/>
  <c r="H18" i="172"/>
  <c r="L18" i="172"/>
  <c r="M18" i="172"/>
  <c r="H19" i="172"/>
  <c r="L19" i="172"/>
  <c r="M19" i="172"/>
  <c r="H21" i="172"/>
  <c r="J21" i="172"/>
  <c r="L21" i="172"/>
  <c r="M21" i="172"/>
  <c r="H23" i="172"/>
  <c r="R8" i="182"/>
  <c r="R9" i="182"/>
  <c r="R10" i="182"/>
  <c r="J11" i="182"/>
  <c r="O11" i="182"/>
  <c r="Q11" i="182"/>
  <c r="R11" i="182"/>
  <c r="J14" i="182"/>
  <c r="O14" i="182"/>
  <c r="Q14" i="182"/>
  <c r="R14" i="182"/>
  <c r="R16" i="182"/>
  <c r="H17" i="182"/>
  <c r="M17" i="182"/>
  <c r="Q17" i="182"/>
  <c r="R17" i="182"/>
  <c r="H18" i="182"/>
  <c r="M18" i="182"/>
  <c r="Q18" i="182"/>
  <c r="R18" i="182"/>
  <c r="H19" i="182"/>
  <c r="M19" i="182"/>
  <c r="Q19" i="182"/>
  <c r="R19" i="182"/>
  <c r="M20" i="182"/>
  <c r="Q20" i="182"/>
  <c r="R20" i="182"/>
  <c r="H21" i="182"/>
  <c r="J21" i="182"/>
  <c r="M21" i="182"/>
  <c r="O21" i="182"/>
  <c r="Q21" i="182"/>
  <c r="R21" i="182"/>
  <c r="H23" i="182"/>
  <c r="M23" i="182"/>
</calcChain>
</file>

<file path=xl/sharedStrings.xml><?xml version="1.0" encoding="utf-8"?>
<sst xmlns="http://schemas.openxmlformats.org/spreadsheetml/2006/main" count="269" uniqueCount="141">
  <si>
    <t>Total</t>
  </si>
  <si>
    <t>Current</t>
  </si>
  <si>
    <t>Shareholder</t>
  </si>
  <si>
    <t>Founders CS</t>
  </si>
  <si>
    <t>RSA</t>
  </si>
  <si>
    <t>Options</t>
  </si>
  <si>
    <t>Exercised Options</t>
  </si>
  <si>
    <t>% FDS</t>
  </si>
  <si>
    <t>Brian Hazzard</t>
  </si>
  <si>
    <t>David Wolpoff</t>
  </si>
  <si>
    <t>Ian Lee</t>
  </si>
  <si>
    <t>Kyle Haugsness</t>
  </si>
  <si>
    <t>Paul Riegle</t>
  </si>
  <si>
    <t>Chris Butts</t>
  </si>
  <si>
    <t>Maurice Granfield</t>
  </si>
  <si>
    <t>Pawan Lakshmanan</t>
  </si>
  <si>
    <t>Matthew Howe</t>
  </si>
  <si>
    <t>Andrew Ethan  Boyce-Lewis</t>
  </si>
  <si>
    <t>Eric McIntyre</t>
  </si>
  <si>
    <t>Patrick Heath</t>
  </si>
  <si>
    <t>Chris Lord</t>
  </si>
  <si>
    <t>Eric Freedman</t>
  </si>
  <si>
    <t>Miguel Bollar</t>
  </si>
  <si>
    <t>Bradly Matheson</t>
  </si>
  <si>
    <t>Cole  Proctor</t>
  </si>
  <si>
    <t>Available Options</t>
  </si>
  <si>
    <t>SAFE</t>
  </si>
  <si>
    <t>Notes</t>
  </si>
  <si>
    <t>IRA is actual investor</t>
  </si>
  <si>
    <t>Accomplice Founder Fund, L.P.</t>
  </si>
  <si>
    <t>Accomplice Fund IV, L.P</t>
  </si>
  <si>
    <t>Amir Bagherzadeh</t>
  </si>
  <si>
    <t>Elizabeth A. Donaghey Irrevocable Trust 2016</t>
  </si>
  <si>
    <t>Gunderson Partners</t>
  </si>
  <si>
    <t>Joe Arcadi</t>
  </si>
  <si>
    <t>Kamal Ravikant Capital, LP - E4</t>
  </si>
  <si>
    <t>Navel</t>
  </si>
  <si>
    <t>Maria Cirino</t>
  </si>
  <si>
    <t>Mike Viscuso</t>
  </si>
  <si>
    <t>Mozart Holdings, LLC</t>
  </si>
  <si>
    <t>Orcinus Generational Irrevocable Trust - 2024</t>
  </si>
  <si>
    <t>Owl Rock Capital III, LLC</t>
  </si>
  <si>
    <t>Accomplice</t>
  </si>
  <si>
    <t>Ralph Folz</t>
  </si>
  <si>
    <t>Ravikant Capital, LP - F3</t>
  </si>
  <si>
    <t>Sean Leach</t>
  </si>
  <si>
    <t>The Francis V. Castellucci Trust - 2020</t>
  </si>
  <si>
    <t>The Patrick M. Morley 1999 Trust,</t>
  </si>
  <si>
    <t>Tom Barsi</t>
  </si>
  <si>
    <t>Travis MacInnes</t>
  </si>
  <si>
    <t>UWS West End Family Trust</t>
  </si>
  <si>
    <t>Mark Lotke</t>
  </si>
  <si>
    <t xml:space="preserve">Common </t>
  </si>
  <si>
    <t xml:space="preserve">Option </t>
  </si>
  <si>
    <t>Series A</t>
  </si>
  <si>
    <t>Total Capitalization</t>
  </si>
  <si>
    <t># of</t>
  </si>
  <si>
    <t>$</t>
  </si>
  <si>
    <t>Preferred</t>
  </si>
  <si>
    <t>Pool +</t>
  </si>
  <si>
    <t>Total FD</t>
  </si>
  <si>
    <t>%</t>
  </si>
  <si>
    <t>Shares</t>
  </si>
  <si>
    <t xml:space="preserve"> Invested</t>
  </si>
  <si>
    <t>FD</t>
  </si>
  <si>
    <t>Common Stock and Options:</t>
  </si>
  <si>
    <t>Total Common</t>
  </si>
  <si>
    <t>Preferred Rounds</t>
  </si>
  <si>
    <t>Totals</t>
  </si>
  <si>
    <t>Price per Share</t>
  </si>
  <si>
    <t>Pre-Money Valuation</t>
  </si>
  <si>
    <t>Post-Money Valuation</t>
  </si>
  <si>
    <t>Series A Assumptions:</t>
  </si>
  <si>
    <t>Total Raised</t>
  </si>
  <si>
    <t>Series B</t>
  </si>
  <si>
    <t>Series B Assumptions:</t>
  </si>
  <si>
    <t>% Ownership</t>
  </si>
  <si>
    <t>Pre-Money Valuation Step-up</t>
  </si>
  <si>
    <t>Common</t>
  </si>
  <si>
    <t>ESOP Available</t>
  </si>
  <si>
    <t>Assumptions:</t>
  </si>
  <si>
    <t>Assumed ARR</t>
  </si>
  <si>
    <t>(x) Multiple</t>
  </si>
  <si>
    <t>Gross purchase price</t>
  </si>
  <si>
    <t>less: bank debt</t>
  </si>
  <si>
    <t>plus: cash</t>
  </si>
  <si>
    <t>Net equity value</t>
  </si>
  <si>
    <t>Management Carveout</t>
  </si>
  <si>
    <t>Remaining Tier 1</t>
  </si>
  <si>
    <t>Preference</t>
  </si>
  <si>
    <t>PX</t>
  </si>
  <si>
    <t>$ Preference</t>
  </si>
  <si>
    <t>A</t>
  </si>
  <si>
    <t>Remaining for Tier 2</t>
  </si>
  <si>
    <t>Tier 2 Payments (Common Stock plus As-Converted Preferred)</t>
  </si>
  <si>
    <t>Total Payments per Share</t>
  </si>
  <si>
    <t>Total Payments ($)</t>
  </si>
  <si>
    <t>Other Series A</t>
  </si>
  <si>
    <t>Pre-A</t>
  </si>
  <si>
    <t>Transfer from Owl Rocl Capital II, LLC (Accomplice)</t>
  </si>
  <si>
    <t>Post-B</t>
  </si>
  <si>
    <t>Aggregate Payments to Stockholder Groups</t>
  </si>
  <si>
    <t>Gross Gain on Investment</t>
  </si>
  <si>
    <t>IRR</t>
  </si>
  <si>
    <t>Data for IRR:</t>
  </si>
  <si>
    <t>Exit</t>
  </si>
  <si>
    <t>B</t>
  </si>
  <si>
    <t>Check:</t>
  </si>
  <si>
    <t>Other Common</t>
  </si>
  <si>
    <t>plus:  NWC (estimated M&amp;A closing adjustment)</t>
  </si>
  <si>
    <t>less:  transaction expenses (estimated)</t>
  </si>
  <si>
    <t>Denominator for Tier 1 (common plus as-converted pref)</t>
  </si>
  <si>
    <t>Amount of Tier 1 Payment per Share (common plus as-converted pref)</t>
  </si>
  <si>
    <t>Other Series B</t>
  </si>
  <si>
    <t>Other Investors</t>
  </si>
  <si>
    <t>THINK MORE SECURITY &amp; TEN ELEVEN (1011)</t>
  </si>
  <si>
    <t>SERIES A CAP TABLE</t>
  </si>
  <si>
    <t>Option Pool Target</t>
  </si>
  <si>
    <t>SERIES B CAP TABLE</t>
  </si>
  <si>
    <t>Option Pool (gross top-up)</t>
  </si>
  <si>
    <t>Post-A Returns Scenarios</t>
  </si>
  <si>
    <t>Seed</t>
  </si>
  <si>
    <t>Tier 1 Payments (Seed, Series A Preferred)</t>
  </si>
  <si>
    <t>Ten Eleven Returns Analysis</t>
  </si>
  <si>
    <t>Ten Eleven Payout</t>
  </si>
  <si>
    <t>Ten Eleven Investment</t>
  </si>
  <si>
    <t>Ten Eleven's Cash-on-Cash Multiple</t>
  </si>
  <si>
    <t>Ten Eleven's Cash-on-Cash Multiple for Series A Investment</t>
  </si>
  <si>
    <t>Post-B Returns Analysis</t>
  </si>
  <si>
    <t>Waterfall as of Today</t>
  </si>
  <si>
    <t>1st Investment Date</t>
  </si>
  <si>
    <t>Assumed Sale Date:</t>
  </si>
  <si>
    <t>Series B Post-Money Valuation</t>
  </si>
  <si>
    <t>Tier 1 Payments (Seed, Series A, Series B Preferred)</t>
  </si>
  <si>
    <t>Ten Eleven's IRR Based on Date of Sale and Exit Multiple</t>
  </si>
  <si>
    <t>Date of Sale</t>
  </si>
  <si>
    <t>Exit Multiple*</t>
  </si>
  <si>
    <t>Gross Multiple on Investment by Tier based on Exit Multiple</t>
  </si>
  <si>
    <t>Tier</t>
  </si>
  <si>
    <t>Series Seed</t>
  </si>
  <si>
    <t>Blended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</si>
</sst>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&quot;$&quot;#,##0"/>
    <numFmt numFmtId="165" formatCode="0.0%"/>
    <numFmt numFmtId="168" formatCode="_-[$$-409]* #,##0_-;_-[$$-409]* \(#,##0\)_-;_-[$$-409]* &quot;-&quot;??;_-@_-"/>
    <numFmt numFmtId="169" formatCode="0.0%_);\(0.0%\);0.0%_);@_)"/>
    <numFmt numFmtId="171" formatCode="&quot;$&quot;#,##0_);\(&quot;$&quot;#,##0\);&quot;$&quot;#,##0_);@_)"/>
    <numFmt numFmtId="175" formatCode="_-[$$-409]* #,##0.0000_-;_-[$$-409]* \(#,##0.0000\)_-;_-[$$-409]* &quot;-&quot;??;_-@_-"/>
    <numFmt numFmtId="181" formatCode="m/d/yy;@"/>
    <numFmt numFmtId="182" formatCode="&quot;$&quot;#,##0.00_);\(&quot;$&quot;#,##0.00\);&quot;$&quot;#,##0.00_);@_)"/>
    <numFmt numFmtId="183" formatCode="0.0\x_);\(0.0\x\);0.0\x_);@_)"/>
    <numFmt numFmtId="184" formatCode="mm/dd/yy;@"/>
  </numFmts>
  <fonts count="3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0"/>
      <color theme="1"/>
      <name val="Garamond"/>
      <family val="1"/>
    </font>
    <font>
      <b/>
      <sz val="10"/>
      <color theme="1"/>
      <name val="Garamond"/>
      <family val="1"/>
    </font>
    <font>
      <sz val="10"/>
      <color rgb="FF0000FF"/>
      <name val="Garamond"/>
      <family val="1"/>
    </font>
    <font>
      <sz val="10"/>
      <color rgb="FF008000"/>
      <name val="Garamond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Garamond"/>
      <family val="1"/>
    </font>
    <font>
      <sz val="10"/>
      <color rgb="FF000000"/>
      <name val="Garamond"/>
      <family val="1"/>
    </font>
    <font>
      <b/>
      <sz val="10"/>
      <color rgb="FF0000FF"/>
      <name val="Garamond"/>
      <family val="1"/>
    </font>
    <font>
      <sz val="12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b/>
      <sz val="10"/>
      <color rgb="FF000000"/>
      <name val="Garamond"/>
      <family val="1"/>
    </font>
    <font>
      <sz val="10"/>
      <color rgb="FFC0504D"/>
      <name val="Garamond"/>
      <family val="1"/>
    </font>
    <font>
      <b/>
      <sz val="10"/>
      <color rgb="FFFFFFFF"/>
      <name val="Garamond"/>
      <family val="1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CC"/>
        <bgColor indexed="64"/>
      </patternFill>
    </fill>
    <fill>
      <patternFill patternType="solid">
        <fgColor rgb="FF1F497D"/>
        <bgColor indexed="64"/>
      </patternFill>
    </fill>
  </fills>
  <borders count="3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thin">
        <color rgb="FF808080"/>
      </top>
      <bottom/>
      <diagonal/>
    </border>
    <border>
      <left/>
      <right/>
      <top/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/>
      <diagonal/>
    </border>
    <border>
      <left style="thin">
        <color rgb="FF808080"/>
      </left>
      <right/>
      <top/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 style="thin">
        <color rgb="FF808080"/>
      </right>
      <top/>
      <bottom/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9">
    <xf numFmtId="0" fontId="0" fillId="0" borderId="0" xfId="0"/>
    <xf numFmtId="0" fontId="18" fillId="0" borderId="0" xfId="0" applyFont="1"/>
    <xf numFmtId="0" fontId="19" fillId="0" borderId="0" xfId="0" applyFont="1"/>
    <xf numFmtId="0" fontId="19" fillId="0" borderId="0" xfId="0" applyFont="1" applyAlignment="1">
      <alignment horizontal="center"/>
    </xf>
    <xf numFmtId="0" fontId="20" fillId="0" borderId="0" xfId="0" applyFont="1"/>
    <xf numFmtId="165" fontId="18" fillId="0" borderId="0" xfId="0" applyNumberFormat="1" applyFont="1"/>
    <xf numFmtId="165" fontId="20" fillId="33" borderId="0" xfId="0" applyNumberFormat="1" applyFont="1" applyFill="1"/>
    <xf numFmtId="0" fontId="18" fillId="0" borderId="0" xfId="0" applyFont="1" applyAlignment="1">
      <alignment horizontal="center"/>
    </xf>
    <xf numFmtId="165" fontId="18" fillId="0" borderId="0" xfId="0" applyNumberFormat="1" applyFont="1" applyAlignment="1">
      <alignment horizontal="center"/>
    </xf>
    <xf numFmtId="0" fontId="19" fillId="0" borderId="12" xfId="0" applyFont="1" applyBorder="1"/>
    <xf numFmtId="0" fontId="22" fillId="0" borderId="0" xfId="0" applyFont="1"/>
    <xf numFmtId="0" fontId="22" fillId="0" borderId="0" xfId="0" applyFont="1" applyAlignment="1">
      <alignment horizontal="center"/>
    </xf>
    <xf numFmtId="164" fontId="22" fillId="0" borderId="0" xfId="0" applyNumberFormat="1" applyFont="1" applyAlignment="1">
      <alignment horizontal="center"/>
    </xf>
    <xf numFmtId="37" fontId="18" fillId="0" borderId="0" xfId="0" applyNumberFormat="1" applyFont="1" applyAlignment="1">
      <alignment horizontal="center"/>
    </xf>
    <xf numFmtId="168" fontId="18" fillId="0" borderId="0" xfId="0" applyNumberFormat="1" applyFont="1" applyAlignment="1">
      <alignment horizontal="center"/>
    </xf>
    <xf numFmtId="171" fontId="18" fillId="0" borderId="0" xfId="0" applyNumberFormat="1" applyFont="1"/>
    <xf numFmtId="37" fontId="21" fillId="0" borderId="0" xfId="0" applyNumberFormat="1" applyFont="1" applyAlignment="1">
      <alignment horizontal="center"/>
    </xf>
    <xf numFmtId="168" fontId="21" fillId="0" borderId="0" xfId="0" applyNumberFormat="1" applyFont="1" applyAlignment="1">
      <alignment horizontal="center"/>
    </xf>
    <xf numFmtId="168" fontId="20" fillId="33" borderId="0" xfId="0" applyNumberFormat="1" applyFont="1" applyFill="1" applyAlignment="1">
      <alignment horizontal="center"/>
    </xf>
    <xf numFmtId="0" fontId="25" fillId="0" borderId="0" xfId="0" applyFont="1"/>
    <xf numFmtId="0" fontId="27" fillId="0" borderId="0" xfId="0" applyFont="1"/>
    <xf numFmtId="0" fontId="27" fillId="0" borderId="0" xfId="0" applyFont="1" applyAlignment="1">
      <alignment horizontal="center"/>
    </xf>
    <xf numFmtId="10" fontId="27" fillId="0" borderId="0" xfId="0" applyNumberFormat="1" applyFont="1" applyAlignment="1">
      <alignment horizontal="center"/>
    </xf>
    <xf numFmtId="164" fontId="23" fillId="0" borderId="0" xfId="0" applyNumberFormat="1" applyFont="1" applyAlignment="1">
      <alignment horizontal="center"/>
    </xf>
    <xf numFmtId="0" fontId="24" fillId="0" borderId="0" xfId="0" applyFont="1" applyAlignment="1">
      <alignment horizontal="centerContinuous"/>
    </xf>
    <xf numFmtId="171" fontId="18" fillId="0" borderId="0" xfId="0" applyNumberFormat="1" applyFont="1" applyAlignment="1">
      <alignment horizontal="center"/>
    </xf>
    <xf numFmtId="0" fontId="18" fillId="0" borderId="14" xfId="0" applyFont="1" applyBorder="1"/>
    <xf numFmtId="0" fontId="18" fillId="0" borderId="16" xfId="0" applyFont="1" applyBorder="1"/>
    <xf numFmtId="0" fontId="18" fillId="0" borderId="15" xfId="0" applyFont="1" applyBorder="1"/>
    <xf numFmtId="37" fontId="21" fillId="0" borderId="0" xfId="0" applyNumberFormat="1" applyFont="1"/>
    <xf numFmtId="171" fontId="21" fillId="0" borderId="0" xfId="0" applyNumberFormat="1" applyFont="1"/>
    <xf numFmtId="169" fontId="18" fillId="0" borderId="0" xfId="0" applyNumberFormat="1" applyFont="1"/>
    <xf numFmtId="175" fontId="18" fillId="0" borderId="0" xfId="0" applyNumberFormat="1" applyFont="1" applyAlignment="1">
      <alignment horizontal="center"/>
    </xf>
    <xf numFmtId="0" fontId="18" fillId="0" borderId="10" xfId="0" applyFont="1" applyBorder="1" applyAlignment="1">
      <alignment horizontal="center"/>
    </xf>
    <xf numFmtId="0" fontId="18" fillId="0" borderId="10" xfId="0" applyFont="1" applyBorder="1"/>
    <xf numFmtId="0" fontId="18" fillId="0" borderId="13" xfId="0" applyFont="1" applyBorder="1"/>
    <xf numFmtId="0" fontId="18" fillId="0" borderId="18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168" fontId="18" fillId="0" borderId="14" xfId="0" applyNumberFormat="1" applyFont="1" applyBorder="1" applyAlignment="1">
      <alignment horizontal="center"/>
    </xf>
    <xf numFmtId="0" fontId="18" fillId="0" borderId="17" xfId="0" applyFont="1" applyBorder="1" applyAlignment="1">
      <alignment horizontal="center"/>
    </xf>
    <xf numFmtId="0" fontId="28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3" fontId="28" fillId="0" borderId="0" xfId="0" applyNumberFormat="1" applyFont="1" applyAlignment="1">
      <alignment horizontal="center"/>
    </xf>
    <xf numFmtId="10" fontId="28" fillId="0" borderId="0" xfId="0" applyNumberFormat="1" applyFont="1" applyAlignment="1">
      <alignment horizontal="center"/>
    </xf>
    <xf numFmtId="164" fontId="29" fillId="0" borderId="0" xfId="0" applyNumberFormat="1" applyFont="1" applyAlignment="1">
      <alignment horizontal="center"/>
    </xf>
    <xf numFmtId="164" fontId="28" fillId="0" borderId="0" xfId="0" applyNumberFormat="1" applyFont="1" applyAlignment="1">
      <alignment horizontal="center"/>
    </xf>
    <xf numFmtId="0" fontId="30" fillId="0" borderId="0" xfId="0" applyFont="1"/>
    <xf numFmtId="0" fontId="30" fillId="0" borderId="0" xfId="0" applyFont="1" applyAlignment="1">
      <alignment horizontal="center"/>
    </xf>
    <xf numFmtId="37" fontId="25" fillId="0" borderId="0" xfId="0" applyNumberFormat="1" applyFont="1" applyAlignment="1">
      <alignment horizontal="center"/>
    </xf>
    <xf numFmtId="0" fontId="30" fillId="0" borderId="20" xfId="0" applyFont="1" applyBorder="1" applyAlignment="1">
      <alignment horizontal="center"/>
    </xf>
    <xf numFmtId="0" fontId="30" fillId="0" borderId="24" xfId="0" applyFont="1" applyBorder="1" applyAlignment="1">
      <alignment horizontal="center"/>
    </xf>
    <xf numFmtId="0" fontId="30" fillId="0" borderId="15" xfId="0" applyFont="1" applyBorder="1" applyAlignment="1">
      <alignment horizontal="center"/>
    </xf>
    <xf numFmtId="0" fontId="30" fillId="0" borderId="17" xfId="0" applyFont="1" applyBorder="1" applyAlignment="1">
      <alignment horizontal="center"/>
    </xf>
    <xf numFmtId="0" fontId="30" fillId="0" borderId="23" xfId="0" applyFont="1" applyBorder="1" applyAlignment="1">
      <alignment horizontal="center"/>
    </xf>
    <xf numFmtId="0" fontId="30" fillId="0" borderId="21" xfId="0" applyFont="1" applyBorder="1" applyAlignment="1">
      <alignment horizontal="center"/>
    </xf>
    <xf numFmtId="0" fontId="30" fillId="0" borderId="22" xfId="0" applyFont="1" applyBorder="1" applyAlignment="1">
      <alignment horizontal="center"/>
    </xf>
    <xf numFmtId="0" fontId="30" fillId="0" borderId="20" xfId="0" applyFont="1" applyBorder="1"/>
    <xf numFmtId="0" fontId="25" fillId="0" borderId="16" xfId="0" applyFont="1" applyBorder="1"/>
    <xf numFmtId="0" fontId="30" fillId="0" borderId="16" xfId="0" applyFont="1" applyBorder="1"/>
    <xf numFmtId="3" fontId="27" fillId="0" borderId="0" xfId="0" applyNumberFormat="1" applyFont="1" applyAlignment="1">
      <alignment horizontal="center"/>
    </xf>
    <xf numFmtId="165" fontId="18" fillId="0" borderId="18" xfId="0" applyNumberFormat="1" applyFont="1" applyBorder="1" applyAlignment="1">
      <alignment horizontal="center"/>
    </xf>
    <xf numFmtId="0" fontId="19" fillId="0" borderId="0" xfId="0" applyFont="1" applyAlignment="1">
      <alignment horizontal="centerContinuous"/>
    </xf>
    <xf numFmtId="165" fontId="19" fillId="0" borderId="19" xfId="0" applyNumberFormat="1" applyFont="1" applyBorder="1" applyAlignment="1">
      <alignment horizontal="center"/>
    </xf>
    <xf numFmtId="0" fontId="18" fillId="0" borderId="12" xfId="0" applyFont="1" applyBorder="1"/>
    <xf numFmtId="37" fontId="19" fillId="0" borderId="10" xfId="0" applyNumberFormat="1" applyFont="1" applyBorder="1" applyAlignment="1">
      <alignment horizontal="center"/>
    </xf>
    <xf numFmtId="37" fontId="19" fillId="0" borderId="12" xfId="0" applyNumberFormat="1" applyFont="1" applyBorder="1" applyAlignment="1">
      <alignment horizontal="center"/>
    </xf>
    <xf numFmtId="168" fontId="19" fillId="0" borderId="12" xfId="0" applyNumberFormat="1" applyFont="1" applyBorder="1" applyAlignment="1">
      <alignment horizontal="center"/>
    </xf>
    <xf numFmtId="175" fontId="21" fillId="0" borderId="0" xfId="0" applyNumberFormat="1" applyFont="1" applyAlignment="1">
      <alignment horizontal="center"/>
    </xf>
    <xf numFmtId="3" fontId="29" fillId="0" borderId="0" xfId="0" applyNumberFormat="1" applyFont="1" applyAlignment="1">
      <alignment horizontal="center"/>
    </xf>
    <xf numFmtId="0" fontId="18" fillId="0" borderId="0" xfId="0" applyFont="1" applyBorder="1"/>
    <xf numFmtId="0" fontId="18" fillId="0" borderId="18" xfId="0" applyFont="1" applyBorder="1"/>
    <xf numFmtId="171" fontId="30" fillId="0" borderId="0" xfId="0" applyNumberFormat="1" applyFont="1"/>
    <xf numFmtId="39" fontId="30" fillId="0" borderId="20" xfId="0" applyNumberFormat="1" applyFont="1" applyBorder="1" applyAlignment="1">
      <alignment horizontal="center"/>
    </xf>
    <xf numFmtId="0" fontId="18" fillId="0" borderId="21" xfId="0" applyFont="1" applyBorder="1"/>
    <xf numFmtId="0" fontId="31" fillId="0" borderId="0" xfId="0" applyFont="1"/>
    <xf numFmtId="37" fontId="20" fillId="33" borderId="0" xfId="0" applyNumberFormat="1" applyFont="1" applyFill="1"/>
    <xf numFmtId="168" fontId="20" fillId="33" borderId="14" xfId="0" applyNumberFormat="1" applyFont="1" applyFill="1" applyBorder="1" applyAlignment="1">
      <alignment horizontal="center"/>
    </xf>
    <xf numFmtId="168" fontId="26" fillId="0" borderId="12" xfId="0" applyNumberFormat="1" applyFont="1" applyBorder="1" applyAlignment="1">
      <alignment horizontal="center"/>
    </xf>
    <xf numFmtId="0" fontId="18" fillId="0" borderId="19" xfId="0" applyFont="1" applyBorder="1"/>
    <xf numFmtId="168" fontId="21" fillId="0" borderId="14" xfId="0" applyNumberFormat="1" applyFont="1" applyBorder="1" applyAlignment="1">
      <alignment horizontal="center"/>
    </xf>
    <xf numFmtId="169" fontId="20" fillId="0" borderId="0" xfId="0" applyNumberFormat="1" applyFont="1"/>
    <xf numFmtId="182" fontId="21" fillId="0" borderId="0" xfId="0" applyNumberFormat="1" applyFont="1"/>
    <xf numFmtId="183" fontId="18" fillId="0" borderId="0" xfId="0" applyNumberFormat="1" applyFont="1"/>
    <xf numFmtId="181" fontId="18" fillId="0" borderId="0" xfId="0" applyNumberFormat="1" applyFont="1"/>
    <xf numFmtId="183" fontId="20" fillId="0" borderId="0" xfId="0" applyNumberFormat="1" applyFont="1" applyAlignment="1">
      <alignment horizontal="center"/>
    </xf>
    <xf numFmtId="49" fontId="18" fillId="0" borderId="0" xfId="0" applyNumberFormat="1" applyFont="1" applyAlignment="1">
      <alignment horizontal="center"/>
    </xf>
    <xf numFmtId="0" fontId="18" fillId="0" borderId="12" xfId="0" applyFont="1" applyBorder="1" applyAlignment="1">
      <alignment horizontal="center"/>
    </xf>
    <xf numFmtId="183" fontId="18" fillId="0" borderId="0" xfId="0" applyNumberFormat="1" applyFont="1" applyAlignment="1">
      <alignment horizontal="center"/>
    </xf>
    <xf numFmtId="171" fontId="30" fillId="0" borderId="0" xfId="0" applyNumberFormat="1" applyFont="1" applyAlignment="1">
      <alignment horizontal="center"/>
    </xf>
    <xf numFmtId="171" fontId="30" fillId="0" borderId="25" xfId="0" applyNumberFormat="1" applyFont="1" applyBorder="1" applyAlignment="1">
      <alignment horizontal="center"/>
    </xf>
    <xf numFmtId="171" fontId="21" fillId="0" borderId="11" xfId="0" applyNumberFormat="1" applyFont="1" applyBorder="1" applyAlignment="1">
      <alignment horizontal="center"/>
    </xf>
    <xf numFmtId="184" fontId="20" fillId="0" borderId="0" xfId="0" applyNumberFormat="1" applyFont="1"/>
    <xf numFmtId="0" fontId="19" fillId="0" borderId="27" xfId="0" applyFont="1" applyBorder="1"/>
    <xf numFmtId="0" fontId="32" fillId="34" borderId="0" xfId="0" applyFont="1" applyFill="1" applyAlignment="1">
      <alignment horizontal="center"/>
    </xf>
    <xf numFmtId="0" fontId="32" fillId="34" borderId="0" xfId="0" applyFont="1" applyFill="1" applyAlignment="1">
      <alignment horizontal="centerContinuous"/>
    </xf>
    <xf numFmtId="183" fontId="20" fillId="33" borderId="0" xfId="0" applyNumberFormat="1" applyFont="1" applyFill="1"/>
    <xf numFmtId="0" fontId="18" fillId="0" borderId="27" xfId="0" applyFont="1" applyBorder="1"/>
    <xf numFmtId="184" fontId="18" fillId="0" borderId="0" xfId="0" applyNumberFormat="1" applyFont="1"/>
    <xf numFmtId="171" fontId="30" fillId="0" borderId="25" xfId="0" applyNumberFormat="1" applyFont="1" applyBorder="1"/>
    <xf numFmtId="171" fontId="18" fillId="0" borderId="10" xfId="0" applyNumberFormat="1" applyFont="1" applyBorder="1"/>
    <xf numFmtId="171" fontId="18" fillId="0" borderId="25" xfId="0" applyNumberFormat="1" applyFont="1" applyBorder="1"/>
    <xf numFmtId="0" fontId="32" fillId="34" borderId="25" xfId="0" applyFont="1" applyFill="1" applyBorder="1" applyAlignment="1">
      <alignment horizontal="centerContinuous"/>
    </xf>
    <xf numFmtId="0" fontId="32" fillId="34" borderId="28" xfId="0" applyFont="1" applyFill="1" applyBorder="1" applyAlignment="1">
      <alignment horizontal="center"/>
    </xf>
    <xf numFmtId="165" fontId="18" fillId="0" borderId="29" xfId="0" applyNumberFormat="1" applyFont="1" applyBorder="1"/>
    <xf numFmtId="0" fontId="18" fillId="0" borderId="29" xfId="0" applyFont="1" applyBorder="1"/>
    <xf numFmtId="0" fontId="32" fillId="34" borderId="30" xfId="0" applyFont="1" applyFill="1" applyBorder="1" applyAlignment="1">
      <alignment horizontal="centerContinuous"/>
    </xf>
    <xf numFmtId="165" fontId="18" fillId="0" borderId="31" xfId="0" applyNumberFormat="1" applyFont="1" applyBorder="1"/>
    <xf numFmtId="0" fontId="18" fillId="0" borderId="31" xfId="0" applyFont="1" applyBorder="1"/>
    <xf numFmtId="165" fontId="18" fillId="0" borderId="32" xfId="0" applyNumberFormat="1" applyFont="1" applyBorder="1"/>
    <xf numFmtId="165" fontId="18" fillId="0" borderId="26" xfId="0" applyNumberFormat="1" applyFont="1" applyBorder="1"/>
    <xf numFmtId="165" fontId="18" fillId="0" borderId="33" xfId="0" applyNumberFormat="1" applyFont="1" applyBorder="1"/>
    <xf numFmtId="0" fontId="18" fillId="0" borderId="28" xfId="0" applyFont="1" applyBorder="1"/>
    <xf numFmtId="0" fontId="18" fillId="0" borderId="25" xfId="0" applyFont="1" applyBorder="1"/>
    <xf numFmtId="0" fontId="18" fillId="0" borderId="30" xfId="0" applyFont="1" applyBorder="1"/>
    <xf numFmtId="183" fontId="18" fillId="0" borderId="29" xfId="0" applyNumberFormat="1" applyFont="1" applyBorder="1"/>
    <xf numFmtId="183" fontId="18" fillId="0" borderId="31" xfId="0" applyNumberFormat="1" applyFont="1" applyBorder="1"/>
    <xf numFmtId="183" fontId="18" fillId="0" borderId="32" xfId="0" applyNumberFormat="1" applyFont="1" applyBorder="1"/>
    <xf numFmtId="183" fontId="18" fillId="0" borderId="26" xfId="0" applyNumberFormat="1" applyFont="1" applyBorder="1"/>
    <xf numFmtId="183" fontId="18" fillId="0" borderId="33" xfId="0" applyNumberFormat="1" applyFon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" visibility="1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b2c3d4-e5f6-7890-abcd-ef1234567890}">
  <we:reference id="a1b2c3d4-e5f6-7890-abcd-ef1234567890" version="1.0.0.0" store="developer" storeType="Registry"/>
  <we:alternateReferences/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247F2-A572-0A4C-B29B-4D304022B0D3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4F8D5-D6D4-0646-BBA6-F4A148925CB1}">
  <dimension ref="A1:J23"/>
  <sheetViews>
    <sheetView workbookViewId="0"/>
  </sheetViews>
  <sheetFormatPr baseColWidth="10" defaultRowHeight="16" x14ac:dyDescent="0.2"/>
  <cols>
    <col min="1" max="1" width="11.33203125" customWidth="1"/>
    <col min="2" max="2" width="32.83203125" customWidth="1"/>
    <col min="3" max="3" width="15.5" customWidth="1"/>
    <col min="4" max="4" width="9.5" customWidth="1"/>
    <col min="5" max="5" width="13.6640625" customWidth="1"/>
    <col min="6" max="6" width="22.1640625" customWidth="1"/>
    <col min="7" max="7" width="13.83203125" customWidth="1"/>
    <col min="8" max="8" width="12" customWidth="1"/>
    <col min="9" max="9" width="3.33203125" customWidth="1"/>
  </cols>
  <sheetData>
    <row r="1" spans="1:10" x14ac:dyDescent="0.2">
      <c r="A1" s="21"/>
      <c r="B1" s="21"/>
      <c r="C1" s="21"/>
      <c r="D1" s="21"/>
      <c r="E1" s="21"/>
      <c r="F1" s="21"/>
      <c r="G1" s="21"/>
      <c r="H1" s="21"/>
      <c r="I1" s="21"/>
      <c r="J1" s="21"/>
    </row>
    <row r="2" spans="1:10" x14ac:dyDescent="0.2">
      <c r="A2" s="21"/>
      <c r="B2" s="21"/>
      <c r="C2" s="21"/>
      <c r="D2" s="21"/>
      <c r="E2" s="21"/>
      <c r="F2" s="21"/>
      <c r="G2" s="21"/>
      <c r="H2" s="41" t="s">
        <v>1</v>
      </c>
      <c r="I2" s="21"/>
      <c r="J2" s="21"/>
    </row>
    <row r="3" spans="1:10" x14ac:dyDescent="0.2">
      <c r="A3" s="21"/>
      <c r="B3" s="41" t="s">
        <v>2</v>
      </c>
      <c r="C3" s="41" t="s">
        <v>3</v>
      </c>
      <c r="D3" s="41" t="s">
        <v>4</v>
      </c>
      <c r="E3" s="41" t="s">
        <v>5</v>
      </c>
      <c r="F3" s="41" t="s">
        <v>6</v>
      </c>
      <c r="G3" s="41" t="s">
        <v>0</v>
      </c>
      <c r="H3" s="41" t="s">
        <v>7</v>
      </c>
      <c r="I3" s="21"/>
      <c r="J3" s="21"/>
    </row>
    <row r="4" spans="1:10" x14ac:dyDescent="0.2">
      <c r="A4" s="21"/>
      <c r="B4" s="40" t="s">
        <v>8</v>
      </c>
      <c r="C4" s="42">
        <v>3600000</v>
      </c>
      <c r="D4" s="59"/>
      <c r="E4" s="20"/>
      <c r="F4" s="20"/>
      <c r="G4" s="42">
        <f>SUM(C4:F4)</f>
        <v>3600000</v>
      </c>
      <c r="H4" s="43">
        <f>G4/$G$23</f>
        <v>0.36959987630724139</v>
      </c>
      <c r="I4" s="22"/>
      <c r="J4" s="21"/>
    </row>
    <row r="5" spans="1:10" x14ac:dyDescent="0.2">
      <c r="A5" s="21"/>
      <c r="B5" s="40" t="s">
        <v>9</v>
      </c>
      <c r="C5" s="42">
        <v>3600000</v>
      </c>
      <c r="D5" s="59"/>
      <c r="E5" s="20"/>
      <c r="F5" s="20"/>
      <c r="G5" s="42">
        <f>SUM(C5:F5)</f>
        <v>3600000</v>
      </c>
      <c r="H5" s="43">
        <f>G5/$G$23</f>
        <v>0.36959987630724139</v>
      </c>
      <c r="I5" s="22"/>
      <c r="J5" s="21"/>
    </row>
    <row r="6" spans="1:10" x14ac:dyDescent="0.2">
      <c r="A6" s="21"/>
      <c r="B6" s="40" t="s">
        <v>10</v>
      </c>
      <c r="C6" s="42">
        <v>222187</v>
      </c>
      <c r="D6" s="59"/>
      <c r="E6" s="20"/>
      <c r="F6" s="20"/>
      <c r="G6" s="42">
        <f>SUM(C6:F6)</f>
        <v>222187</v>
      </c>
      <c r="H6" s="43">
        <f>G6/$G$23</f>
        <v>2.28111910325214E-2</v>
      </c>
      <c r="I6" s="22"/>
      <c r="J6" s="21"/>
    </row>
    <row r="7" spans="1:10" x14ac:dyDescent="0.2">
      <c r="A7" s="21"/>
      <c r="B7" s="40" t="s">
        <v>11</v>
      </c>
      <c r="C7" s="42">
        <v>592500</v>
      </c>
      <c r="D7" s="59"/>
      <c r="E7" s="20"/>
      <c r="F7" s="20"/>
      <c r="G7" s="42">
        <f>SUM(C7:F7)</f>
        <v>592500</v>
      </c>
      <c r="H7" s="43">
        <f>G7/$G$23</f>
        <v>6.0829979642233481E-2</v>
      </c>
      <c r="I7" s="22"/>
      <c r="J7" s="21"/>
    </row>
    <row r="8" spans="1:10" x14ac:dyDescent="0.2">
      <c r="A8" s="21"/>
      <c r="B8" s="40" t="s">
        <v>12</v>
      </c>
      <c r="C8" s="42">
        <v>592500</v>
      </c>
      <c r="D8" s="59"/>
      <c r="E8" s="20"/>
      <c r="F8" s="20"/>
      <c r="G8" s="42">
        <f>SUM(C8:F8)</f>
        <v>592500</v>
      </c>
      <c r="H8" s="43">
        <f>G8/$G$23</f>
        <v>6.0829979642233481E-2</v>
      </c>
      <c r="I8" s="22"/>
      <c r="J8" s="21"/>
    </row>
    <row r="9" spans="1:10" x14ac:dyDescent="0.2">
      <c r="A9" s="21"/>
      <c r="B9" s="40" t="s">
        <v>13</v>
      </c>
      <c r="C9" s="42">
        <v>13500</v>
      </c>
      <c r="D9" s="42">
        <v>98900</v>
      </c>
      <c r="E9" s="59"/>
      <c r="F9" s="20"/>
      <c r="G9" s="42">
        <f>SUM(C9:F9)</f>
        <v>112400</v>
      </c>
      <c r="H9" s="43">
        <f>G9/$G$23</f>
        <v>1.1539729471370537E-2</v>
      </c>
      <c r="I9" s="22"/>
      <c r="J9" s="21"/>
    </row>
    <row r="10" spans="1:10" x14ac:dyDescent="0.2">
      <c r="A10" s="21"/>
      <c r="B10" s="40" t="s">
        <v>14</v>
      </c>
      <c r="C10" s="42">
        <v>9000</v>
      </c>
      <c r="D10" s="59"/>
      <c r="E10" s="59"/>
      <c r="F10" s="20"/>
      <c r="G10" s="42">
        <f>SUM(C10:F10)</f>
        <v>9000</v>
      </c>
      <c r="H10" s="43">
        <f>G10/$G$23</f>
        <v>9.2399969076810353E-4</v>
      </c>
      <c r="I10" s="22"/>
      <c r="J10" s="21"/>
    </row>
    <row r="11" spans="1:10" x14ac:dyDescent="0.2">
      <c r="A11" s="21"/>
      <c r="B11" s="40" t="s">
        <v>15</v>
      </c>
      <c r="C11" s="59"/>
      <c r="D11" s="42">
        <v>95000</v>
      </c>
      <c r="E11" s="59"/>
      <c r="F11" s="20"/>
      <c r="G11" s="42">
        <f>SUM(C11:F11)</f>
        <v>95000</v>
      </c>
      <c r="H11" s="43">
        <f>G11/$G$23</f>
        <v>9.7533300692188695E-3</v>
      </c>
      <c r="I11" s="22"/>
      <c r="J11" s="21"/>
    </row>
    <row r="12" spans="1:10" x14ac:dyDescent="0.2">
      <c r="A12" s="21"/>
      <c r="B12" s="40" t="s">
        <v>16</v>
      </c>
      <c r="C12" s="59"/>
      <c r="D12" s="59"/>
      <c r="E12" s="42">
        <v>25000</v>
      </c>
      <c r="F12" s="59"/>
      <c r="G12" s="42">
        <f>SUM(C12:F12)</f>
        <v>25000</v>
      </c>
      <c r="H12" s="43">
        <f>G12/$G$23</f>
        <v>2.5666658076891765E-3</v>
      </c>
      <c r="I12" s="22"/>
      <c r="J12" s="21"/>
    </row>
    <row r="13" spans="1:10" x14ac:dyDescent="0.2">
      <c r="A13" s="21"/>
      <c r="B13" s="40" t="s">
        <v>17</v>
      </c>
      <c r="C13" s="59"/>
      <c r="D13" s="59"/>
      <c r="E13" s="42">
        <v>41562</v>
      </c>
      <c r="F13" s="59"/>
      <c r="G13" s="42">
        <f>SUM(C13:F13)</f>
        <v>41562</v>
      </c>
      <c r="H13" s="43">
        <f>G13/$G$23</f>
        <v>4.2670305719671019E-3</v>
      </c>
      <c r="I13" s="22"/>
      <c r="J13" s="21"/>
    </row>
    <row r="14" spans="1:10" x14ac:dyDescent="0.2">
      <c r="A14" s="21"/>
      <c r="B14" s="40" t="s">
        <v>18</v>
      </c>
      <c r="C14" s="59"/>
      <c r="D14" s="42">
        <v>285000</v>
      </c>
      <c r="E14" s="59"/>
      <c r="F14" s="59"/>
      <c r="G14" s="42">
        <f>SUM(C14:F14)</f>
        <v>285000</v>
      </c>
      <c r="H14" s="43">
        <f>G14/$G$23</f>
        <v>2.925999020765661E-2</v>
      </c>
      <c r="I14" s="22"/>
      <c r="J14" s="21"/>
    </row>
    <row r="15" spans="1:10" x14ac:dyDescent="0.2">
      <c r="A15" s="21"/>
      <c r="B15" s="40" t="s">
        <v>19</v>
      </c>
      <c r="C15" s="59"/>
      <c r="D15" s="42">
        <v>50000</v>
      </c>
      <c r="E15" s="59"/>
      <c r="F15" s="59"/>
      <c r="G15" s="42">
        <f>SUM(C15:F15)</f>
        <v>50000</v>
      </c>
      <c r="H15" s="43">
        <f>G15/$G$23</f>
        <v>5.133331615378353E-3</v>
      </c>
      <c r="I15" s="22"/>
      <c r="J15" s="21"/>
    </row>
    <row r="16" spans="1:10" x14ac:dyDescent="0.2">
      <c r="A16" s="21"/>
      <c r="B16" s="40" t="s">
        <v>20</v>
      </c>
      <c r="C16" s="59"/>
      <c r="D16" s="42">
        <v>285000</v>
      </c>
      <c r="E16" s="59"/>
      <c r="F16" s="59"/>
      <c r="G16" s="42">
        <f>SUM(C16:F16)</f>
        <v>285000</v>
      </c>
      <c r="H16" s="43">
        <f>G16/$G$23</f>
        <v>2.925999020765661E-2</v>
      </c>
      <c r="I16" s="22"/>
      <c r="J16" s="21"/>
    </row>
    <row r="17" spans="1:10" x14ac:dyDescent="0.2">
      <c r="A17" s="21"/>
      <c r="B17" s="40" t="s">
        <v>21</v>
      </c>
      <c r="C17" s="59"/>
      <c r="D17" s="59"/>
      <c r="E17" s="42">
        <v>96186</v>
      </c>
      <c r="F17" s="59"/>
      <c r="G17" s="42">
        <f>SUM(C17:F17)</f>
        <v>96186</v>
      </c>
      <c r="H17" s="43">
        <f>G17/$G$23</f>
        <v>9.8750926951356455E-3</v>
      </c>
      <c r="I17" s="22"/>
      <c r="J17" s="21"/>
    </row>
    <row r="18" spans="1:10" x14ac:dyDescent="0.2">
      <c r="A18" s="21"/>
      <c r="B18" s="40" t="s">
        <v>22</v>
      </c>
      <c r="C18" s="59"/>
      <c r="D18" s="59"/>
      <c r="E18" s="42">
        <v>48095</v>
      </c>
      <c r="F18" s="59"/>
      <c r="G18" s="42">
        <f>SUM(C18:F18)</f>
        <v>48095</v>
      </c>
      <c r="H18" s="43">
        <f>G18/$G$23</f>
        <v>4.9377516808324371E-3</v>
      </c>
      <c r="I18" s="22"/>
      <c r="J18" s="21"/>
    </row>
    <row r="19" spans="1:10" x14ac:dyDescent="0.2">
      <c r="A19" s="21"/>
      <c r="B19" s="40" t="s">
        <v>23</v>
      </c>
      <c r="C19" s="59"/>
      <c r="D19" s="59"/>
      <c r="E19" s="59"/>
      <c r="F19" s="42">
        <v>12395</v>
      </c>
      <c r="G19" s="42">
        <f>SUM(C19:F19)</f>
        <v>12395</v>
      </c>
      <c r="H19" s="43">
        <f>G19/$G$23</f>
        <v>1.2725529074522936E-3</v>
      </c>
      <c r="I19" s="22"/>
      <c r="J19" s="21"/>
    </row>
    <row r="20" spans="1:10" x14ac:dyDescent="0.2">
      <c r="A20" s="21"/>
      <c r="B20" s="40" t="s">
        <v>24</v>
      </c>
      <c r="C20" s="59"/>
      <c r="D20" s="59"/>
      <c r="E20" s="59"/>
      <c r="F20" s="42">
        <v>8333</v>
      </c>
      <c r="G20" s="42">
        <f>SUM(C20:F20)</f>
        <v>8333</v>
      </c>
      <c r="H20" s="43">
        <f>G20/$G$23</f>
        <v>8.5552104701895626E-4</v>
      </c>
      <c r="I20" s="22"/>
      <c r="J20" s="21"/>
    </row>
    <row r="21" spans="1:10" ht="15.75" customHeight="1" x14ac:dyDescent="0.2">
      <c r="A21" s="21"/>
      <c r="B21" s="40" t="s">
        <v>25</v>
      </c>
      <c r="C21" s="59"/>
      <c r="D21" s="42">
        <v>65105</v>
      </c>
      <c r="E21" s="59"/>
      <c r="F21" s="59"/>
      <c r="G21" s="42">
        <f>SUM(C21:F21)</f>
        <v>65105</v>
      </c>
      <c r="H21" s="43">
        <f>G21/$G$23</f>
        <v>6.6841110963841528E-3</v>
      </c>
      <c r="I21" s="22"/>
      <c r="J21" s="21"/>
    </row>
    <row r="22" spans="1:10" ht="15.75" customHeight="1" x14ac:dyDescent="0.2">
      <c r="A22" s="21"/>
      <c r="B22" s="21"/>
      <c r="C22" s="21"/>
      <c r="D22" s="21"/>
      <c r="E22" s="21"/>
      <c r="F22" s="21"/>
      <c r="G22" s="59"/>
      <c r="H22" s="22"/>
      <c r="I22" s="22"/>
      <c r="J22" s="21"/>
    </row>
    <row r="23" spans="1:10" ht="15.75" customHeight="1" x14ac:dyDescent="0.2">
      <c r="A23" s="21"/>
      <c r="B23" s="41" t="s">
        <v>0</v>
      </c>
      <c r="C23" s="68">
        <f>SUM(C4:C21)</f>
        <v>8629687</v>
      </c>
      <c r="D23" s="68">
        <f>SUM(D4:D21)</f>
        <v>879005</v>
      </c>
      <c r="E23" s="68">
        <f>SUM(E4:E21)</f>
        <v>210843</v>
      </c>
      <c r="F23" s="68">
        <f>SUM(F4:F21)</f>
        <v>20728</v>
      </c>
      <c r="G23" s="68">
        <f>SUM(G4:G21)</f>
        <v>9740263</v>
      </c>
      <c r="H23" s="59"/>
      <c r="I23" s="59"/>
      <c r="J23" s="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D99B4-134A-FB41-B826-C99A5893907A}">
  <dimension ref="A1:K27"/>
  <sheetViews>
    <sheetView workbookViewId="0"/>
  </sheetViews>
  <sheetFormatPr baseColWidth="10" defaultRowHeight="16" x14ac:dyDescent="0.2"/>
  <cols>
    <col min="1" max="1" width="11.33203125" customWidth="1"/>
    <col min="2" max="2" width="51.33203125" customWidth="1"/>
    <col min="3" max="3" width="12.33203125" customWidth="1"/>
    <col min="4" max="4" width="3.33203125" customWidth="1"/>
    <col min="5" max="5" width="60.1640625" customWidth="1"/>
  </cols>
  <sheetData>
    <row r="1" spans="1:11" x14ac:dyDescent="0.2">
      <c r="A1" s="11"/>
      <c r="B1" s="11"/>
      <c r="C1" s="12"/>
      <c r="D1" s="11"/>
      <c r="E1" s="11"/>
      <c r="F1" s="11"/>
      <c r="G1" s="11"/>
      <c r="H1" s="11"/>
      <c r="I1" s="11"/>
      <c r="J1" s="11"/>
      <c r="K1" s="11"/>
    </row>
    <row r="2" spans="1:11" x14ac:dyDescent="0.2">
      <c r="A2" s="11"/>
      <c r="B2" s="11"/>
      <c r="C2" s="23"/>
      <c r="D2" s="11"/>
      <c r="E2" s="11"/>
      <c r="F2" s="11"/>
      <c r="G2" s="11"/>
      <c r="H2" s="11"/>
      <c r="I2" s="11"/>
      <c r="J2" s="11"/>
      <c r="K2" s="11"/>
    </row>
    <row r="3" spans="1:11" x14ac:dyDescent="0.2">
      <c r="A3" s="11"/>
      <c r="B3" s="41" t="s">
        <v>2</v>
      </c>
      <c r="C3" s="44" t="s">
        <v>26</v>
      </c>
      <c r="D3" s="11"/>
      <c r="E3" s="41" t="s">
        <v>27</v>
      </c>
      <c r="F3" s="11"/>
      <c r="G3" s="11"/>
      <c r="H3" s="11"/>
      <c r="I3" s="11"/>
      <c r="J3" s="11"/>
      <c r="K3" s="11"/>
    </row>
    <row r="4" spans="1:11" x14ac:dyDescent="0.2">
      <c r="A4" s="11"/>
      <c r="B4" s="40" t="s">
        <v>13</v>
      </c>
      <c r="C4" s="45">
        <v>25000</v>
      </c>
      <c r="D4" s="11"/>
      <c r="E4" s="40" t="s">
        <v>28</v>
      </c>
      <c r="F4" s="11"/>
      <c r="G4" s="11"/>
      <c r="H4" s="11"/>
      <c r="I4" s="11"/>
      <c r="J4" s="11"/>
      <c r="K4" s="11"/>
    </row>
    <row r="5" spans="1:11" x14ac:dyDescent="0.2">
      <c r="A5" s="11"/>
      <c r="B5" s="40" t="s">
        <v>14</v>
      </c>
      <c r="C5" s="45">
        <v>25000</v>
      </c>
      <c r="D5" s="11"/>
      <c r="E5" s="11"/>
      <c r="F5" s="11"/>
      <c r="G5" s="11"/>
      <c r="H5" s="11"/>
      <c r="I5" s="11"/>
      <c r="J5" s="11"/>
      <c r="K5" s="11"/>
    </row>
    <row r="6" spans="1:11" ht="15.75" customHeight="1" x14ac:dyDescent="0.2">
      <c r="A6" s="11"/>
      <c r="B6" s="40" t="s">
        <v>29</v>
      </c>
      <c r="C6" s="45">
        <v>137170.75</v>
      </c>
      <c r="D6" s="11"/>
      <c r="E6" s="11"/>
      <c r="F6" s="11"/>
      <c r="G6" s="11"/>
      <c r="H6" s="11"/>
      <c r="I6" s="11"/>
      <c r="J6" s="11"/>
      <c r="K6" s="11"/>
    </row>
    <row r="7" spans="1:11" ht="15.75" customHeight="1" x14ac:dyDescent="0.2">
      <c r="A7" s="11"/>
      <c r="B7" s="40" t="s">
        <v>30</v>
      </c>
      <c r="C7" s="45">
        <v>3846829.25</v>
      </c>
      <c r="D7" s="11"/>
      <c r="E7" s="11"/>
      <c r="F7" s="11"/>
      <c r="G7" s="11"/>
      <c r="H7" s="11"/>
      <c r="I7" s="11"/>
      <c r="J7" s="11"/>
      <c r="K7" s="11"/>
    </row>
    <row r="8" spans="1:11" ht="15.75" customHeight="1" x14ac:dyDescent="0.2">
      <c r="A8" s="11"/>
      <c r="B8" s="40" t="s">
        <v>31</v>
      </c>
      <c r="C8" s="45">
        <v>16566</v>
      </c>
      <c r="D8" s="11"/>
      <c r="E8" s="40" t="s">
        <v>99</v>
      </c>
      <c r="F8" s="11"/>
      <c r="G8" s="11"/>
      <c r="H8" s="11"/>
      <c r="I8" s="11"/>
      <c r="J8" s="11"/>
      <c r="K8" s="11"/>
    </row>
    <row r="9" spans="1:11" ht="15.75" customHeight="1" x14ac:dyDescent="0.2">
      <c r="A9" s="11"/>
      <c r="B9" s="40" t="s">
        <v>32</v>
      </c>
      <c r="C9" s="45">
        <v>250000</v>
      </c>
      <c r="D9" s="11"/>
      <c r="E9" s="11"/>
      <c r="F9" s="11"/>
      <c r="G9" s="11"/>
      <c r="H9" s="11"/>
      <c r="I9" s="11"/>
      <c r="J9" s="11"/>
      <c r="K9" s="11"/>
    </row>
    <row r="10" spans="1:11" ht="15.75" customHeight="1" x14ac:dyDescent="0.2">
      <c r="A10" s="11"/>
      <c r="B10" s="40" t="s">
        <v>33</v>
      </c>
      <c r="C10" s="45">
        <v>100000</v>
      </c>
      <c r="D10" s="11"/>
      <c r="E10" s="11"/>
      <c r="F10" s="11"/>
      <c r="G10" s="11"/>
      <c r="H10" s="11"/>
      <c r="I10" s="11"/>
      <c r="J10" s="11"/>
      <c r="K10" s="11"/>
    </row>
    <row r="11" spans="1:11" ht="15.75" customHeight="1" x14ac:dyDescent="0.2">
      <c r="A11" s="11"/>
      <c r="B11" s="40" t="s">
        <v>34</v>
      </c>
      <c r="C11" s="45">
        <v>300000</v>
      </c>
      <c r="D11" s="11"/>
      <c r="E11" s="40" t="s">
        <v>28</v>
      </c>
      <c r="F11" s="11"/>
      <c r="G11" s="11"/>
      <c r="H11" s="11"/>
      <c r="I11" s="11"/>
      <c r="J11" s="11"/>
      <c r="K11" s="11"/>
    </row>
    <row r="12" spans="1:11" ht="15.75" customHeight="1" x14ac:dyDescent="0.2">
      <c r="A12" s="11"/>
      <c r="B12" s="40" t="s">
        <v>35</v>
      </c>
      <c r="C12" s="45">
        <v>37500</v>
      </c>
      <c r="D12" s="11"/>
      <c r="E12" s="40" t="s">
        <v>36</v>
      </c>
      <c r="F12" s="11"/>
      <c r="G12" s="11"/>
      <c r="H12" s="11"/>
      <c r="I12" s="11"/>
      <c r="J12" s="11"/>
      <c r="K12" s="11"/>
    </row>
    <row r="13" spans="1:11" ht="15.75" customHeight="1" x14ac:dyDescent="0.2">
      <c r="A13" s="11"/>
      <c r="B13" s="40" t="s">
        <v>37</v>
      </c>
      <c r="C13" s="45">
        <v>250000</v>
      </c>
      <c r="D13" s="11"/>
      <c r="E13" s="11"/>
      <c r="F13" s="11"/>
      <c r="G13" s="11"/>
      <c r="H13" s="11"/>
      <c r="I13" s="11"/>
      <c r="J13" s="11"/>
      <c r="K13" s="11"/>
    </row>
    <row r="14" spans="1:11" ht="15.75" customHeight="1" x14ac:dyDescent="0.2">
      <c r="A14" s="11"/>
      <c r="B14" s="40" t="s">
        <v>38</v>
      </c>
      <c r="C14" s="45">
        <v>100000</v>
      </c>
      <c r="D14" s="11"/>
      <c r="E14" s="11"/>
      <c r="F14" s="11"/>
      <c r="G14" s="11"/>
      <c r="H14" s="11"/>
      <c r="I14" s="11"/>
      <c r="J14" s="11"/>
      <c r="K14" s="11"/>
    </row>
    <row r="15" spans="1:11" ht="15.75" customHeight="1" x14ac:dyDescent="0.2">
      <c r="A15" s="11"/>
      <c r="B15" s="40" t="s">
        <v>39</v>
      </c>
      <c r="C15" s="45">
        <v>41164</v>
      </c>
      <c r="D15" s="11"/>
      <c r="E15" s="40" t="s">
        <v>99</v>
      </c>
      <c r="F15" s="11"/>
      <c r="G15" s="11"/>
      <c r="H15" s="11"/>
      <c r="I15" s="11"/>
      <c r="J15" s="11"/>
      <c r="K15" s="11"/>
    </row>
    <row r="16" spans="1:11" ht="15.75" customHeight="1" x14ac:dyDescent="0.2">
      <c r="A16" s="11"/>
      <c r="B16" s="40" t="s">
        <v>40</v>
      </c>
      <c r="C16" s="45">
        <v>2328778</v>
      </c>
      <c r="D16" s="11"/>
      <c r="E16" s="40" t="s">
        <v>99</v>
      </c>
      <c r="F16" s="11"/>
      <c r="G16" s="11"/>
      <c r="H16" s="11"/>
      <c r="I16" s="11"/>
      <c r="J16" s="11"/>
      <c r="K16" s="11"/>
    </row>
    <row r="17" spans="1:11" ht="15.75" customHeight="1" x14ac:dyDescent="0.2">
      <c r="A17" s="11"/>
      <c r="B17" s="40" t="s">
        <v>41</v>
      </c>
      <c r="C17" s="45">
        <v>1506000</v>
      </c>
      <c r="D17" s="11"/>
      <c r="E17" s="40" t="s">
        <v>42</v>
      </c>
      <c r="F17" s="11"/>
      <c r="G17" s="11"/>
      <c r="H17" s="11"/>
      <c r="I17" s="11"/>
      <c r="J17" s="11"/>
      <c r="K17" s="11"/>
    </row>
    <row r="18" spans="1:11" ht="15.75" customHeight="1" x14ac:dyDescent="0.2">
      <c r="A18" s="11"/>
      <c r="B18" s="40" t="s">
        <v>43</v>
      </c>
      <c r="C18" s="45">
        <v>50000</v>
      </c>
      <c r="D18" s="11"/>
      <c r="E18" s="11"/>
      <c r="F18" s="11"/>
      <c r="G18" s="11"/>
      <c r="H18" s="11"/>
      <c r="I18" s="11"/>
      <c r="J18" s="11"/>
      <c r="K18" s="11"/>
    </row>
    <row r="19" spans="1:11" ht="15.75" customHeight="1" x14ac:dyDescent="0.2">
      <c r="A19" s="11"/>
      <c r="B19" s="40" t="s">
        <v>44</v>
      </c>
      <c r="C19" s="45">
        <v>212500</v>
      </c>
      <c r="D19" s="11"/>
      <c r="E19" s="40" t="s">
        <v>36</v>
      </c>
      <c r="F19" s="11"/>
      <c r="G19" s="11"/>
      <c r="H19" s="11"/>
      <c r="I19" s="11"/>
      <c r="J19" s="11"/>
      <c r="K19" s="11"/>
    </row>
    <row r="20" spans="1:11" ht="15.75" customHeight="1" x14ac:dyDescent="0.2">
      <c r="A20" s="11"/>
      <c r="B20" s="40" t="s">
        <v>45</v>
      </c>
      <c r="C20" s="45">
        <v>25000</v>
      </c>
      <c r="D20" s="11"/>
      <c r="E20" s="11"/>
      <c r="F20" s="11"/>
      <c r="G20" s="11"/>
      <c r="H20" s="11"/>
      <c r="I20" s="11"/>
      <c r="J20" s="11"/>
      <c r="K20" s="11"/>
    </row>
    <row r="21" spans="1:11" ht="15.75" customHeight="1" x14ac:dyDescent="0.2">
      <c r="A21" s="11"/>
      <c r="B21" s="40" t="s">
        <v>46</v>
      </c>
      <c r="C21" s="45">
        <v>61746</v>
      </c>
      <c r="D21" s="11"/>
      <c r="E21" s="40" t="s">
        <v>99</v>
      </c>
      <c r="F21" s="11"/>
      <c r="G21" s="11"/>
      <c r="H21" s="11"/>
      <c r="I21" s="11"/>
      <c r="J21" s="11"/>
      <c r="K21" s="11"/>
    </row>
    <row r="22" spans="1:11" ht="15.75" customHeight="1" x14ac:dyDescent="0.2">
      <c r="A22" s="11"/>
      <c r="B22" s="40" t="s">
        <v>47</v>
      </c>
      <c r="C22" s="45">
        <v>100000</v>
      </c>
      <c r="D22" s="11"/>
      <c r="E22" s="11"/>
      <c r="F22" s="11"/>
      <c r="G22" s="11"/>
      <c r="H22" s="11"/>
      <c r="I22" s="11"/>
      <c r="J22" s="11"/>
      <c r="K22" s="11"/>
    </row>
    <row r="23" spans="1:11" ht="15.75" customHeight="1" x14ac:dyDescent="0.2">
      <c r="A23" s="11"/>
      <c r="B23" s="40" t="s">
        <v>48</v>
      </c>
      <c r="C23" s="45">
        <v>100000</v>
      </c>
      <c r="D23" s="11"/>
      <c r="E23" s="11"/>
      <c r="F23" s="11"/>
      <c r="G23" s="11"/>
      <c r="H23" s="11"/>
      <c r="I23" s="11"/>
      <c r="J23" s="11"/>
      <c r="K23" s="11"/>
    </row>
    <row r="24" spans="1:11" ht="15.75" customHeight="1" x14ac:dyDescent="0.2">
      <c r="A24" s="11"/>
      <c r="B24" s="40" t="s">
        <v>49</v>
      </c>
      <c r="C24" s="45">
        <v>61746</v>
      </c>
      <c r="D24" s="11"/>
      <c r="E24" s="40" t="s">
        <v>99</v>
      </c>
      <c r="F24" s="11"/>
      <c r="G24" s="11"/>
      <c r="H24" s="11"/>
      <c r="I24" s="11"/>
      <c r="J24" s="11"/>
      <c r="K24" s="11"/>
    </row>
    <row r="25" spans="1:11" ht="15.75" customHeight="1" x14ac:dyDescent="0.2">
      <c r="A25" s="11"/>
      <c r="B25" s="40" t="s">
        <v>50</v>
      </c>
      <c r="C25" s="45">
        <v>250000</v>
      </c>
      <c r="D25" s="11"/>
      <c r="E25" s="40" t="s">
        <v>51</v>
      </c>
      <c r="F25" s="11"/>
      <c r="G25" s="11"/>
      <c r="H25" s="11"/>
      <c r="I25" s="11"/>
      <c r="J25" s="11"/>
      <c r="K25" s="11"/>
    </row>
    <row r="26" spans="1:11" ht="15.75" customHeight="1" x14ac:dyDescent="0.2">
      <c r="A26" s="11"/>
      <c r="B26" s="11"/>
      <c r="C26" s="12"/>
      <c r="D26" s="11"/>
      <c r="E26" s="10"/>
      <c r="F26" s="11"/>
      <c r="G26" s="11"/>
      <c r="H26" s="11"/>
      <c r="I26" s="11"/>
      <c r="J26" s="11"/>
      <c r="K26" s="11"/>
    </row>
    <row r="27" spans="1:11" ht="15.75" customHeight="1" x14ac:dyDescent="0.2">
      <c r="A27" s="11"/>
      <c r="B27" s="40" t="s">
        <v>0</v>
      </c>
      <c r="C27" s="44">
        <f>SUM(C4:C25)</f>
        <v>9825000</v>
      </c>
      <c r="D27" s="11"/>
      <c r="E27" s="10"/>
      <c r="F27" s="11"/>
      <c r="G27" s="11"/>
      <c r="H27" s="11"/>
      <c r="I27" s="11"/>
      <c r="J27" s="11"/>
      <c r="K27" s="1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30C51-3F91-784D-9BD0-3358D82BBEA4}">
  <dimension ref="A1:N33"/>
  <sheetViews>
    <sheetView showGridLines="0" workbookViewId="0">
      <selection activeCell="H31" sqref="H31"/>
    </sheetView>
  </sheetViews>
  <sheetFormatPr baseColWidth="10" defaultRowHeight="16" x14ac:dyDescent="0.2"/>
  <cols>
    <col min="1" max="1" width="6.33203125" customWidth="1"/>
    <col min="2" max="2" width="35.5" customWidth="1"/>
    <col min="3" max="3" width="14.33203125" customWidth="1"/>
    <col min="4" max="4" width="17.6640625" customWidth="1"/>
    <col min="5" max="5" width="16.83203125" customWidth="1"/>
    <col min="6" max="6" width="3.1640625" customWidth="1"/>
    <col min="7" max="7" width="17.6640625" customWidth="1"/>
    <col min="8" max="8" width="16.83203125" customWidth="1"/>
    <col min="9" max="9" width="3.1640625" customWidth="1"/>
    <col min="10" max="10" width="13.83203125" customWidth="1"/>
    <col min="11" max="11" width="3.1640625" customWidth="1"/>
    <col min="12" max="12" width="14.33203125" customWidth="1"/>
    <col min="13" max="13" width="9.33203125" customWidth="1"/>
  </cols>
  <sheetData>
    <row r="1" spans="1:14" x14ac:dyDescent="0.2">
      <c r="A1" s="1"/>
      <c r="B1" s="24" t="s">
        <v>115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</row>
    <row r="2" spans="1:14" x14ac:dyDescent="0.2">
      <c r="A2" s="1"/>
      <c r="B2" s="24" t="s">
        <v>116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</row>
    <row r="3" spans="1:14" x14ac:dyDescent="0.2">
      <c r="A3" s="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</row>
    <row r="4" spans="1:14" ht="15.5" customHeight="1" x14ac:dyDescent="0.2">
      <c r="A4" s="1"/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</row>
    <row r="5" spans="1:14" ht="16.25" customHeight="1" thickBot="1" x14ac:dyDescent="0.25">
      <c r="A5" s="1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spans="1:14" ht="13.75" customHeight="1" thickBot="1" x14ac:dyDescent="0.25">
      <c r="A6" s="1"/>
      <c r="B6" s="1"/>
      <c r="C6" s="49" t="s">
        <v>52</v>
      </c>
      <c r="D6" s="49" t="s">
        <v>26</v>
      </c>
      <c r="E6" s="73"/>
      <c r="F6" s="1"/>
      <c r="G6" s="49" t="s">
        <v>54</v>
      </c>
      <c r="H6" s="73"/>
      <c r="I6" s="1"/>
      <c r="J6" s="54" t="s">
        <v>53</v>
      </c>
      <c r="K6" s="47"/>
      <c r="L6" s="49" t="s">
        <v>55</v>
      </c>
      <c r="M6" s="50"/>
      <c r="N6" s="47"/>
    </row>
    <row r="7" spans="1:14" x14ac:dyDescent="0.2">
      <c r="A7" s="1"/>
      <c r="B7" s="1"/>
      <c r="C7" s="72" t="s">
        <v>56</v>
      </c>
      <c r="D7" s="49" t="s">
        <v>57</v>
      </c>
      <c r="E7" s="54" t="s">
        <v>58</v>
      </c>
      <c r="F7" s="1"/>
      <c r="G7" s="49" t="s">
        <v>57</v>
      </c>
      <c r="H7" s="54" t="s">
        <v>58</v>
      </c>
      <c r="I7" s="1"/>
      <c r="J7" s="53" t="s">
        <v>59</v>
      </c>
      <c r="K7" s="47"/>
      <c r="L7" s="49" t="s">
        <v>60</v>
      </c>
      <c r="M7" s="50" t="s">
        <v>61</v>
      </c>
      <c r="N7" s="47"/>
    </row>
    <row r="8" spans="1:14" ht="13.75" customHeight="1" thickBot="1" x14ac:dyDescent="0.25">
      <c r="A8" s="1"/>
      <c r="B8" s="74"/>
      <c r="C8" s="51" t="s">
        <v>62</v>
      </c>
      <c r="D8" s="51" t="s">
        <v>63</v>
      </c>
      <c r="E8" s="52" t="s">
        <v>62</v>
      </c>
      <c r="F8" s="1"/>
      <c r="G8" s="51" t="s">
        <v>63</v>
      </c>
      <c r="H8" s="52" t="s">
        <v>62</v>
      </c>
      <c r="I8" s="1"/>
      <c r="J8" s="55" t="s">
        <v>98</v>
      </c>
      <c r="K8" s="47"/>
      <c r="L8" s="51" t="s">
        <v>62</v>
      </c>
      <c r="M8" s="52" t="s">
        <v>64</v>
      </c>
      <c r="N8" s="47"/>
    </row>
    <row r="9" spans="1:14" x14ac:dyDescent="0.2">
      <c r="A9" s="1"/>
      <c r="B9" s="56" t="s">
        <v>65</v>
      </c>
      <c r="C9" s="69"/>
      <c r="D9" s="69"/>
      <c r="E9" s="69"/>
      <c r="F9" s="35"/>
      <c r="G9" s="69"/>
      <c r="H9" s="69"/>
      <c r="I9" s="35"/>
      <c r="J9" s="69"/>
      <c r="K9" s="35"/>
      <c r="L9" s="69"/>
      <c r="M9" s="70"/>
    </row>
    <row r="10" spans="1:14" x14ac:dyDescent="0.2">
      <c r="A10" s="1"/>
      <c r="B10" s="57" t="s">
        <v>8</v>
      </c>
      <c r="C10" s="16">
        <f>'Detailed Cap Table'!G4</f>
        <v>3600000</v>
      </c>
      <c r="D10" s="7"/>
      <c r="E10" s="7"/>
      <c r="F10" s="1"/>
      <c r="G10" s="7"/>
      <c r="H10" s="7"/>
      <c r="I10" s="1"/>
      <c r="J10" s="7"/>
      <c r="K10" s="1"/>
      <c r="L10" s="13">
        <f>C10+E10+H10+J10</f>
        <v>3600000</v>
      </c>
      <c r="M10" s="60">
        <f ca="1">L10/$L$21</f>
        <v>0.19407509228944511</v>
      </c>
    </row>
    <row r="11" spans="1:14" x14ac:dyDescent="0.2">
      <c r="A11" s="1"/>
      <c r="B11" s="57" t="s">
        <v>9</v>
      </c>
      <c r="C11" s="16">
        <f>'Detailed Cap Table'!G5</f>
        <v>3600000</v>
      </c>
      <c r="D11" s="7"/>
      <c r="E11" s="7"/>
      <c r="F11" s="1"/>
      <c r="G11" s="7"/>
      <c r="H11" s="7"/>
      <c r="I11" s="1"/>
      <c r="J11" s="7"/>
      <c r="K11" s="1"/>
      <c r="L11" s="13">
        <f>C11+E11+H11+J11</f>
        <v>3600000</v>
      </c>
      <c r="M11" s="60">
        <f ca="1">L11/$L$21</f>
        <v>0.19407509228944511</v>
      </c>
    </row>
    <row r="12" spans="1:14" ht="14.5" customHeight="1" x14ac:dyDescent="0.2">
      <c r="A12" s="1"/>
      <c r="B12" s="57" t="s">
        <v>108</v>
      </c>
      <c r="C12" s="16">
        <f>'Detailed Cap Table'!G23-'Detailed Cap Table'!G4-'Detailed Cap Table'!G5-'Detailed Cap Table'!G21</f>
        <v>2475158</v>
      </c>
      <c r="D12" s="7"/>
      <c r="E12" s="7"/>
      <c r="F12" s="1"/>
      <c r="G12" s="7"/>
      <c r="H12" s="7"/>
      <c r="I12" s="1"/>
      <c r="J12" s="7"/>
      <c r="K12" s="1"/>
      <c r="L12" s="13">
        <f>C12+E12+H12+J12</f>
        <v>2475158</v>
      </c>
      <c r="M12" s="60">
        <f ca="1">L12/$L$21</f>
        <v>0.1334351436891551</v>
      </c>
    </row>
    <row r="13" spans="1:14" x14ac:dyDescent="0.2">
      <c r="A13" s="1"/>
      <c r="B13" s="57" t="s">
        <v>79</v>
      </c>
      <c r="C13" s="16">
        <f>'Detailed Cap Table'!G21</f>
        <v>65105</v>
      </c>
      <c r="D13" s="7"/>
      <c r="E13" s="7"/>
      <c r="F13" s="1"/>
      <c r="G13" s="7"/>
      <c r="H13" s="7"/>
      <c r="I13" s="1"/>
      <c r="J13" s="48">
        <f ca="1">ROUND(0.1*L21-C13,0)</f>
        <v>1789847</v>
      </c>
      <c r="K13" s="1"/>
      <c r="L13" s="13">
        <f ca="1">C13+E13+H13+J13</f>
        <v>1854952</v>
      </c>
      <c r="M13" s="60">
        <f ca="1">L13/$L$21</f>
        <v>9.9999994609025214E-2</v>
      </c>
    </row>
    <row r="14" spans="1:14" x14ac:dyDescent="0.2">
      <c r="A14" s="1"/>
      <c r="B14" s="58" t="s">
        <v>66</v>
      </c>
      <c r="C14" s="64">
        <f>SUM(C10:C13)</f>
        <v>9740263</v>
      </c>
      <c r="D14" s="7"/>
      <c r="E14" s="7"/>
      <c r="F14" s="1"/>
      <c r="G14" s="7"/>
      <c r="H14" s="7"/>
      <c r="I14" s="1"/>
      <c r="J14" s="33"/>
      <c r="K14" s="1"/>
      <c r="L14" s="64">
        <f ca="1">SUM(L10:L13)</f>
        <v>11530110</v>
      </c>
      <c r="M14" s="62">
        <f ca="1">L14/$L$21</f>
        <v>0.62158532287707047</v>
      </c>
    </row>
    <row r="15" spans="1:14" x14ac:dyDescent="0.2">
      <c r="A15" s="1"/>
      <c r="B15" s="58" t="s">
        <v>67</v>
      </c>
      <c r="C15" s="7"/>
      <c r="D15" s="7"/>
      <c r="E15" s="7"/>
      <c r="F15" s="1"/>
      <c r="G15" s="7"/>
      <c r="H15" s="7"/>
      <c r="I15" s="1"/>
      <c r="J15" s="7"/>
      <c r="K15" s="1"/>
      <c r="L15" s="7"/>
      <c r="M15" s="36"/>
    </row>
    <row r="16" spans="1:14" x14ac:dyDescent="0.2">
      <c r="A16" s="1"/>
      <c r="B16" s="57" t="s">
        <v>114</v>
      </c>
      <c r="C16" s="7"/>
      <c r="D16" s="17">
        <f>'SAFE Investments'!C27-('SAFE Investments'!C6+'SAFE Investments'!C7+'SAFE Investments'!C8+'SAFE Investments'!C15+'SAFE Investments'!C16+'SAFE Investments'!C17+'SAFE Investments'!C21+'SAFE Investments'!C24)</f>
        <v>1825000</v>
      </c>
      <c r="E16" s="13">
        <f>IFERROR(ROUND(D16/$E$23,0),0)</f>
        <v>442464</v>
      </c>
      <c r="F16" s="1"/>
      <c r="G16" s="7"/>
      <c r="H16" s="7"/>
      <c r="I16" s="1"/>
      <c r="J16" s="7"/>
      <c r="K16" s="1"/>
      <c r="L16" s="13">
        <f>C16+E16+H16+J16</f>
        <v>442464</v>
      </c>
      <c r="M16" s="60">
        <f ca="1">L16/$L$21</f>
        <v>2.3853122676321399E-2</v>
      </c>
    </row>
    <row r="17" spans="1:13" x14ac:dyDescent="0.2">
      <c r="A17" s="1"/>
      <c r="B17" s="57" t="s">
        <v>42</v>
      </c>
      <c r="C17" s="7"/>
      <c r="D17" s="17">
        <f>'SAFE Investments'!C6+'SAFE Investments'!C7+'SAFE Investments'!C8+'SAFE Investments'!C15+'SAFE Investments'!C16+'SAFE Investments'!C17+'SAFE Investments'!C21+'SAFE Investments'!C24</f>
        <v>8000000</v>
      </c>
      <c r="E17" s="13">
        <f>IFERROR(ROUND(D17/$E$23,0),0)</f>
        <v>1939567</v>
      </c>
      <c r="F17" s="1"/>
      <c r="G17" s="18">
        <v>5000000</v>
      </c>
      <c r="H17" s="13">
        <f ca="1">IFERROR(ROUND(G17/$H$23,0),0)</f>
        <v>1159345</v>
      </c>
      <c r="I17" s="1"/>
      <c r="J17" s="7"/>
      <c r="K17" s="1"/>
      <c r="L17" s="13">
        <f ca="1">C17+E17+H17+J17</f>
        <v>3098912</v>
      </c>
      <c r="M17" s="60">
        <f ca="1">L17/$L$21</f>
        <v>0.16706156455468579</v>
      </c>
    </row>
    <row r="18" spans="1:13" x14ac:dyDescent="0.2">
      <c r="A18" s="1"/>
      <c r="B18" s="57">
        <v>1011</v>
      </c>
      <c r="C18" s="7"/>
      <c r="D18" s="7"/>
      <c r="E18" s="7"/>
      <c r="F18" s="1"/>
      <c r="G18" s="18">
        <v>12000000</v>
      </c>
      <c r="H18" s="13">
        <f ca="1">IFERROR(ROUND(G18/$H$23,0),0)</f>
        <v>2782428</v>
      </c>
      <c r="I18" s="1"/>
      <c r="J18" s="7"/>
      <c r="K18" s="1"/>
      <c r="L18" s="13">
        <f ca="1">C18+E18+H18+J18</f>
        <v>2782428</v>
      </c>
      <c r="M18" s="60">
        <f ca="1">L18/$L$21</f>
        <v>0.14999999191353783</v>
      </c>
    </row>
    <row r="19" spans="1:13" x14ac:dyDescent="0.2">
      <c r="A19" s="1"/>
      <c r="B19" s="57" t="s">
        <v>97</v>
      </c>
      <c r="C19" s="7"/>
      <c r="D19" s="7"/>
      <c r="E19" s="7"/>
      <c r="F19" s="1"/>
      <c r="G19" s="14">
        <f>$G$21-SUM(G17:G18)</f>
        <v>3000000</v>
      </c>
      <c r="H19" s="13">
        <f ca="1">IFERROR(ROUND(G19/$H$23,0),0)</f>
        <v>695607</v>
      </c>
      <c r="I19" s="1"/>
      <c r="J19" s="7"/>
      <c r="K19" s="1"/>
      <c r="L19" s="13">
        <f ca="1">C19+E19+H19+J19</f>
        <v>695607</v>
      </c>
      <c r="M19" s="60">
        <f ca="1">L19/$L$21</f>
        <v>3.7499997978384457E-2</v>
      </c>
    </row>
    <row r="20" spans="1:13" x14ac:dyDescent="0.2">
      <c r="A20" s="1"/>
      <c r="B20" s="27"/>
      <c r="C20" s="7"/>
      <c r="D20" s="7"/>
      <c r="E20" s="7"/>
      <c r="F20" s="1"/>
      <c r="G20" s="7"/>
      <c r="H20" s="7"/>
      <c r="I20" s="1"/>
      <c r="J20" s="7"/>
      <c r="K20" s="1"/>
      <c r="L20" s="7"/>
      <c r="M20" s="36"/>
    </row>
    <row r="21" spans="1:13" x14ac:dyDescent="0.2">
      <c r="A21" s="1"/>
      <c r="B21" s="58" t="s">
        <v>68</v>
      </c>
      <c r="C21" s="64">
        <f>C14+SUM(C16:C19)</f>
        <v>9740263</v>
      </c>
      <c r="D21" s="66">
        <f>SUM(D10:D19)</f>
        <v>9825000</v>
      </c>
      <c r="E21" s="65">
        <f>SUM(E10:E19)</f>
        <v>2382031</v>
      </c>
      <c r="F21" s="1"/>
      <c r="G21" s="77">
        <v>20000000</v>
      </c>
      <c r="H21" s="65">
        <f ca="1">SUM(H10:H19)</f>
        <v>4637380</v>
      </c>
      <c r="I21" s="1"/>
      <c r="J21" s="64">
        <f ca="1">J13</f>
        <v>1789847</v>
      </c>
      <c r="K21" s="1"/>
      <c r="L21" s="64">
        <f ca="1">SUM(L16:L20)+L14</f>
        <v>18549521</v>
      </c>
      <c r="M21" s="62">
        <f ca="1">SUM(M16:M19)+M14</f>
        <v>0.99999999999999989</v>
      </c>
    </row>
    <row r="22" spans="1:13" ht="13.75" customHeight="1" x14ac:dyDescent="0.2">
      <c r="A22" s="1"/>
      <c r="B22" s="27"/>
      <c r="C22" s="34"/>
      <c r="D22" s="1"/>
      <c r="E22" s="1"/>
      <c r="F22" s="1"/>
      <c r="G22" s="1"/>
      <c r="H22" s="1"/>
      <c r="I22" s="1"/>
      <c r="J22" s="34"/>
      <c r="K22" s="1"/>
      <c r="L22" s="34"/>
      <c r="M22" s="78"/>
    </row>
    <row r="23" spans="1:13" ht="13.75" customHeight="1" x14ac:dyDescent="0.2">
      <c r="A23" s="1"/>
      <c r="B23" s="27" t="s">
        <v>69</v>
      </c>
      <c r="C23" s="7"/>
      <c r="D23" s="7"/>
      <c r="E23" s="67">
        <f>(50000000-'SAFE Investments'!C27)/'Detailed Cap Table'!G23</f>
        <v>4.1246319529565065</v>
      </c>
      <c r="F23" s="1"/>
      <c r="G23" s="7"/>
      <c r="H23" s="32">
        <f ca="1">H25/L21</f>
        <v>4.3127798286543353</v>
      </c>
      <c r="I23" s="1"/>
      <c r="J23" s="7"/>
      <c r="K23" s="1"/>
      <c r="L23" s="7"/>
      <c r="M23" s="36"/>
    </row>
    <row r="24" spans="1:13" x14ac:dyDescent="0.2">
      <c r="A24" s="1"/>
      <c r="B24" s="27" t="s">
        <v>70</v>
      </c>
      <c r="C24" s="7"/>
      <c r="D24" s="7"/>
      <c r="E24" s="14">
        <f>E25-D21</f>
        <v>40175001.175532945</v>
      </c>
      <c r="F24" s="1"/>
      <c r="G24" s="7"/>
      <c r="H24" s="14">
        <f>H25-G21</f>
        <v>60000000</v>
      </c>
      <c r="I24" s="1"/>
      <c r="J24" s="7"/>
      <c r="K24" s="1"/>
      <c r="L24" s="7"/>
      <c r="M24" s="36"/>
    </row>
    <row r="25" spans="1:13" ht="13.75" customHeight="1" thickBot="1" x14ac:dyDescent="0.25">
      <c r="A25" s="1"/>
      <c r="B25" s="28" t="s">
        <v>71</v>
      </c>
      <c r="C25" s="37"/>
      <c r="D25" s="37"/>
      <c r="E25" s="38">
        <f>E23*(C21+E21)</f>
        <v>50000001.175532945</v>
      </c>
      <c r="F25" s="26"/>
      <c r="G25" s="37"/>
      <c r="H25" s="76">
        <v>80000000</v>
      </c>
      <c r="I25" s="26"/>
      <c r="J25" s="37"/>
      <c r="K25" s="26"/>
      <c r="L25" s="37"/>
      <c r="M25" s="39"/>
    </row>
    <row r="26" spans="1:13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spans="1:13" x14ac:dyDescent="0.2">
      <c r="A27" s="1"/>
      <c r="B27" s="46" t="s">
        <v>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8" spans="1:13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</row>
    <row r="29" spans="1:13" x14ac:dyDescent="0.2">
      <c r="A29" s="1"/>
      <c r="B29" s="1" t="s">
        <v>77</v>
      </c>
      <c r="C29" s="5">
        <f>H24/E25-1</f>
        <v>0.19999997178721007</v>
      </c>
      <c r="D29" s="1"/>
      <c r="E29" s="1"/>
      <c r="F29" s="1"/>
      <c r="G29" s="1"/>
      <c r="H29" s="1"/>
      <c r="I29" s="1"/>
      <c r="J29" s="1"/>
      <c r="K29" s="1"/>
      <c r="L29" s="1"/>
      <c r="M29" s="1"/>
    </row>
    <row r="30" spans="1:13" x14ac:dyDescent="0.2">
      <c r="A30" s="1"/>
      <c r="B30" s="1" t="s">
        <v>73</v>
      </c>
      <c r="C30" s="75">
        <v>20000000</v>
      </c>
      <c r="D30" s="1"/>
      <c r="E30" s="1"/>
      <c r="F30" s="1"/>
      <c r="G30" s="1"/>
      <c r="H30" s="1"/>
      <c r="I30" s="1"/>
      <c r="J30" s="1"/>
      <c r="K30" s="1"/>
      <c r="L30" s="1"/>
      <c r="M30" s="1"/>
    </row>
    <row r="31" spans="1:13" x14ac:dyDescent="0.2">
      <c r="A31" s="1"/>
      <c r="B31" s="1" t="s">
        <v>76</v>
      </c>
      <c r="C31" s="5">
        <f>G21/H25</f>
        <v>0.25</v>
      </c>
      <c r="D31" s="1"/>
      <c r="E31" s="1"/>
      <c r="F31" s="1"/>
      <c r="G31" s="1"/>
      <c r="H31" s="1"/>
      <c r="I31" s="1"/>
      <c r="J31" s="1"/>
      <c r="K31" s="1"/>
      <c r="L31" s="1"/>
      <c r="M31" s="1"/>
    </row>
    <row r="32" spans="1:13" x14ac:dyDescent="0.2">
      <c r="A32" s="1"/>
      <c r="B32" s="1" t="s">
        <v>117</v>
      </c>
      <c r="C32" s="6">
        <v>0.1</v>
      </c>
      <c r="D32" s="1"/>
      <c r="E32" s="1"/>
      <c r="F32" s="1"/>
      <c r="G32" s="1"/>
      <c r="H32" s="1"/>
      <c r="I32" s="1"/>
      <c r="J32" s="1"/>
      <c r="K32" s="1"/>
      <c r="L32" s="1"/>
      <c r="M32" s="1"/>
    </row>
    <row r="33" spans="1:13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0A6BA-E59A-2746-BE4D-049B22DF4D2C}">
  <dimension ref="A1:T74"/>
  <sheetViews>
    <sheetView showGridLines="0" workbookViewId="0"/>
  </sheetViews>
  <sheetFormatPr baseColWidth="10" defaultRowHeight="16" x14ac:dyDescent="0.2"/>
  <cols>
    <col min="1" max="1" width="11.1640625" customWidth="1"/>
    <col min="2" max="2" width="26.33203125" customWidth="1"/>
    <col min="3" max="3" width="13" customWidth="1"/>
    <col min="4" max="4" width="16.83203125" customWidth="1"/>
    <col min="5" max="6" width="11.1640625" customWidth="1"/>
    <col min="7" max="7" width="11.83203125" customWidth="1"/>
    <col min="8" max="8" width="11.1640625" customWidth="1"/>
    <col min="9" max="20" width="17.5" customWidth="1"/>
  </cols>
  <sheetData>
    <row r="1" spans="1:20" x14ac:dyDescent="0.2">
      <c r="A1" s="1"/>
      <c r="B1" s="2" t="s">
        <v>120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0" x14ac:dyDescent="0.2">
      <c r="A3" s="1"/>
      <c r="B3" s="19" t="s">
        <v>80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0" x14ac:dyDescent="0.2">
      <c r="A4" s="1"/>
      <c r="B4" s="1" t="s">
        <v>81</v>
      </c>
      <c r="C4" s="1"/>
      <c r="D4" s="1"/>
      <c r="E4" s="1"/>
      <c r="F4" s="1"/>
      <c r="G4" s="1"/>
      <c r="H4" s="1"/>
      <c r="I4" s="25">
        <f>+I7/I5</f>
        <v>8333333.333333333</v>
      </c>
      <c r="J4" s="25">
        <f>+J7/J5</f>
        <v>11666666.666666666</v>
      </c>
      <c r="K4" s="25">
        <f>+K7/K5</f>
        <v>15000000</v>
      </c>
      <c r="L4" s="25">
        <f>+L7/L5</f>
        <v>18333333.333333332</v>
      </c>
      <c r="M4" s="25">
        <f>+M7/M5</f>
        <v>21666666.666666668</v>
      </c>
      <c r="N4" s="25">
        <f>+N7/N5</f>
        <v>25000000</v>
      </c>
      <c r="O4" s="25">
        <f>+O7/O5</f>
        <v>28333333.333333332</v>
      </c>
      <c r="P4" s="25">
        <f>+P7/P5</f>
        <v>31666666.666666668</v>
      </c>
      <c r="Q4" s="25">
        <f>+Q7/Q5</f>
        <v>35000000</v>
      </c>
      <c r="R4" s="25">
        <f>+R7/R5</f>
        <v>38333333.333333336</v>
      </c>
      <c r="S4" s="25">
        <f>+S7/S5</f>
        <v>41666666.666666664</v>
      </c>
      <c r="T4" s="25">
        <f>+T7/T5</f>
        <v>45000000</v>
      </c>
    </row>
    <row r="5" spans="1:20" x14ac:dyDescent="0.2">
      <c r="A5" s="1"/>
      <c r="B5" s="1" t="s">
        <v>82</v>
      </c>
      <c r="C5" s="1"/>
      <c r="D5" s="1"/>
      <c r="E5" s="1"/>
      <c r="F5" s="1"/>
      <c r="G5" s="1"/>
      <c r="H5" s="1"/>
      <c r="I5" s="84">
        <v>6</v>
      </c>
      <c r="J5" s="87">
        <f>+I5</f>
        <v>6</v>
      </c>
      <c r="K5" s="87">
        <f>+J5</f>
        <v>6</v>
      </c>
      <c r="L5" s="87">
        <f>+K5</f>
        <v>6</v>
      </c>
      <c r="M5" s="87">
        <f>+L5</f>
        <v>6</v>
      </c>
      <c r="N5" s="87">
        <f>+M5</f>
        <v>6</v>
      </c>
      <c r="O5" s="87">
        <f>+N5</f>
        <v>6</v>
      </c>
      <c r="P5" s="87">
        <f>+O5</f>
        <v>6</v>
      </c>
      <c r="Q5" s="87">
        <f>+P5</f>
        <v>6</v>
      </c>
      <c r="R5" s="87">
        <f>+Q5</f>
        <v>6</v>
      </c>
      <c r="S5" s="87">
        <f>+R5</f>
        <v>6</v>
      </c>
      <c r="T5" s="87">
        <f>+S5</f>
        <v>6</v>
      </c>
    </row>
    <row r="6" spans="1:20" x14ac:dyDescent="0.2">
      <c r="A6" s="1"/>
      <c r="B6" s="1"/>
      <c r="C6" s="1"/>
      <c r="D6" s="1"/>
      <c r="E6" s="1"/>
      <c r="F6" s="1"/>
      <c r="G6" s="1"/>
      <c r="H6" s="1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x14ac:dyDescent="0.2">
      <c r="A7" s="1"/>
      <c r="B7" s="46" t="s">
        <v>83</v>
      </c>
      <c r="C7" s="1"/>
      <c r="D7" s="1"/>
      <c r="E7" s="1"/>
      <c r="F7" s="1"/>
      <c r="G7" s="1"/>
      <c r="H7" s="1"/>
      <c r="I7" s="88">
        <v>50000000</v>
      </c>
      <c r="J7" s="88">
        <f>+I7+20000000</f>
        <v>70000000</v>
      </c>
      <c r="K7" s="88">
        <f>+J7+20000000</f>
        <v>90000000</v>
      </c>
      <c r="L7" s="88">
        <f>+K7+20000000</f>
        <v>110000000</v>
      </c>
      <c r="M7" s="88">
        <f>+L7+20000000</f>
        <v>130000000</v>
      </c>
      <c r="N7" s="88">
        <f>+M7+20000000</f>
        <v>150000000</v>
      </c>
      <c r="O7" s="88">
        <f>+N7+20000000</f>
        <v>170000000</v>
      </c>
      <c r="P7" s="88">
        <f>+O7+20000000</f>
        <v>190000000</v>
      </c>
      <c r="Q7" s="88">
        <f>+P7+20000000</f>
        <v>210000000</v>
      </c>
      <c r="R7" s="88">
        <f>+Q7+20000000</f>
        <v>230000000</v>
      </c>
      <c r="S7" s="88">
        <f>+R7+20000000</f>
        <v>250000000</v>
      </c>
      <c r="T7" s="88">
        <f>+S7+20000000</f>
        <v>270000000</v>
      </c>
    </row>
    <row r="8" spans="1:20" x14ac:dyDescent="0.2">
      <c r="A8" s="1"/>
      <c r="B8" s="1" t="s">
        <v>84</v>
      </c>
      <c r="C8" s="1"/>
      <c r="D8" s="1"/>
      <c r="E8" s="1"/>
      <c r="F8" s="1"/>
      <c r="G8" s="1"/>
      <c r="H8" s="1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x14ac:dyDescent="0.2">
      <c r="A9" s="1"/>
      <c r="B9" s="1" t="s">
        <v>85</v>
      </c>
      <c r="C9" s="1"/>
      <c r="D9" s="1"/>
      <c r="E9" s="1"/>
      <c r="F9" s="1"/>
      <c r="G9" s="1"/>
      <c r="H9" s="1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x14ac:dyDescent="0.2">
      <c r="A10" s="1"/>
      <c r="B10" s="1" t="s">
        <v>109</v>
      </c>
      <c r="C10" s="1"/>
      <c r="D10" s="1"/>
      <c r="E10" s="1"/>
      <c r="F10" s="1"/>
      <c r="G10" s="1"/>
      <c r="H10" s="1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</row>
    <row r="11" spans="1:20" x14ac:dyDescent="0.2">
      <c r="A11" s="1"/>
      <c r="B11" s="1" t="s">
        <v>110</v>
      </c>
      <c r="C11" s="1"/>
      <c r="D11" s="1"/>
      <c r="E11" s="80">
        <v>1.4999999999999999E-2</v>
      </c>
      <c r="F11" s="1"/>
      <c r="G11" s="1"/>
      <c r="H11" s="1"/>
      <c r="I11" s="25">
        <f>+-$E$11*I7</f>
        <v>-750000</v>
      </c>
      <c r="J11" s="25">
        <f>+-$E$11*J7</f>
        <v>-1050000</v>
      </c>
      <c r="K11" s="25">
        <f>+-$E$11*K7</f>
        <v>-1350000</v>
      </c>
      <c r="L11" s="25">
        <f>+-$E$11*L7</f>
        <v>-1650000</v>
      </c>
      <c r="M11" s="25">
        <f>+-$E$11*M7</f>
        <v>-1950000</v>
      </c>
      <c r="N11" s="25">
        <f>+-$E$11*N7</f>
        <v>-2250000</v>
      </c>
      <c r="O11" s="25">
        <f>+-$E$11*O7</f>
        <v>-2550000</v>
      </c>
      <c r="P11" s="25">
        <f>+-$E$11*P7</f>
        <v>-2850000</v>
      </c>
      <c r="Q11" s="25">
        <f>+-$E$11*Q7</f>
        <v>-3150000</v>
      </c>
      <c r="R11" s="25">
        <f>+-$E$11*R7</f>
        <v>-3450000</v>
      </c>
      <c r="S11" s="25">
        <f>+-$E$11*S7</f>
        <v>-3750000</v>
      </c>
      <c r="T11" s="25">
        <f>+-$E$11*T7</f>
        <v>-4050000</v>
      </c>
    </row>
    <row r="12" spans="1:20" x14ac:dyDescent="0.2">
      <c r="A12" s="1"/>
      <c r="B12" s="46" t="s">
        <v>86</v>
      </c>
      <c r="C12" s="1"/>
      <c r="D12" s="1"/>
      <c r="E12" s="1"/>
      <c r="F12" s="1"/>
      <c r="G12" s="1"/>
      <c r="H12" s="1"/>
      <c r="I12" s="89">
        <f>+I7+SUM(I8:I11)</f>
        <v>49250000</v>
      </c>
      <c r="J12" s="89">
        <f>+J7+SUM(J8:J11)</f>
        <v>68950000</v>
      </c>
      <c r="K12" s="89">
        <f>+K7+SUM(K8:K11)</f>
        <v>88650000</v>
      </c>
      <c r="L12" s="89">
        <f>+L7+SUM(L8:L11)</f>
        <v>108350000</v>
      </c>
      <c r="M12" s="89">
        <f>+M7+SUM(M8:M11)</f>
        <v>128050000</v>
      </c>
      <c r="N12" s="89">
        <f>+N7+SUM(N8:N11)</f>
        <v>147750000</v>
      </c>
      <c r="O12" s="89">
        <f>+O7+SUM(O8:O11)</f>
        <v>167450000</v>
      </c>
      <c r="P12" s="89">
        <f>+P7+SUM(P8:P11)</f>
        <v>187150000</v>
      </c>
      <c r="Q12" s="89">
        <f>+Q7+SUM(Q8:Q11)</f>
        <v>206850000</v>
      </c>
      <c r="R12" s="89">
        <f>+R7+SUM(R8:R11)</f>
        <v>226550000</v>
      </c>
      <c r="S12" s="89">
        <f>+S7+SUM(S8:S11)</f>
        <v>246250000</v>
      </c>
      <c r="T12" s="89">
        <f>+T7+SUM(T8:T11)</f>
        <v>265950000</v>
      </c>
    </row>
    <row r="13" spans="1:20" x14ac:dyDescent="0.2">
      <c r="A13" s="1"/>
      <c r="B13" s="1"/>
      <c r="C13" s="1"/>
      <c r="D13" s="1"/>
      <c r="E13" s="1"/>
      <c r="F13" s="1"/>
      <c r="G13" s="1"/>
      <c r="H13" s="1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x14ac:dyDescent="0.2">
      <c r="A14" s="1"/>
      <c r="B14" s="1" t="s">
        <v>87</v>
      </c>
      <c r="C14" s="1"/>
      <c r="D14" s="1"/>
      <c r="E14" s="80">
        <v>0.1</v>
      </c>
      <c r="F14" s="1"/>
      <c r="G14" s="1"/>
      <c r="H14" s="1"/>
      <c r="I14" s="25">
        <f ca="1">+IF(I12&lt;(SUM(I19:I21)+($E$14*I12)),$E$14*I12,0)</f>
        <v>0</v>
      </c>
      <c r="J14" s="25">
        <f ca="1">+IF(J12&lt;(SUM(J19:J21)+($E$14*J12)),$E$14*J12,0)</f>
        <v>0</v>
      </c>
      <c r="K14" s="25">
        <f ca="1">+IF(K12&lt;(SUM(K19:K21)+($E$14*K12)),$E$14*K12,0)</f>
        <v>0</v>
      </c>
      <c r="L14" s="25">
        <f ca="1">+IF(L12&lt;(SUM(L19:L21)+($E$14*L12)),$E$14*L12,0)</f>
        <v>0</v>
      </c>
      <c r="M14" s="25">
        <f ca="1">+IF(M12&lt;(SUM(M19:M21)+($E$14*M12)),$E$14*M12,0)</f>
        <v>0</v>
      </c>
      <c r="N14" s="25">
        <f ca="1">+IF(N12&lt;(SUM(N19:N21)+($E$14*N12)),$E$14*N12,0)</f>
        <v>0</v>
      </c>
      <c r="O14" s="25">
        <f ca="1">+IF(O12&lt;(SUM(O19:O21)+($E$14*O12)),$E$14*O12,0)</f>
        <v>0</v>
      </c>
      <c r="P14" s="25">
        <f ca="1">+IF(P12&lt;(SUM(P19:P21)+($E$14*P12)),$E$14*P12,0)</f>
        <v>0</v>
      </c>
      <c r="Q14" s="25">
        <f ca="1">+IF(Q12&lt;(SUM(Q19:Q21)+($E$14*Q12)),$E$14*Q12,0)</f>
        <v>0</v>
      </c>
      <c r="R14" s="25">
        <f ca="1">+IF(R12&lt;(SUM(R19:R21)+($E$14*R12)),$E$14*R12,0)</f>
        <v>0</v>
      </c>
      <c r="S14" s="25">
        <f ca="1">+IF(S12&lt;(SUM(S19:S21)+($E$14*S12)),$E$14*S12,0)</f>
        <v>0</v>
      </c>
      <c r="T14" s="25">
        <f ca="1">+IF(T12&lt;(SUM(T19:T21)+($E$14*T12)),$E$14*T12,0)</f>
        <v>0</v>
      </c>
    </row>
    <row r="15" spans="1:20" x14ac:dyDescent="0.2">
      <c r="A15" s="1"/>
      <c r="B15" s="1"/>
      <c r="C15" s="1"/>
      <c r="D15" s="1"/>
      <c r="E15" s="1"/>
      <c r="F15" s="1"/>
      <c r="G15" s="1"/>
      <c r="H15" s="1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x14ac:dyDescent="0.2">
      <c r="A16" s="1"/>
      <c r="B16" s="46" t="s">
        <v>88</v>
      </c>
      <c r="C16" s="1"/>
      <c r="D16" s="1"/>
      <c r="E16" s="1"/>
      <c r="F16" s="1"/>
      <c r="G16" s="1"/>
      <c r="H16" s="1"/>
      <c r="I16" s="88">
        <f ca="1">+I12-I14</f>
        <v>49250000</v>
      </c>
      <c r="J16" s="88">
        <f ca="1">+J12-J14</f>
        <v>68950000</v>
      </c>
      <c r="K16" s="88">
        <f ca="1">+K12-K14</f>
        <v>88650000</v>
      </c>
      <c r="L16" s="88">
        <f ca="1">+L12-L14</f>
        <v>108350000</v>
      </c>
      <c r="M16" s="88">
        <f ca="1">+M12-M14</f>
        <v>128050000</v>
      </c>
      <c r="N16" s="88">
        <f ca="1">+N12-N14</f>
        <v>147750000</v>
      </c>
      <c r="O16" s="88">
        <f ca="1">+O12-O14</f>
        <v>167450000</v>
      </c>
      <c r="P16" s="88">
        <f ca="1">+P12-P14</f>
        <v>187150000</v>
      </c>
      <c r="Q16" s="88">
        <f ca="1">+Q12-Q14</f>
        <v>206850000</v>
      </c>
      <c r="R16" s="88">
        <f ca="1">+R12-R14</f>
        <v>226550000</v>
      </c>
      <c r="S16" s="88">
        <f ca="1">+S12-S14</f>
        <v>246250000</v>
      </c>
      <c r="T16" s="88">
        <f ca="1">+T12-T14</f>
        <v>265950000</v>
      </c>
    </row>
    <row r="17" spans="1:20" x14ac:dyDescent="0.2">
      <c r="A17" s="1"/>
      <c r="B17" s="1"/>
      <c r="C17" s="1"/>
      <c r="D17" s="1"/>
      <c r="E17" s="1"/>
      <c r="F17" s="1"/>
      <c r="G17" s="1"/>
      <c r="H17" s="1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</row>
    <row r="18" spans="1:20" x14ac:dyDescent="0.2">
      <c r="A18" s="1"/>
      <c r="B18" s="1"/>
      <c r="C18" s="1"/>
      <c r="D18" s="1"/>
      <c r="E18" s="47" t="s">
        <v>89</v>
      </c>
      <c r="F18" s="47" t="s">
        <v>90</v>
      </c>
      <c r="G18" s="47" t="s">
        <v>62</v>
      </c>
      <c r="H18" s="47" t="s">
        <v>61</v>
      </c>
      <c r="I18" s="47" t="s">
        <v>91</v>
      </c>
      <c r="J18" s="47" t="s">
        <v>91</v>
      </c>
      <c r="K18" s="47" t="s">
        <v>91</v>
      </c>
      <c r="L18" s="47" t="s">
        <v>91</v>
      </c>
      <c r="M18" s="47" t="s">
        <v>91</v>
      </c>
      <c r="N18" s="47" t="s">
        <v>91</v>
      </c>
      <c r="O18" s="47" t="s">
        <v>91</v>
      </c>
      <c r="P18" s="47" t="s">
        <v>91</v>
      </c>
      <c r="Q18" s="47" t="s">
        <v>91</v>
      </c>
      <c r="R18" s="47" t="s">
        <v>91</v>
      </c>
      <c r="S18" s="47" t="s">
        <v>91</v>
      </c>
      <c r="T18" s="47" t="s">
        <v>91</v>
      </c>
    </row>
    <row r="19" spans="1:20" x14ac:dyDescent="0.2">
      <c r="A19" s="4" t="s">
        <v>92</v>
      </c>
      <c r="B19" s="1" t="str">
        <f>CONCATENATE("Max Series ",A19," per Share before Convert to Common")</f>
        <v>Max Series A per Share before Convert to Common</v>
      </c>
      <c r="C19" s="1"/>
      <c r="D19" s="1"/>
      <c r="E19" s="82">
        <v>1</v>
      </c>
      <c r="F19" s="81">
        <f ca="1">SeriesA!H23</f>
        <v>4.3127798286543353</v>
      </c>
      <c r="G19" s="29">
        <f ca="1">SeriesA!H21</f>
        <v>4637380</v>
      </c>
      <c r="H19" s="31">
        <f ca="1">I19/SUM($I$19:$I$21)</f>
        <v>0.67057833550820789</v>
      </c>
      <c r="I19" s="25">
        <f ca="1">+$G19*$F19*$E19</f>
        <v>19999998.921805043</v>
      </c>
      <c r="J19" s="25">
        <f ca="1">+$G19*$F19*$E19</f>
        <v>19999998.921805043</v>
      </c>
      <c r="K19" s="25">
        <f ca="1">+$G19*$F19*$E19</f>
        <v>19999998.921805043</v>
      </c>
      <c r="L19" s="25">
        <f ca="1">+$G19*$F19*$E19</f>
        <v>19999998.921805043</v>
      </c>
      <c r="M19" s="25">
        <f ca="1">+$G19*$F19*$E19</f>
        <v>19999998.921805043</v>
      </c>
      <c r="N19" s="25">
        <f ca="1">+$G19*$F19*$E19</f>
        <v>19999998.921805043</v>
      </c>
      <c r="O19" s="25">
        <f ca="1">+$G19*$F19*$E19</f>
        <v>19999998.921805043</v>
      </c>
      <c r="P19" s="25">
        <f ca="1">+$G19*$F19*$E19</f>
        <v>19999998.921805043</v>
      </c>
      <c r="Q19" s="25">
        <f ca="1">+$G19*$F19*$E19</f>
        <v>19999998.921805043</v>
      </c>
      <c r="R19" s="25">
        <f ca="1">+$G19*$F19*$E19</f>
        <v>19999998.921805043</v>
      </c>
      <c r="S19" s="25">
        <f ca="1">+$G19*$F19*$E19</f>
        <v>19999998.921805043</v>
      </c>
      <c r="T19" s="25">
        <f ca="1">+$G19*$F19*$E19</f>
        <v>19999998.921805043</v>
      </c>
    </row>
    <row r="20" spans="1:20" x14ac:dyDescent="0.2">
      <c r="A20" s="4" t="s">
        <v>121</v>
      </c>
      <c r="B20" s="1" t="str">
        <f>CONCATENATE("Max Series ",A20," per Share before Convert to Common")</f>
        <v>Max Series Seed per Share before Convert to Common</v>
      </c>
      <c r="C20" s="1"/>
      <c r="D20" s="1"/>
      <c r="E20" s="82">
        <v>1</v>
      </c>
      <c r="F20" s="81">
        <f>SeriesA!E23</f>
        <v>4.1246319529565065</v>
      </c>
      <c r="G20" s="29">
        <f>SeriesA!E21</f>
        <v>2382031</v>
      </c>
      <c r="H20" s="31">
        <f ca="1">I20/SUM($I$19:$I$21)</f>
        <v>0.32942166449179211</v>
      </c>
      <c r="I20" s="25">
        <f>+$G20*$F20*$E20</f>
        <v>9825001.1755329408</v>
      </c>
      <c r="J20" s="25">
        <f>+$G20*$F20*$E20</f>
        <v>9825001.1755329408</v>
      </c>
      <c r="K20" s="25">
        <f>+$G20*$F20*$E20</f>
        <v>9825001.1755329408</v>
      </c>
      <c r="L20" s="25">
        <f>+$G20*$F20*$E20</f>
        <v>9825001.1755329408</v>
      </c>
      <c r="M20" s="25">
        <f>+$G20*$F20*$E20</f>
        <v>9825001.1755329408</v>
      </c>
      <c r="N20" s="25">
        <f>+$G20*$F20*$E20</f>
        <v>9825001.1755329408</v>
      </c>
      <c r="O20" s="25">
        <f>+$G20*$F20*$E20</f>
        <v>9825001.1755329408</v>
      </c>
      <c r="P20" s="25">
        <f>+$G20*$F20*$E20</f>
        <v>9825001.1755329408</v>
      </c>
      <c r="Q20" s="25">
        <f>+$G20*$F20*$E20</f>
        <v>9825001.1755329408</v>
      </c>
      <c r="R20" s="25">
        <f>+$G20*$F20*$E20</f>
        <v>9825001.1755329408</v>
      </c>
      <c r="S20" s="25">
        <f>+$G20*$F20*$E20</f>
        <v>9825001.1755329408</v>
      </c>
      <c r="T20" s="25">
        <f>+$G20*$F20*$E20</f>
        <v>9825001.1755329408</v>
      </c>
    </row>
    <row r="21" spans="1:20" x14ac:dyDescent="0.2">
      <c r="A21" s="1"/>
      <c r="B21" s="1"/>
      <c r="C21" s="1"/>
      <c r="D21" s="1"/>
      <c r="E21" s="1"/>
      <c r="F21" s="1"/>
      <c r="G21" s="1"/>
      <c r="H21" s="1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</row>
    <row r="22" spans="1:20" x14ac:dyDescent="0.2">
      <c r="A22" s="1"/>
      <c r="B22" s="1"/>
      <c r="C22" s="1"/>
      <c r="D22" s="1"/>
      <c r="E22" s="1"/>
      <c r="F22" s="1"/>
      <c r="G22" s="1"/>
      <c r="H22" s="1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</row>
    <row r="23" spans="1:20" x14ac:dyDescent="0.2">
      <c r="A23" s="1"/>
      <c r="B23" s="46" t="s">
        <v>122</v>
      </c>
      <c r="C23" s="1"/>
      <c r="D23" s="1"/>
      <c r="E23" s="1"/>
      <c r="F23" s="1"/>
      <c r="G23" s="1"/>
      <c r="H23" s="1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</row>
    <row r="24" spans="1:20" x14ac:dyDescent="0.2">
      <c r="A24" s="1" t="str">
        <f>A19</f>
        <v>A</v>
      </c>
      <c r="B24" s="1" t="str">
        <f>CONCATENATE("Aggregate Series ",A24," Preference at Point of Sale")</f>
        <v>Aggregate Series A Preference at Point of Sale</v>
      </c>
      <c r="C24" s="1"/>
      <c r="D24" s="1"/>
      <c r="E24" s="1"/>
      <c r="F24" s="1"/>
      <c r="G24" s="1"/>
      <c r="H24" s="1"/>
      <c r="I24" s="25">
        <f ca="1">I19</f>
        <v>19999998.921805043</v>
      </c>
      <c r="J24" s="25">
        <f ca="1">J19</f>
        <v>19999998.921805043</v>
      </c>
      <c r="K24" s="25">
        <f ca="1">K19</f>
        <v>19999998.921805043</v>
      </c>
      <c r="L24" s="25">
        <f ca="1">L19</f>
        <v>19999998.921805043</v>
      </c>
      <c r="M24" s="25">
        <f ca="1">M19</f>
        <v>19999998.921805043</v>
      </c>
      <c r="N24" s="25">
        <f ca="1">N19</f>
        <v>19999998.921805043</v>
      </c>
      <c r="O24" s="25">
        <f ca="1">O19</f>
        <v>19999998.921805043</v>
      </c>
      <c r="P24" s="25">
        <f ca="1">P19</f>
        <v>19999998.921805043</v>
      </c>
      <c r="Q24" s="25">
        <f ca="1">Q19</f>
        <v>19999998.921805043</v>
      </c>
      <c r="R24" s="25">
        <f ca="1">R19</f>
        <v>19999998.921805043</v>
      </c>
      <c r="S24" s="25">
        <f ca="1">S19</f>
        <v>19999998.921805043</v>
      </c>
      <c r="T24" s="25">
        <f ca="1">T19</f>
        <v>19999998.921805043</v>
      </c>
    </row>
    <row r="25" spans="1:20" x14ac:dyDescent="0.2">
      <c r="A25" s="1" t="str">
        <f>A24</f>
        <v>A</v>
      </c>
      <c r="B25" s="1" t="str">
        <f>CONCATENATE("Does Series ",A25," Convert/Lose Preference?")</f>
        <v>Does Series A Convert/Lose Preference?</v>
      </c>
      <c r="C25" s="1"/>
      <c r="D25" s="1"/>
      <c r="E25" s="1"/>
      <c r="F25" s="1"/>
      <c r="G25" s="1"/>
      <c r="H25" s="1"/>
      <c r="I25" s="85" t="str">
        <f ca="1">IF($F$19&lt;I$39,"yes","no")</f>
        <v>no</v>
      </c>
      <c r="J25" s="85" t="str">
        <f ca="1">IF($F$19&lt;J$39,"yes","no")</f>
        <v>no</v>
      </c>
      <c r="K25" s="85" t="str">
        <f ca="1">IF($F$19&lt;K$39,"yes","no")</f>
        <v>yes</v>
      </c>
      <c r="L25" s="85" t="str">
        <f ca="1">IF($F$19&lt;L$39,"yes","no")</f>
        <v>yes</v>
      </c>
      <c r="M25" s="85" t="str">
        <f ca="1">IF($F$19&lt;M$39,"yes","no")</f>
        <v>yes</v>
      </c>
      <c r="N25" s="85" t="str">
        <f ca="1">IF($F$19&lt;N$39,"yes","no")</f>
        <v>yes</v>
      </c>
      <c r="O25" s="85" t="str">
        <f ca="1">IF($F$19&lt;O$39,"yes","no")</f>
        <v>yes</v>
      </c>
      <c r="P25" s="85" t="str">
        <f ca="1">IF($F$19&lt;P$39,"yes","no")</f>
        <v>yes</v>
      </c>
      <c r="Q25" s="85" t="str">
        <f ca="1">IF($F$19&lt;Q$39,"yes","no")</f>
        <v>yes</v>
      </c>
      <c r="R25" s="85" t="str">
        <f ca="1">IF($F$19&lt;R$39,"yes","no")</f>
        <v>yes</v>
      </c>
      <c r="S25" s="85" t="str">
        <f ca="1">IF($F$19&lt;S$39,"yes","no")</f>
        <v>yes</v>
      </c>
      <c r="T25" s="85" t="str">
        <f ca="1">IF($F$19&lt;T$39,"yes","no")</f>
        <v>yes</v>
      </c>
    </row>
    <row r="26" spans="1:20" x14ac:dyDescent="0.2">
      <c r="A26" s="1" t="str">
        <f>A25</f>
        <v>A</v>
      </c>
      <c r="B26" s="1" t="str">
        <f>CONCATENATE("Series ",A26," total Preferred Payment")</f>
        <v>Series A total Preferred Payment</v>
      </c>
      <c r="C26" s="1"/>
      <c r="D26" s="1"/>
      <c r="E26" s="1"/>
      <c r="F26" s="1"/>
      <c r="G26" s="1"/>
      <c r="H26" s="1"/>
      <c r="I26" s="25">
        <f ca="1">IF(I14=0,IF(I25="yes",0,I$19),$H$19*I16)</f>
        <v>19999998.921805043</v>
      </c>
      <c r="J26" s="25">
        <f ca="1">IF(J14=0,IF(J25="yes",0,J$19),$H$19*J16)</f>
        <v>19999998.921805043</v>
      </c>
      <c r="K26" s="25">
        <f ca="1">IF(K14=0,IF(K25="yes",0,K$19),$H$19*K16)</f>
        <v>0</v>
      </c>
      <c r="L26" s="25">
        <f ca="1">IF(L14=0,IF(L25="yes",0,L$19),$H$19*L16)</f>
        <v>0</v>
      </c>
      <c r="M26" s="25">
        <f ca="1">IF(M14=0,IF(M25="yes",0,M$19),$H$19*M16)</f>
        <v>0</v>
      </c>
      <c r="N26" s="25">
        <f ca="1">IF(N14=0,IF(N25="yes",0,N$19),$H$19*N16)</f>
        <v>0</v>
      </c>
      <c r="O26" s="25">
        <f ca="1">IF(O14=0,IF(O25="yes",0,O$19),$H$19*O16)</f>
        <v>0</v>
      </c>
      <c r="P26" s="25">
        <f ca="1">IF(P14=0,IF(P25="yes",0,P$19),$H$19*P16)</f>
        <v>0</v>
      </c>
      <c r="Q26" s="25">
        <f ca="1">IF(Q14=0,IF(Q25="yes",0,Q$19),$H$19*Q16)</f>
        <v>0</v>
      </c>
      <c r="R26" s="25">
        <f ca="1">IF(R14=0,IF(R25="yes",0,R$19),$H$19*R16)</f>
        <v>0</v>
      </c>
      <c r="S26" s="25">
        <f ca="1">IF(S14=0,IF(S25="yes",0,S$19),$H$19*S16)</f>
        <v>0</v>
      </c>
      <c r="T26" s="25">
        <f ca="1">IF(T14=0,IF(T25="yes",0,T$19),$H$19*T16)</f>
        <v>0</v>
      </c>
    </row>
    <row r="27" spans="1:20" x14ac:dyDescent="0.2">
      <c r="A27" s="1" t="str">
        <f>A26</f>
        <v>A</v>
      </c>
      <c r="B27" s="1" t="str">
        <f>CONCATENATE("Series ",A27," Preferred Payment per Share")</f>
        <v>Series A Preferred Payment per Share</v>
      </c>
      <c r="C27" s="1"/>
      <c r="D27" s="1"/>
      <c r="E27" s="1"/>
      <c r="F27" s="1"/>
      <c r="G27" s="1"/>
      <c r="H27" s="1"/>
      <c r="I27" s="25">
        <f ca="1">I26/$G$19</f>
        <v>4.3127798286543353</v>
      </c>
      <c r="J27" s="25">
        <f ca="1">J26/$G$19</f>
        <v>4.3127798286543353</v>
      </c>
      <c r="K27" s="25">
        <f ca="1">K26/$G$19</f>
        <v>0</v>
      </c>
      <c r="L27" s="25">
        <f ca="1">L26/$G$19</f>
        <v>0</v>
      </c>
      <c r="M27" s="25">
        <f ca="1">M26/$G$19</f>
        <v>0</v>
      </c>
      <c r="N27" s="25">
        <f ca="1">N26/$G$19</f>
        <v>0</v>
      </c>
      <c r="O27" s="25">
        <f ca="1">O26/$G$19</f>
        <v>0</v>
      </c>
      <c r="P27" s="25">
        <f ca="1">P26/$G$19</f>
        <v>0</v>
      </c>
      <c r="Q27" s="25">
        <f ca="1">Q26/$G$19</f>
        <v>0</v>
      </c>
      <c r="R27" s="25">
        <f ca="1">R26/$G$19</f>
        <v>0</v>
      </c>
      <c r="S27" s="25">
        <f ca="1">S26/$G$19</f>
        <v>0</v>
      </c>
      <c r="T27" s="25">
        <f ca="1">T26/$G$19</f>
        <v>0</v>
      </c>
    </row>
    <row r="28" spans="1:20" x14ac:dyDescent="0.2">
      <c r="A28" s="1"/>
      <c r="B28" s="1"/>
      <c r="C28" s="1"/>
      <c r="D28" s="1"/>
      <c r="E28" s="1"/>
      <c r="F28" s="1"/>
      <c r="G28" s="1"/>
      <c r="H28" s="1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</row>
    <row r="29" spans="1:20" x14ac:dyDescent="0.2">
      <c r="A29" s="1" t="str">
        <f>A20</f>
        <v>Seed</v>
      </c>
      <c r="B29" s="1" t="str">
        <f>CONCATENATE("Aggregate Series ",A29," Preference at Point of Sale")</f>
        <v>Aggregate Series Seed Preference at Point of Sale</v>
      </c>
      <c r="C29" s="1"/>
      <c r="D29" s="1"/>
      <c r="E29" s="1"/>
      <c r="F29" s="1"/>
      <c r="G29" s="1"/>
      <c r="H29" s="1"/>
      <c r="I29" s="25">
        <f>I20</f>
        <v>9825001.1755329408</v>
      </c>
      <c r="J29" s="25">
        <f>J20</f>
        <v>9825001.1755329408</v>
      </c>
      <c r="K29" s="25">
        <f>K20</f>
        <v>9825001.1755329408</v>
      </c>
      <c r="L29" s="25">
        <f>L20</f>
        <v>9825001.1755329408</v>
      </c>
      <c r="M29" s="25">
        <f>M20</f>
        <v>9825001.1755329408</v>
      </c>
      <c r="N29" s="25">
        <f>N20</f>
        <v>9825001.1755329408</v>
      </c>
      <c r="O29" s="25">
        <f>O20</f>
        <v>9825001.1755329408</v>
      </c>
      <c r="P29" s="25">
        <f>P20</f>
        <v>9825001.1755329408</v>
      </c>
      <c r="Q29" s="25">
        <f>Q20</f>
        <v>9825001.1755329408</v>
      </c>
      <c r="R29" s="25">
        <f>R20</f>
        <v>9825001.1755329408</v>
      </c>
      <c r="S29" s="25">
        <f>S20</f>
        <v>9825001.1755329408</v>
      </c>
      <c r="T29" s="25">
        <f>T20</f>
        <v>9825001.1755329408</v>
      </c>
    </row>
    <row r="30" spans="1:20" x14ac:dyDescent="0.2">
      <c r="A30" s="1" t="str">
        <f>A29</f>
        <v>Seed</v>
      </c>
      <c r="B30" s="1" t="str">
        <f>CONCATENATE("Does Series ",A30," Convert/Lose Preference?")</f>
        <v>Does Series Seed Convert/Lose Preference?</v>
      </c>
      <c r="C30" s="1"/>
      <c r="D30" s="1"/>
      <c r="E30" s="1"/>
      <c r="F30" s="1"/>
      <c r="G30" s="1"/>
      <c r="H30" s="1"/>
      <c r="I30" s="85" t="str">
        <f ca="1">IFERROR(IF($F$20&lt;I$39,"yes","no"),0)</f>
        <v>no</v>
      </c>
      <c r="J30" s="85" t="str">
        <f ca="1">IFERROR(IF($F$20&lt;J$39,"yes","no"),0)</f>
        <v>no</v>
      </c>
      <c r="K30" s="85" t="str">
        <f ca="1">IFERROR(IF($F$20&lt;K$39,"yes","no"),0)</f>
        <v>yes</v>
      </c>
      <c r="L30" s="85" t="str">
        <f ca="1">IFERROR(IF($F$20&lt;L$39,"yes","no"),0)</f>
        <v>yes</v>
      </c>
      <c r="M30" s="85" t="str">
        <f ca="1">IFERROR(IF($F$20&lt;M$39,"yes","no"),0)</f>
        <v>yes</v>
      </c>
      <c r="N30" s="85" t="str">
        <f ca="1">IFERROR(IF($F$20&lt;N$39,"yes","no"),0)</f>
        <v>yes</v>
      </c>
      <c r="O30" s="85" t="str">
        <f ca="1">IFERROR(IF($F$20&lt;O$39,"yes","no"),0)</f>
        <v>yes</v>
      </c>
      <c r="P30" s="85" t="str">
        <f ca="1">IFERROR(IF($F$20&lt;P$39,"yes","no"),0)</f>
        <v>yes</v>
      </c>
      <c r="Q30" s="85" t="str">
        <f ca="1">IFERROR(IF($F$20&lt;Q$39,"yes","no"),0)</f>
        <v>yes</v>
      </c>
      <c r="R30" s="85" t="str">
        <f ca="1">IFERROR(IF($F$20&lt;R$39,"yes","no"),0)</f>
        <v>yes</v>
      </c>
      <c r="S30" s="85" t="str">
        <f ca="1">IFERROR(IF($F$20&lt;S$39,"yes","no"),0)</f>
        <v>yes</v>
      </c>
      <c r="T30" s="85" t="str">
        <f ca="1">IFERROR(IF($F$20&lt;T$39,"yes","no"),0)</f>
        <v>yes</v>
      </c>
    </row>
    <row r="31" spans="1:20" x14ac:dyDescent="0.2">
      <c r="A31" s="1" t="str">
        <f>A30</f>
        <v>Seed</v>
      </c>
      <c r="B31" s="1" t="str">
        <f>CONCATENATE("Series ",A31," total Preferred Payment")</f>
        <v>Series Seed total Preferred Payment</v>
      </c>
      <c r="C31" s="1"/>
      <c r="D31" s="1"/>
      <c r="E31" s="1"/>
      <c r="F31" s="1"/>
      <c r="G31" s="1"/>
      <c r="H31" s="1"/>
      <c r="I31" s="25">
        <f ca="1">IF(I14=0,IF(I30="yes",0,I$20),$H$20*I16)</f>
        <v>9825001.1755329408</v>
      </c>
      <c r="J31" s="25">
        <f ca="1">IF(J14=0,IF(J30="yes",0,J$20),$H$20*J16)</f>
        <v>9825001.1755329408</v>
      </c>
      <c r="K31" s="25">
        <f ca="1">IF(K14=0,IF(K30="yes",0,K$20),$H$20*K16)</f>
        <v>0</v>
      </c>
      <c r="L31" s="25">
        <f ca="1">IF(L14=0,IF(L30="yes",0,L$20),$H$20*L16)</f>
        <v>0</v>
      </c>
      <c r="M31" s="25">
        <f ca="1">IF(M14=0,IF(M30="yes",0,M$20),$H$20*M16)</f>
        <v>0</v>
      </c>
      <c r="N31" s="25">
        <f ca="1">IF(N14=0,IF(N30="yes",0,N$20),$H$20*N16)</f>
        <v>0</v>
      </c>
      <c r="O31" s="25">
        <f ca="1">IF(O14=0,IF(O30="yes",0,O$20),$H$20*O16)</f>
        <v>0</v>
      </c>
      <c r="P31" s="25">
        <f ca="1">IF(P14=0,IF(P30="yes",0,P$20),$H$20*P16)</f>
        <v>0</v>
      </c>
      <c r="Q31" s="25">
        <f ca="1">IF(Q14=0,IF(Q30="yes",0,Q$20),$H$20*Q16)</f>
        <v>0</v>
      </c>
      <c r="R31" s="25">
        <f ca="1">IF(R14=0,IF(R30="yes",0,R$20),$H$20*R16)</f>
        <v>0</v>
      </c>
      <c r="S31" s="25">
        <f ca="1">IF(S14=0,IF(S30="yes",0,S$20),$H$20*S16)</f>
        <v>0</v>
      </c>
      <c r="T31" s="25">
        <f ca="1">IF(T14=0,IF(T30="yes",0,T$20),$H$20*T16)</f>
        <v>0</v>
      </c>
    </row>
    <row r="32" spans="1:20" x14ac:dyDescent="0.2">
      <c r="A32" s="1" t="str">
        <f>A31</f>
        <v>Seed</v>
      </c>
      <c r="B32" s="1" t="str">
        <f>CONCATENATE("Series ",A32," Preferred Payment per Share")</f>
        <v>Series Seed Preferred Payment per Share</v>
      </c>
      <c r="C32" s="1"/>
      <c r="D32" s="1"/>
      <c r="E32" s="1"/>
      <c r="F32" s="1"/>
      <c r="G32" s="1"/>
      <c r="H32" s="1"/>
      <c r="I32" s="25">
        <f ca="1">I31/$G$20</f>
        <v>4.1246319529565065</v>
      </c>
      <c r="J32" s="25">
        <f ca="1">J31/$G$20</f>
        <v>4.1246319529565065</v>
      </c>
      <c r="K32" s="25">
        <f ca="1">K31/$G$20</f>
        <v>0</v>
      </c>
      <c r="L32" s="25">
        <f ca="1">L31/$G$20</f>
        <v>0</v>
      </c>
      <c r="M32" s="25">
        <f ca="1">M31/$G$20</f>
        <v>0</v>
      </c>
      <c r="N32" s="25">
        <f ca="1">N31/$G$20</f>
        <v>0</v>
      </c>
      <c r="O32" s="25">
        <f ca="1">O31/$G$20</f>
        <v>0</v>
      </c>
      <c r="P32" s="25">
        <f ca="1">P31/$G$20</f>
        <v>0</v>
      </c>
      <c r="Q32" s="25">
        <f ca="1">Q31/$G$20</f>
        <v>0</v>
      </c>
      <c r="R32" s="25">
        <f ca="1">R31/$G$20</f>
        <v>0</v>
      </c>
      <c r="S32" s="25">
        <f ca="1">S31/$G$20</f>
        <v>0</v>
      </c>
      <c r="T32" s="25">
        <f ca="1">T31/$G$20</f>
        <v>0</v>
      </c>
    </row>
    <row r="33" spans="1:20" x14ac:dyDescent="0.2">
      <c r="A33" s="1"/>
      <c r="B33" s="1"/>
      <c r="C33" s="1"/>
      <c r="D33" s="1"/>
      <c r="E33" s="1"/>
      <c r="F33" s="1"/>
      <c r="G33" s="1"/>
      <c r="H33" s="1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</row>
    <row r="34" spans="1:20" x14ac:dyDescent="0.2">
      <c r="A34" s="1"/>
      <c r="B34" s="1"/>
      <c r="C34" s="1"/>
      <c r="D34" s="1"/>
      <c r="E34" s="1"/>
      <c r="F34" s="1"/>
      <c r="G34" s="1"/>
      <c r="H34" s="1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</row>
    <row r="35" spans="1:20" x14ac:dyDescent="0.2">
      <c r="A35" s="1"/>
      <c r="B35" s="46" t="s">
        <v>93</v>
      </c>
      <c r="C35" s="1"/>
      <c r="D35" s="1"/>
      <c r="E35" s="1"/>
      <c r="F35" s="1"/>
      <c r="G35" s="1"/>
      <c r="H35" s="1"/>
      <c r="I35" s="25">
        <f ca="1">+I16-I26-I31</f>
        <v>19424999.902662016</v>
      </c>
      <c r="J35" s="25">
        <f ca="1">+J16-J26-J31</f>
        <v>39124999.902662024</v>
      </c>
      <c r="K35" s="25">
        <f ca="1">+K16-K26-K31</f>
        <v>88650000</v>
      </c>
      <c r="L35" s="25">
        <f ca="1">+L16-L26-L31</f>
        <v>108350000</v>
      </c>
      <c r="M35" s="25">
        <f ca="1">+M16-M26-M31</f>
        <v>128050000</v>
      </c>
      <c r="N35" s="25">
        <f ca="1">+N16-N26-N31</f>
        <v>147750000</v>
      </c>
      <c r="O35" s="25">
        <f ca="1">+O16-O26-O31</f>
        <v>167450000</v>
      </c>
      <c r="P35" s="25">
        <f ca="1">+P16-P26-P31</f>
        <v>187150000</v>
      </c>
      <c r="Q35" s="25">
        <f ca="1">+Q16-Q26-Q31</f>
        <v>206850000</v>
      </c>
      <c r="R35" s="25">
        <f ca="1">+R16-R26-R31</f>
        <v>226550000</v>
      </c>
      <c r="S35" s="25">
        <f ca="1">+S16-S26-S31</f>
        <v>246250000</v>
      </c>
      <c r="T35" s="25">
        <f ca="1">+T16-T26-T31</f>
        <v>265950000</v>
      </c>
    </row>
    <row r="36" spans="1:20" x14ac:dyDescent="0.2">
      <c r="A36" s="1"/>
      <c r="B36" s="1"/>
      <c r="C36" s="1"/>
      <c r="D36" s="1"/>
      <c r="E36" s="1"/>
      <c r="F36" s="1"/>
      <c r="G36" s="1"/>
      <c r="H36" s="1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</row>
    <row r="37" spans="1:20" x14ac:dyDescent="0.2">
      <c r="A37" s="1"/>
      <c r="B37" s="46" t="s">
        <v>94</v>
      </c>
      <c r="C37" s="1"/>
      <c r="D37" s="1"/>
      <c r="E37" s="1"/>
      <c r="F37" s="1"/>
      <c r="G37" s="1"/>
      <c r="H37" s="1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</row>
    <row r="38" spans="1:20" x14ac:dyDescent="0.2">
      <c r="A38" s="1"/>
      <c r="B38" s="1" t="s">
        <v>111</v>
      </c>
      <c r="C38" s="1"/>
      <c r="D38" s="1"/>
      <c r="E38" s="1"/>
      <c r="F38" s="1"/>
      <c r="G38" s="1"/>
      <c r="H38" s="1"/>
      <c r="I38" s="25">
        <f ca="1">SeriesA!$C$21+SeriesA!$J$21+IF('PostA Returns'!I25="yes",'PostA Returns'!$G$19,0)+IF('PostA Returns'!I30="yes",'PostA Returns'!$G$20,0)</f>
        <v>11530110</v>
      </c>
      <c r="J38" s="25">
        <f ca="1">SeriesA!$C$21+SeriesA!$J$21+IF('PostA Returns'!J25="yes",'PostA Returns'!$G$19,0)+IF('PostA Returns'!J30="yes",'PostA Returns'!$G$20,0)</f>
        <v>11530110</v>
      </c>
      <c r="K38" s="25">
        <f ca="1">SeriesA!$C$21+SeriesA!$J$21+IF('PostA Returns'!K25="yes",'PostA Returns'!$G$19,0)+IF('PostA Returns'!K30="yes",'PostA Returns'!$G$20,0)</f>
        <v>18549521</v>
      </c>
      <c r="L38" s="25">
        <f ca="1">SeriesA!$C$21+SeriesA!$J$21+IF('PostA Returns'!L25="yes",'PostA Returns'!$G$19,0)+IF('PostA Returns'!L30="yes",'PostA Returns'!$G$20,0)</f>
        <v>18549521</v>
      </c>
      <c r="M38" s="25">
        <f ca="1">SeriesA!$C$21+SeriesA!$J$21+IF('PostA Returns'!M25="yes",'PostA Returns'!$G$19,0)+IF('PostA Returns'!M30="yes",'PostA Returns'!$G$20,0)</f>
        <v>18549521</v>
      </c>
      <c r="N38" s="25">
        <f ca="1">SeriesA!$C$21+SeriesA!$J$21+IF('PostA Returns'!N25="yes",'PostA Returns'!$G$19,0)+IF('PostA Returns'!N30="yes",'PostA Returns'!$G$20,0)</f>
        <v>18549521</v>
      </c>
      <c r="O38" s="25">
        <f ca="1">SeriesA!$C$21+SeriesA!$J$21+IF('PostA Returns'!O25="yes",'PostA Returns'!$G$19,0)+IF('PostA Returns'!O30="yes",'PostA Returns'!$G$20,0)</f>
        <v>18549521</v>
      </c>
      <c r="P38" s="25">
        <f ca="1">SeriesA!$C$21+SeriesA!$J$21+IF('PostA Returns'!P25="yes",'PostA Returns'!$G$19,0)+IF('PostA Returns'!P30="yes",'PostA Returns'!$G$20,0)</f>
        <v>18549521</v>
      </c>
      <c r="Q38" s="25">
        <f ca="1">SeriesA!$C$21+SeriesA!$J$21+IF('PostA Returns'!Q25="yes",'PostA Returns'!$G$19,0)+IF('PostA Returns'!Q30="yes",'PostA Returns'!$G$20,0)</f>
        <v>18549521</v>
      </c>
      <c r="R38" s="25">
        <f ca="1">SeriesA!$C$21+SeriesA!$J$21+IF('PostA Returns'!R25="yes",'PostA Returns'!$G$19,0)+IF('PostA Returns'!R30="yes",'PostA Returns'!$G$20,0)</f>
        <v>18549521</v>
      </c>
      <c r="S38" s="25">
        <f ca="1">SeriesA!$C$21+SeriesA!$J$21+IF('PostA Returns'!S25="yes",'PostA Returns'!$G$19,0)+IF('PostA Returns'!S30="yes",'PostA Returns'!$G$20,0)</f>
        <v>18549521</v>
      </c>
      <c r="T38" s="25">
        <f ca="1">SeriesA!$C$21+SeriesA!$J$21+IF('PostA Returns'!T25="yes",'PostA Returns'!$G$19,0)+IF('PostA Returns'!T30="yes",'PostA Returns'!$G$20,0)</f>
        <v>18549521</v>
      </c>
    </row>
    <row r="39" spans="1:20" x14ac:dyDescent="0.2">
      <c r="A39" s="1"/>
      <c r="B39" s="46" t="s">
        <v>112</v>
      </c>
      <c r="C39" s="1"/>
      <c r="D39" s="1"/>
      <c r="E39" s="1"/>
      <c r="F39" s="1"/>
      <c r="G39" s="1"/>
      <c r="H39" s="1"/>
      <c r="I39" s="25">
        <f ca="1">+IFERROR(I35/I38,0)</f>
        <v>1.6847193914595799</v>
      </c>
      <c r="J39" s="25">
        <f ca="1">+IFERROR(J35/J38,0)</f>
        <v>3.3932893877562336</v>
      </c>
      <c r="K39" s="25">
        <f ca="1">+IFERROR(K35/K38,0)</f>
        <v>4.7790991476275853</v>
      </c>
      <c r="L39" s="25">
        <f ca="1">+IFERROR(L35/L38,0)</f>
        <v>5.8411211804337162</v>
      </c>
      <c r="M39" s="25">
        <f ca="1">+IFERROR(M35/M38,0)</f>
        <v>6.9031432132398463</v>
      </c>
      <c r="N39" s="25">
        <f ca="1">+IFERROR(N35/N38,0)</f>
        <v>7.9651652460459763</v>
      </c>
      <c r="O39" s="25">
        <f ca="1">+IFERROR(O35/O38,0)</f>
        <v>9.0271872788521055</v>
      </c>
      <c r="P39" s="25">
        <f ca="1">+IFERROR(P35/P38,0)</f>
        <v>10.089209311658236</v>
      </c>
      <c r="Q39" s="25">
        <f ca="1">+IFERROR(Q35/Q38,0)</f>
        <v>11.151231344464367</v>
      </c>
      <c r="R39" s="25">
        <f ca="1">+IFERROR(R35/R38,0)</f>
        <v>12.213253377270497</v>
      </c>
      <c r="S39" s="25">
        <f ca="1">+IFERROR(S35/S38,0)</f>
        <v>13.275275410076627</v>
      </c>
      <c r="T39" s="25">
        <f ca="1">+IFERROR(T35/T38,0)</f>
        <v>14.337297442882758</v>
      </c>
    </row>
    <row r="40" spans="1:20" x14ac:dyDescent="0.2">
      <c r="A40" s="1"/>
      <c r="B40" s="1"/>
      <c r="C40" s="1"/>
      <c r="D40" s="1"/>
      <c r="E40" s="1"/>
      <c r="F40" s="1"/>
      <c r="G40" s="1"/>
      <c r="H40" s="1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</row>
    <row r="41" spans="1:20" x14ac:dyDescent="0.2">
      <c r="A41" s="1"/>
      <c r="B41" s="46" t="s">
        <v>95</v>
      </c>
      <c r="C41" s="1"/>
      <c r="D41" s="1"/>
      <c r="E41" s="1"/>
      <c r="F41" s="1"/>
      <c r="G41" s="1"/>
      <c r="H41" s="1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</row>
    <row r="42" spans="1:20" x14ac:dyDescent="0.2">
      <c r="A42" s="1" t="str">
        <f>A19</f>
        <v>A</v>
      </c>
      <c r="B42" s="1" t="str">
        <f>CONCATENATE("Series ",A42)</f>
        <v>Series A</v>
      </c>
      <c r="C42" s="1"/>
      <c r="D42" s="1"/>
      <c r="E42" s="1"/>
      <c r="F42" s="1"/>
      <c r="G42" s="1"/>
      <c r="H42" s="1"/>
      <c r="I42" s="25">
        <f ca="1">IF(I25="yes",I39,I27)</f>
        <v>4.3127798286543353</v>
      </c>
      <c r="J42" s="25">
        <f ca="1">IF(J25="yes",J39,J27)</f>
        <v>4.3127798286543353</v>
      </c>
      <c r="K42" s="25">
        <f ca="1">IF(K25="yes",K39,K27)</f>
        <v>4.7790991476275853</v>
      </c>
      <c r="L42" s="25">
        <f ca="1">IF(L25="yes",L39,L27)</f>
        <v>5.8411211804337162</v>
      </c>
      <c r="M42" s="25">
        <f ca="1">IF(M25="yes",M39,M27)</f>
        <v>6.9031432132398463</v>
      </c>
      <c r="N42" s="25">
        <f ca="1">IF(N25="yes",N39,N27)</f>
        <v>7.9651652460459763</v>
      </c>
      <c r="O42" s="25">
        <f ca="1">IF(O25="yes",O39,O27)</f>
        <v>9.0271872788521055</v>
      </c>
      <c r="P42" s="25">
        <f ca="1">IF(P25="yes",P39,P27)</f>
        <v>10.089209311658236</v>
      </c>
      <c r="Q42" s="25">
        <f ca="1">IF(Q25="yes",Q39,Q27)</f>
        <v>11.151231344464367</v>
      </c>
      <c r="R42" s="25">
        <f ca="1">IF(R25="yes",R39,R27)</f>
        <v>12.213253377270497</v>
      </c>
      <c r="S42" s="25">
        <f ca="1">IF(S25="yes",S39,S27)</f>
        <v>13.275275410076627</v>
      </c>
      <c r="T42" s="25">
        <f ca="1">IF(T25="yes",T39,T27)</f>
        <v>14.337297442882758</v>
      </c>
    </row>
    <row r="43" spans="1:20" x14ac:dyDescent="0.2">
      <c r="A43" s="1" t="str">
        <f>A20</f>
        <v>Seed</v>
      </c>
      <c r="B43" s="1" t="str">
        <f>CONCATENATE("Series ",A43)</f>
        <v>Series Seed</v>
      </c>
      <c r="C43" s="1"/>
      <c r="D43" s="1"/>
      <c r="E43" s="1"/>
      <c r="F43" s="1"/>
      <c r="G43" s="1"/>
      <c r="H43" s="1"/>
      <c r="I43" s="25">
        <f ca="1">IF(I30="yes",I39,I32)</f>
        <v>4.1246319529565065</v>
      </c>
      <c r="J43" s="25">
        <f ca="1">IF(J30="yes",J39,J32)</f>
        <v>4.1246319529565065</v>
      </c>
      <c r="K43" s="25">
        <f ca="1">IF(K30="yes",K39,K32)</f>
        <v>4.7790991476275853</v>
      </c>
      <c r="L43" s="25">
        <f ca="1">IF(L30="yes",L39,L32)</f>
        <v>5.8411211804337162</v>
      </c>
      <c r="M43" s="25">
        <f ca="1">IF(M30="yes",M39,M32)</f>
        <v>6.9031432132398463</v>
      </c>
      <c r="N43" s="25">
        <f ca="1">IF(N30="yes",N39,N32)</f>
        <v>7.9651652460459763</v>
      </c>
      <c r="O43" s="25">
        <f ca="1">IF(O30="yes",O39,O32)</f>
        <v>9.0271872788521055</v>
      </c>
      <c r="P43" s="25">
        <f ca="1">IF(P30="yes",P39,P32)</f>
        <v>10.089209311658236</v>
      </c>
      <c r="Q43" s="25">
        <f ca="1">IF(Q30="yes",Q39,Q32)</f>
        <v>11.151231344464367</v>
      </c>
      <c r="R43" s="25">
        <f ca="1">IF(R30="yes",R39,R32)</f>
        <v>12.213253377270497</v>
      </c>
      <c r="S43" s="25">
        <f ca="1">IF(S30="yes",S39,S32)</f>
        <v>13.275275410076627</v>
      </c>
      <c r="T43" s="25">
        <f ca="1">IF(T30="yes",T39,T32)</f>
        <v>14.337297442882758</v>
      </c>
    </row>
    <row r="44" spans="1:20" x14ac:dyDescent="0.2">
      <c r="A44" s="1"/>
      <c r="B44" s="1" t="s">
        <v>78</v>
      </c>
      <c r="C44" s="1"/>
      <c r="D44" s="1"/>
      <c r="E44" s="1"/>
      <c r="F44" s="1"/>
      <c r="G44" s="1"/>
      <c r="H44" s="1"/>
      <c r="I44" s="25">
        <f ca="1">+I39</f>
        <v>1.6847193914595799</v>
      </c>
      <c r="J44" s="25">
        <f ca="1">+J39</f>
        <v>3.3932893877562336</v>
      </c>
      <c r="K44" s="25">
        <f ca="1">+K39</f>
        <v>4.7790991476275853</v>
      </c>
      <c r="L44" s="25">
        <f ca="1">+L39</f>
        <v>5.8411211804337162</v>
      </c>
      <c r="M44" s="25">
        <f ca="1">+M39</f>
        <v>6.9031432132398463</v>
      </c>
      <c r="N44" s="25">
        <f ca="1">+N39</f>
        <v>7.9651652460459763</v>
      </c>
      <c r="O44" s="25">
        <f ca="1">+O39</f>
        <v>9.0271872788521055</v>
      </c>
      <c r="P44" s="25">
        <f ca="1">+P39</f>
        <v>10.089209311658236</v>
      </c>
      <c r="Q44" s="25">
        <f ca="1">+Q39</f>
        <v>11.151231344464367</v>
      </c>
      <c r="R44" s="25">
        <f ca="1">+R39</f>
        <v>12.213253377270497</v>
      </c>
      <c r="S44" s="25">
        <f ca="1">+S39</f>
        <v>13.275275410076627</v>
      </c>
      <c r="T44" s="25">
        <f ca="1">+T39</f>
        <v>14.337297442882758</v>
      </c>
    </row>
    <row r="45" spans="1:20" x14ac:dyDescent="0.2">
      <c r="A45" s="1"/>
      <c r="B45" s="1"/>
      <c r="C45" s="1"/>
      <c r="D45" s="1"/>
      <c r="E45" s="1"/>
      <c r="F45" s="1"/>
      <c r="G45" s="1"/>
      <c r="H45" s="1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</row>
    <row r="46" spans="1:20" x14ac:dyDescent="0.2">
      <c r="A46" s="1"/>
      <c r="B46" s="46" t="s">
        <v>96</v>
      </c>
      <c r="C46" s="1"/>
      <c r="D46" s="1"/>
      <c r="E46" s="1"/>
      <c r="F46" s="1"/>
      <c r="G46" s="1"/>
      <c r="H46" s="1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</row>
    <row r="47" spans="1:20" x14ac:dyDescent="0.2">
      <c r="A47" s="1"/>
      <c r="B47" s="1" t="str">
        <f>B42</f>
        <v>Series A</v>
      </c>
      <c r="C47" s="1"/>
      <c r="D47" s="1"/>
      <c r="E47" s="1"/>
      <c r="F47" s="1"/>
      <c r="G47" s="1"/>
      <c r="H47" s="1"/>
      <c r="I47" s="25">
        <f ca="1">I42*$G$19</f>
        <v>19999998.921805043</v>
      </c>
      <c r="J47" s="25">
        <f ca="1">J42*$G$19</f>
        <v>19999998.921805043</v>
      </c>
      <c r="K47" s="25">
        <f ca="1">K42*$G$19</f>
        <v>22162498.805225212</v>
      </c>
      <c r="L47" s="25">
        <f ca="1">L42*$G$19</f>
        <v>27087498.539719708</v>
      </c>
      <c r="M47" s="25">
        <f ca="1">M42*$G$19</f>
        <v>32012498.274214197</v>
      </c>
      <c r="N47" s="25">
        <f ca="1">N42*$G$19</f>
        <v>36937498.008708693</v>
      </c>
      <c r="O47" s="25">
        <f ca="1">O42*$G$19</f>
        <v>41862497.743203178</v>
      </c>
      <c r="P47" s="25">
        <f ca="1">P42*$G$19</f>
        <v>46787497.47769767</v>
      </c>
      <c r="Q47" s="25">
        <f ca="1">Q42*$G$19</f>
        <v>51712497.21219217</v>
      </c>
      <c r="R47" s="25">
        <f ca="1">R42*$G$19</f>
        <v>56637496.946686663</v>
      </c>
      <c r="S47" s="25">
        <f ca="1">S42*$G$19</f>
        <v>61562496.681181148</v>
      </c>
      <c r="T47" s="25">
        <f ca="1">T42*$G$19</f>
        <v>66487496.41567564</v>
      </c>
    </row>
    <row r="48" spans="1:20" x14ac:dyDescent="0.2">
      <c r="A48" s="1"/>
      <c r="B48" s="1" t="str">
        <f>B43</f>
        <v>Series Seed</v>
      </c>
      <c r="C48" s="1"/>
      <c r="D48" s="1"/>
      <c r="E48" s="1"/>
      <c r="F48" s="1"/>
      <c r="G48" s="1"/>
      <c r="H48" s="1"/>
      <c r="I48" s="25">
        <f ca="1">I43*$G$20</f>
        <v>9825001.1755329408</v>
      </c>
      <c r="J48" s="25">
        <f ca="1">J43*$G$20</f>
        <v>9825001.1755329408</v>
      </c>
      <c r="K48" s="25">
        <f ca="1">K43*$G$20</f>
        <v>11383962.321722485</v>
      </c>
      <c r="L48" s="25">
        <f ca="1">L43*$G$20</f>
        <v>13913731.726549705</v>
      </c>
      <c r="M48" s="25">
        <f ca="1">M43*$G$20</f>
        <v>16443501.131376924</v>
      </c>
      <c r="N48" s="25">
        <f ca="1">N43*$G$20</f>
        <v>18973270.536204144</v>
      </c>
      <c r="O48" s="25">
        <f ca="1">O43*$G$20</f>
        <v>21503039.941031359</v>
      </c>
      <c r="P48" s="25">
        <f ca="1">P43*$G$20</f>
        <v>24032809.345858578</v>
      </c>
      <c r="Q48" s="25">
        <f ca="1">Q43*$G$20</f>
        <v>26562578.7506858</v>
      </c>
      <c r="R48" s="25">
        <f ca="1">R43*$G$20</f>
        <v>29092348.155513022</v>
      </c>
      <c r="S48" s="25">
        <f ca="1">S43*$G$20</f>
        <v>31622117.560340241</v>
      </c>
      <c r="T48" s="25">
        <f ca="1">T43*$G$20</f>
        <v>34151886.965167455</v>
      </c>
    </row>
    <row r="49" spans="1:20" x14ac:dyDescent="0.2">
      <c r="A49" s="1"/>
      <c r="B49" s="1" t="str">
        <f>B44</f>
        <v>Common</v>
      </c>
      <c r="C49" s="1"/>
      <c r="D49" s="1"/>
      <c r="E49" s="1"/>
      <c r="F49" s="1"/>
      <c r="G49" s="1"/>
      <c r="H49" s="1"/>
      <c r="I49" s="25">
        <f ca="1">I44*(SeriesA!$C$21+SeriesA!$J$21)</f>
        <v>19424999.902662016</v>
      </c>
      <c r="J49" s="25">
        <f ca="1">J44*(SeriesA!$C$21+SeriesA!$J$21)</f>
        <v>39124999.902662024</v>
      </c>
      <c r="K49" s="25">
        <f ca="1">K44*(SeriesA!$C$21+SeriesA!$J$21)</f>
        <v>55103538.873052299</v>
      </c>
      <c r="L49" s="25">
        <f ca="1">L44*(SeriesA!$C$21+SeriesA!$J$21)</f>
        <v>67348769.733730599</v>
      </c>
      <c r="M49" s="25">
        <f ca="1">M44*(SeriesA!$C$21+SeriesA!$J$21)</f>
        <v>79594000.594408885</v>
      </c>
      <c r="N49" s="25">
        <f ca="1">N44*(SeriesA!$C$21+SeriesA!$J$21)</f>
        <v>91839231.45508717</v>
      </c>
      <c r="O49" s="25">
        <f ca="1">O44*(SeriesA!$C$21+SeriesA!$J$21)</f>
        <v>104084462.31576546</v>
      </c>
      <c r="P49" s="25">
        <f ca="1">P44*(SeriesA!$C$21+SeriesA!$J$21)</f>
        <v>116329693.17644374</v>
      </c>
      <c r="Q49" s="25">
        <f ca="1">Q44*(SeriesA!$C$21+SeriesA!$J$21)</f>
        <v>128574924.03712204</v>
      </c>
      <c r="R49" s="25">
        <f ca="1">R44*(SeriesA!$C$21+SeriesA!$J$21)</f>
        <v>140820154.89780033</v>
      </c>
      <c r="S49" s="25">
        <f ca="1">S44*(SeriesA!$C$21+SeriesA!$J$21)</f>
        <v>153065385.75847861</v>
      </c>
      <c r="T49" s="25">
        <f ca="1">T44*(SeriesA!$C$21+SeriesA!$J$21)</f>
        <v>165310616.6191569</v>
      </c>
    </row>
    <row r="50" spans="1:20" x14ac:dyDescent="0.2">
      <c r="A50" s="1"/>
      <c r="B50" s="1"/>
      <c r="C50" s="1"/>
      <c r="D50" s="1"/>
      <c r="E50" s="1"/>
      <c r="F50" s="1"/>
      <c r="G50" s="1"/>
      <c r="H50" s="1"/>
      <c r="I50" s="25">
        <f ca="1">+SUM(I47:I49)-I16</f>
        <v>0</v>
      </c>
      <c r="J50" s="25">
        <f ca="1">+SUM(J47:J49)-J16</f>
        <v>0</v>
      </c>
      <c r="K50" s="25">
        <f ca="1">+SUM(K47:K49)-K16</f>
        <v>0</v>
      </c>
      <c r="L50" s="25">
        <f ca="1">+SUM(L47:L49)-L16</f>
        <v>0</v>
      </c>
      <c r="M50" s="25">
        <f ca="1">+SUM(M47:M49)-M16</f>
        <v>0</v>
      </c>
      <c r="N50" s="25">
        <f ca="1">+SUM(N47:N49)-N16</f>
        <v>0</v>
      </c>
      <c r="O50" s="25">
        <f ca="1">+SUM(O47:O49)-O16</f>
        <v>0</v>
      </c>
      <c r="P50" s="25">
        <f ca="1">+SUM(P47:P49)-P16</f>
        <v>0</v>
      </c>
      <c r="Q50" s="25">
        <f ca="1">+SUM(Q47:Q49)-Q16</f>
        <v>0</v>
      </c>
      <c r="R50" s="25">
        <f ca="1">+SUM(R47:R49)-R16</f>
        <v>0</v>
      </c>
      <c r="S50" s="25">
        <f ca="1">+SUM(S47:S49)-S16</f>
        <v>0</v>
      </c>
      <c r="T50" s="25">
        <f ca="1">+SUM(T47:T49)-T16</f>
        <v>0</v>
      </c>
    </row>
    <row r="51" spans="1:20" x14ac:dyDescent="0.2">
      <c r="A51" s="1"/>
      <c r="B51" s="1"/>
      <c r="C51" s="1"/>
      <c r="D51" s="1"/>
      <c r="E51" s="1"/>
      <c r="F51" s="1"/>
      <c r="G51" s="1"/>
      <c r="H51" s="1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</row>
    <row r="52" spans="1:20" x14ac:dyDescent="0.2">
      <c r="A52" s="1"/>
      <c r="B52" s="46" t="s">
        <v>101</v>
      </c>
      <c r="C52" s="1"/>
      <c r="D52" s="1"/>
      <c r="E52" s="1"/>
      <c r="F52" s="1"/>
      <c r="G52" s="1"/>
      <c r="H52" s="1"/>
      <c r="I52" s="7" t="s">
        <v>57</v>
      </c>
      <c r="J52" s="7" t="s">
        <v>57</v>
      </c>
      <c r="K52" s="7" t="s">
        <v>57</v>
      </c>
      <c r="L52" s="7" t="s">
        <v>57</v>
      </c>
      <c r="M52" s="7" t="s">
        <v>57</v>
      </c>
      <c r="N52" s="7" t="s">
        <v>57</v>
      </c>
      <c r="O52" s="7" t="s">
        <v>57</v>
      </c>
      <c r="P52" s="7" t="s">
        <v>57</v>
      </c>
      <c r="Q52" s="7" t="s">
        <v>57</v>
      </c>
      <c r="R52" s="7" t="s">
        <v>57</v>
      </c>
      <c r="S52" s="7" t="s">
        <v>57</v>
      </c>
      <c r="T52" s="7" t="s">
        <v>57</v>
      </c>
    </row>
    <row r="53" spans="1:20" x14ac:dyDescent="0.2">
      <c r="A53" s="1"/>
      <c r="B53" s="1" t="str">
        <f>SeriesA!B10</f>
        <v>Brian Hazzard</v>
      </c>
      <c r="C53" s="1"/>
      <c r="D53" s="1"/>
      <c r="E53" s="1"/>
      <c r="F53" s="1"/>
      <c r="G53" s="1"/>
      <c r="H53" s="1"/>
      <c r="I53" s="25">
        <f ca="1">I$44*SeriesA!$C10</f>
        <v>6064989.809254488</v>
      </c>
      <c r="J53" s="25">
        <f ca="1">J$44*SeriesA!$C10</f>
        <v>12215841.795922441</v>
      </c>
      <c r="K53" s="25">
        <f ca="1">K$44*SeriesA!$C10</f>
        <v>17204756.931459308</v>
      </c>
      <c r="L53" s="25">
        <f ca="1">L$44*SeriesA!$C10</f>
        <v>21028036.249561377</v>
      </c>
      <c r="M53" s="25">
        <f ca="1">M$44*SeriesA!$C10</f>
        <v>24851315.567663446</v>
      </c>
      <c r="N53" s="25">
        <f ca="1">N$44*SeriesA!$C10</f>
        <v>28674594.885765515</v>
      </c>
      <c r="O53" s="25">
        <f ca="1">O$44*SeriesA!$C10</f>
        <v>32497874.203867581</v>
      </c>
      <c r="P53" s="25">
        <f ca="1">P$44*SeriesA!$C10</f>
        <v>36321153.521969646</v>
      </c>
      <c r="Q53" s="25">
        <f ca="1">Q$44*SeriesA!$C10</f>
        <v>40144432.840071723</v>
      </c>
      <c r="R53" s="25">
        <f ca="1">R$44*SeriesA!$C10</f>
        <v>43967712.158173792</v>
      </c>
      <c r="S53" s="25">
        <f ca="1">S$44*SeriesA!$C10</f>
        <v>47790991.476275861</v>
      </c>
      <c r="T53" s="25">
        <f ca="1">T$44*SeriesA!$C10</f>
        <v>51614270.79437793</v>
      </c>
    </row>
    <row r="54" spans="1:20" x14ac:dyDescent="0.2">
      <c r="A54" s="1"/>
      <c r="B54" s="1" t="str">
        <f>SeriesA!B11</f>
        <v>David Wolpoff</v>
      </c>
      <c r="C54" s="1"/>
      <c r="D54" s="1"/>
      <c r="E54" s="1"/>
      <c r="F54" s="1"/>
      <c r="G54" s="1"/>
      <c r="H54" s="1"/>
      <c r="I54" s="25">
        <f ca="1">I$44*SeriesA!$C11</f>
        <v>6064989.809254488</v>
      </c>
      <c r="J54" s="25">
        <f ca="1">J$44*SeriesA!$C11</f>
        <v>12215841.795922441</v>
      </c>
      <c r="K54" s="25">
        <f ca="1">K$44*SeriesA!$C11</f>
        <v>17204756.931459308</v>
      </c>
      <c r="L54" s="25">
        <f ca="1">L$44*SeriesA!$C11</f>
        <v>21028036.249561377</v>
      </c>
      <c r="M54" s="25">
        <f ca="1">M$44*SeriesA!$C11</f>
        <v>24851315.567663446</v>
      </c>
      <c r="N54" s="25">
        <f ca="1">N$44*SeriesA!$C11</f>
        <v>28674594.885765515</v>
      </c>
      <c r="O54" s="25">
        <f ca="1">O$44*SeriesA!$C11</f>
        <v>32497874.203867581</v>
      </c>
      <c r="P54" s="25">
        <f ca="1">P$44*SeriesA!$C11</f>
        <v>36321153.521969646</v>
      </c>
      <c r="Q54" s="25">
        <f ca="1">Q$44*SeriesA!$C11</f>
        <v>40144432.840071723</v>
      </c>
      <c r="R54" s="25">
        <f ca="1">R$44*SeriesA!$C11</f>
        <v>43967712.158173792</v>
      </c>
      <c r="S54" s="25">
        <f ca="1">S$44*SeriesA!$C11</f>
        <v>47790991.476275861</v>
      </c>
      <c r="T54" s="25">
        <f ca="1">T$44*SeriesA!$C11</f>
        <v>51614270.79437793</v>
      </c>
    </row>
    <row r="55" spans="1:20" x14ac:dyDescent="0.2">
      <c r="A55" s="1"/>
      <c r="B55" s="1" t="str">
        <f>SeriesA!B12</f>
        <v>Other Common</v>
      </c>
      <c r="C55" s="1"/>
      <c r="D55" s="1"/>
      <c r="E55" s="1"/>
      <c r="F55" s="1"/>
      <c r="G55" s="1"/>
      <c r="H55" s="1"/>
      <c r="I55" s="25">
        <f ca="1">I$44*SeriesA!$C12</f>
        <v>4169946.6795263109</v>
      </c>
      <c r="J55" s="25">
        <f ca="1">J$44*SeriesA!$C12</f>
        <v>8398927.3744199444</v>
      </c>
      <c r="K55" s="25">
        <f ca="1">K$44*SeriesA!$C12</f>
        <v>11829025.488043599</v>
      </c>
      <c r="L55" s="25">
        <f ca="1">L$44*SeriesA!$C12</f>
        <v>14457697.818719957</v>
      </c>
      <c r="M55" s="25">
        <f ca="1">M$44*SeriesA!$C12</f>
        <v>17086370.149396311</v>
      </c>
      <c r="N55" s="25">
        <f ca="1">N$44*SeriesA!$C12</f>
        <v>19715042.480072666</v>
      </c>
      <c r="O55" s="25">
        <f ca="1">O$44*SeriesA!$C12</f>
        <v>22343714.81074902</v>
      </c>
      <c r="P55" s="25">
        <f ca="1">P$44*SeriesA!$C12</f>
        <v>24972387.141425375</v>
      </c>
      <c r="Q55" s="25">
        <f ca="1">Q$44*SeriesA!$C12</f>
        <v>27601059.472101733</v>
      </c>
      <c r="R55" s="25">
        <f ca="1">R$44*SeriesA!$C12</f>
        <v>30229731.802778091</v>
      </c>
      <c r="S55" s="25">
        <f ca="1">S$44*SeriesA!$C12</f>
        <v>32858404.133454446</v>
      </c>
      <c r="T55" s="25">
        <f ca="1">T$44*SeriesA!$C12</f>
        <v>35487076.464130804</v>
      </c>
    </row>
    <row r="56" spans="1:20" ht="13.5" customHeight="1" x14ac:dyDescent="0.2">
      <c r="A56" s="1"/>
      <c r="B56" s="1" t="str">
        <f>SeriesA!B13</f>
        <v>ESOP Available</v>
      </c>
      <c r="C56" s="1"/>
      <c r="D56" s="1"/>
      <c r="E56" s="1"/>
      <c r="F56" s="1"/>
      <c r="G56" s="1"/>
      <c r="H56" s="1"/>
      <c r="I56" s="25">
        <f ca="1">I$44*(SeriesA!$C13+SeriesA!$J13)</f>
        <v>3125073.6046267306</v>
      </c>
      <c r="J56" s="25">
        <f ca="1">J$44*(SeriesA!$C13+SeriesA!$J13)</f>
        <v>6294388.9363972014</v>
      </c>
      <c r="K56" s="25">
        <f ca="1">K$44*(SeriesA!$C13+SeriesA!$J13)</f>
        <v>8864999.5220900849</v>
      </c>
      <c r="L56" s="25">
        <f ca="1">L$44*(SeriesA!$C13+SeriesA!$J13)</f>
        <v>10834999.415887883</v>
      </c>
      <c r="M56" s="25">
        <f ca="1">M$44*(SeriesA!$C13+SeriesA!$J13)</f>
        <v>12804999.309685679</v>
      </c>
      <c r="N56" s="25">
        <f ca="1">N$44*(SeriesA!$C13+SeriesA!$J13)</f>
        <v>14774999.203483475</v>
      </c>
      <c r="O56" s="25">
        <f ca="1">O$44*(SeriesA!$C13+SeriesA!$J13)</f>
        <v>16744999.097281272</v>
      </c>
      <c r="P56" s="25">
        <f ca="1">P$44*(SeriesA!$C13+SeriesA!$J13)</f>
        <v>18714998.991079066</v>
      </c>
      <c r="Q56" s="25">
        <f ca="1">Q$44*(SeriesA!$C13+SeriesA!$J13)</f>
        <v>20684998.884876866</v>
      </c>
      <c r="R56" s="25">
        <f ca="1">R$44*(SeriesA!$C13+SeriesA!$J13)</f>
        <v>22654998.778674662</v>
      </c>
      <c r="S56" s="25">
        <f ca="1">S$44*(SeriesA!$C13+SeriesA!$J13)</f>
        <v>24624998.672472462</v>
      </c>
      <c r="T56" s="25">
        <f ca="1">T$44*(SeriesA!$C13+SeriesA!$J13)</f>
        <v>26594998.566270258</v>
      </c>
    </row>
    <row r="57" spans="1:20" ht="13.5" customHeight="1" x14ac:dyDescent="0.2">
      <c r="A57" s="1"/>
      <c r="B57" s="1" t="str">
        <f>SeriesA!B16</f>
        <v>Other Investors</v>
      </c>
      <c r="C57" s="1"/>
      <c r="D57" s="1"/>
      <c r="E57" s="1"/>
      <c r="F57" s="1"/>
      <c r="G57" s="1"/>
      <c r="H57" s="1"/>
      <c r="I57" s="25">
        <f ca="1">I$43*SeriesA!$E16</f>
        <v>1825001.1524329477</v>
      </c>
      <c r="J57" s="25">
        <f ca="1">J$43*SeriesA!$E16</f>
        <v>1825001.1524329477</v>
      </c>
      <c r="K57" s="25">
        <f ca="1">K$43*SeriesA!$E16</f>
        <v>2114579.3252558918</v>
      </c>
      <c r="L57" s="25">
        <f ca="1">L$43*SeriesA!$E16</f>
        <v>2584485.841979424</v>
      </c>
      <c r="M57" s="25">
        <f ca="1">M$43*SeriesA!$E16</f>
        <v>3054392.3587029553</v>
      </c>
      <c r="N57" s="25">
        <f ca="1">N$43*SeriesA!$E16</f>
        <v>3524298.8754264871</v>
      </c>
      <c r="O57" s="25">
        <f ca="1">O$43*SeriesA!$E16</f>
        <v>3994205.3921500179</v>
      </c>
      <c r="P57" s="25">
        <f ca="1">P$43*SeriesA!$E16</f>
        <v>4464111.9088735497</v>
      </c>
      <c r="Q57" s="25">
        <f ca="1">Q$43*SeriesA!$E16</f>
        <v>4934018.4255970819</v>
      </c>
      <c r="R57" s="25">
        <f ca="1">R$43*SeriesA!$E16</f>
        <v>5403924.9423206132</v>
      </c>
      <c r="S57" s="25">
        <f ca="1">S$43*SeriesA!$E16</f>
        <v>5873831.4590441445</v>
      </c>
      <c r="T57" s="25">
        <f ca="1">T$43*SeriesA!$E16</f>
        <v>6343737.9757676767</v>
      </c>
    </row>
    <row r="58" spans="1:20" x14ac:dyDescent="0.2">
      <c r="A58" s="1"/>
      <c r="B58" s="1" t="str">
        <f>SeriesA!B17</f>
        <v>Accomplice</v>
      </c>
      <c r="C58" s="1"/>
      <c r="D58" s="1"/>
      <c r="E58" s="1"/>
      <c r="F58" s="1"/>
      <c r="G58" s="1"/>
      <c r="H58" s="1"/>
      <c r="I58" s="25">
        <f ca="1">(I$42*SeriesA!$H17)+(I$43*SeriesA!$E17)</f>
        <v>12999999.753551252</v>
      </c>
      <c r="J58" s="25">
        <f ca="1">(J$42*SeriesA!$H17)+(J$43*SeriesA!$E17)</f>
        <v>12999999.753551252</v>
      </c>
      <c r="K58" s="25">
        <f ca="1">(K$42*SeriesA!$H17)+(K$43*SeriesA!$E17)</f>
        <v>14810007.697772894</v>
      </c>
      <c r="L58" s="25">
        <f ca="1">(L$42*SeriesA!$H17)+(L$43*SeriesA!$E17)</f>
        <v>18101120.519500211</v>
      </c>
      <c r="M58" s="25">
        <f ca="1">(M$42*SeriesA!$H17)+(M$43*SeriesA!$E17)</f>
        <v>21392233.341227517</v>
      </c>
      <c r="N58" s="25">
        <f ca="1">(N$42*SeriesA!$H17)+(N$43*SeriesA!$E17)</f>
        <v>24683346.16295483</v>
      </c>
      <c r="O58" s="25">
        <f ca="1">(O$42*SeriesA!$H17)+(O$43*SeriesA!$E17)</f>
        <v>27974458.984682135</v>
      </c>
      <c r="P58" s="25">
        <f ca="1">(P$42*SeriesA!$H17)+(P$43*SeriesA!$E17)</f>
        <v>31265571.806409448</v>
      </c>
      <c r="Q58" s="25">
        <f ca="1">(Q$42*SeriesA!$H17)+(Q$43*SeriesA!$E17)</f>
        <v>34556684.628136761</v>
      </c>
      <c r="R58" s="25">
        <f ca="1">(R$42*SeriesA!$H17)+(R$43*SeriesA!$E17)</f>
        <v>37847797.449864075</v>
      </c>
      <c r="S58" s="25">
        <f ca="1">(S$42*SeriesA!$H17)+(S$43*SeriesA!$E17)</f>
        <v>41138910.27159138</v>
      </c>
      <c r="T58" s="25">
        <f ca="1">(T$42*SeriesA!$H17)+(T$43*SeriesA!$E17)</f>
        <v>44430023.093318686</v>
      </c>
    </row>
    <row r="59" spans="1:20" x14ac:dyDescent="0.2">
      <c r="A59" s="1"/>
      <c r="B59" s="1">
        <f>SeriesA!B18</f>
        <v>1011</v>
      </c>
      <c r="C59" s="1"/>
      <c r="D59" s="1"/>
      <c r="E59" s="1"/>
      <c r="F59" s="1"/>
      <c r="G59" s="1"/>
      <c r="H59" s="1"/>
      <c r="I59" s="25">
        <f ca="1">I$42*SeriesA!$H18</f>
        <v>11999999.353083026</v>
      </c>
      <c r="J59" s="25">
        <f ca="1">J$42*SeriesA!$H18</f>
        <v>11999999.353083026</v>
      </c>
      <c r="K59" s="25">
        <f ca="1">K$42*SeriesA!$H18</f>
        <v>13297499.283135127</v>
      </c>
      <c r="L59" s="25">
        <f ca="1">L$42*SeriesA!$H18</f>
        <v>16252499.123831823</v>
      </c>
      <c r="M59" s="25">
        <f ca="1">M$42*SeriesA!$H18</f>
        <v>19207498.96452852</v>
      </c>
      <c r="N59" s="25">
        <f ca="1">N$42*SeriesA!$H18</f>
        <v>22162498.805225212</v>
      </c>
      <c r="O59" s="25">
        <f ca="1">O$42*SeriesA!$H18</f>
        <v>25117498.645921905</v>
      </c>
      <c r="P59" s="25">
        <f ca="1">P$42*SeriesA!$H18</f>
        <v>28072498.486618601</v>
      </c>
      <c r="Q59" s="25">
        <f ca="1">Q$42*SeriesA!$H18</f>
        <v>31027498.327315301</v>
      </c>
      <c r="R59" s="25">
        <f ca="1">R$42*SeriesA!$H18</f>
        <v>33982498.168011993</v>
      </c>
      <c r="S59" s="25">
        <f ca="1">S$42*SeriesA!$H18</f>
        <v>36937498.008708693</v>
      </c>
      <c r="T59" s="25">
        <f ca="1">T$42*SeriesA!$H18</f>
        <v>39892497.849405386</v>
      </c>
    </row>
    <row r="60" spans="1:20" x14ac:dyDescent="0.2">
      <c r="A60" s="1"/>
      <c r="B60" s="1" t="str">
        <f>SeriesA!B19</f>
        <v>Other Series A</v>
      </c>
      <c r="C60" s="1"/>
      <c r="D60" s="1"/>
      <c r="E60" s="1"/>
      <c r="F60" s="1"/>
      <c r="G60" s="1"/>
      <c r="H60" s="1"/>
      <c r="I60" s="25">
        <f ca="1">I$42*SeriesA!$H19</f>
        <v>2999999.8382707564</v>
      </c>
      <c r="J60" s="25">
        <f ca="1">J$42*SeriesA!$H19</f>
        <v>2999999.8382707564</v>
      </c>
      <c r="K60" s="25">
        <f ca="1">K$42*SeriesA!$H19</f>
        <v>3324374.8207837818</v>
      </c>
      <c r="L60" s="25">
        <f ca="1">L$42*SeriesA!$H19</f>
        <v>4063124.7809579559</v>
      </c>
      <c r="M60" s="25">
        <f ca="1">M$42*SeriesA!$H19</f>
        <v>4801874.7411321299</v>
      </c>
      <c r="N60" s="25">
        <f ca="1">N$42*SeriesA!$H19</f>
        <v>5540624.701306303</v>
      </c>
      <c r="O60" s="25">
        <f ca="1">O$42*SeriesA!$H19</f>
        <v>6279374.6614804761</v>
      </c>
      <c r="P60" s="25">
        <f ca="1">P$42*SeriesA!$H19</f>
        <v>7018124.6216546502</v>
      </c>
      <c r="Q60" s="25">
        <f ca="1">Q$42*SeriesA!$H19</f>
        <v>7756874.5818288252</v>
      </c>
      <c r="R60" s="25">
        <f ca="1">R$42*SeriesA!$H19</f>
        <v>8495624.5420029983</v>
      </c>
      <c r="S60" s="25">
        <f ca="1">S$42*SeriesA!$H19</f>
        <v>9234374.5021771733</v>
      </c>
      <c r="T60" s="25">
        <f ca="1">T$42*SeriesA!$H19</f>
        <v>9973124.4623513464</v>
      </c>
    </row>
    <row r="61" spans="1:20" x14ac:dyDescent="0.2">
      <c r="A61" s="1"/>
      <c r="B61" s="1"/>
      <c r="C61" s="1"/>
      <c r="D61" s="1"/>
      <c r="E61" s="1"/>
      <c r="F61" s="1"/>
      <c r="G61" s="1"/>
      <c r="H61" s="1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</row>
    <row r="62" spans="1:20" x14ac:dyDescent="0.2">
      <c r="A62" s="1"/>
      <c r="B62" s="1" t="s">
        <v>107</v>
      </c>
      <c r="C62" s="1"/>
      <c r="D62" s="1"/>
      <c r="E62" s="1"/>
      <c r="F62" s="1"/>
      <c r="G62" s="1"/>
      <c r="H62" s="1"/>
      <c r="I62" s="25">
        <f ca="1">+SUM(I53:I61)-I16</f>
        <v>0</v>
      </c>
      <c r="J62" s="25">
        <f ca="1">+SUM(J53:J61)-J16</f>
        <v>0</v>
      </c>
      <c r="K62" s="25">
        <f ca="1">+SUM(K53:K61)-K16</f>
        <v>0</v>
      </c>
      <c r="L62" s="25">
        <f ca="1">+SUM(L53:L61)-L16</f>
        <v>0</v>
      </c>
      <c r="M62" s="25">
        <f ca="1">+SUM(M53:M61)-M16</f>
        <v>0</v>
      </c>
      <c r="N62" s="25">
        <f ca="1">+SUM(N53:N61)-N16</f>
        <v>0</v>
      </c>
      <c r="O62" s="25">
        <f ca="1">+SUM(O53:O61)-O16</f>
        <v>0</v>
      </c>
      <c r="P62" s="25">
        <f ca="1">+SUM(P53:P61)-P16</f>
        <v>0</v>
      </c>
      <c r="Q62" s="25">
        <f ca="1">+SUM(Q53:Q61)-Q16</f>
        <v>0</v>
      </c>
      <c r="R62" s="25">
        <f ca="1">+SUM(R53:R61)-R16</f>
        <v>0</v>
      </c>
      <c r="S62" s="25">
        <f ca="1">+SUM(S53:S61)-S16</f>
        <v>0</v>
      </c>
      <c r="T62" s="25">
        <f ca="1">+SUM(T53:T61)-T16</f>
        <v>0</v>
      </c>
    </row>
    <row r="63" spans="1:20" x14ac:dyDescent="0.2">
      <c r="A63" s="1"/>
      <c r="B63" s="1"/>
      <c r="C63" s="1"/>
      <c r="D63" s="1"/>
      <c r="E63" s="1"/>
      <c r="F63" s="1"/>
      <c r="G63" s="1"/>
      <c r="H63" s="1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</row>
    <row r="64" spans="1:20" x14ac:dyDescent="0.2">
      <c r="A64" s="1"/>
      <c r="B64" s="9" t="s">
        <v>123</v>
      </c>
      <c r="C64" s="63"/>
      <c r="D64" s="63"/>
      <c r="E64" s="63"/>
      <c r="F64" s="63"/>
      <c r="G64" s="63"/>
      <c r="H64" s="63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</row>
    <row r="65" spans="1:20" x14ac:dyDescent="0.2">
      <c r="A65" s="1"/>
      <c r="B65" s="1"/>
      <c r="C65" s="1"/>
      <c r="D65" s="1"/>
      <c r="E65" s="1"/>
      <c r="F65" s="1"/>
      <c r="G65" s="1"/>
      <c r="H65" s="1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</row>
    <row r="66" spans="1:20" x14ac:dyDescent="0.2">
      <c r="A66" s="1"/>
      <c r="B66" s="1" t="s">
        <v>124</v>
      </c>
      <c r="C66" s="1"/>
      <c r="D66" s="1"/>
      <c r="E66" s="1"/>
      <c r="F66" s="1"/>
      <c r="G66" s="1"/>
      <c r="H66" s="1"/>
      <c r="I66" s="25">
        <f ca="1">I59</f>
        <v>11999999.353083026</v>
      </c>
      <c r="J66" s="25">
        <f ca="1">J59</f>
        <v>11999999.353083026</v>
      </c>
      <c r="K66" s="25">
        <f ca="1">K59</f>
        <v>13297499.283135127</v>
      </c>
      <c r="L66" s="25">
        <f ca="1">L59</f>
        <v>16252499.123831823</v>
      </c>
      <c r="M66" s="25">
        <f ca="1">M59</f>
        <v>19207498.96452852</v>
      </c>
      <c r="N66" s="25">
        <f ca="1">N59</f>
        <v>22162498.805225212</v>
      </c>
      <c r="O66" s="25">
        <f ca="1">O59</f>
        <v>25117498.645921905</v>
      </c>
      <c r="P66" s="25">
        <f ca="1">P59</f>
        <v>28072498.486618601</v>
      </c>
      <c r="Q66" s="25">
        <f ca="1">Q59</f>
        <v>31027498.327315301</v>
      </c>
      <c r="R66" s="25">
        <f ca="1">R59</f>
        <v>33982498.168011993</v>
      </c>
      <c r="S66" s="25">
        <f ca="1">S59</f>
        <v>36937498.008708693</v>
      </c>
      <c r="T66" s="25">
        <f ca="1">T59</f>
        <v>39892497.849405386</v>
      </c>
    </row>
    <row r="67" spans="1:20" x14ac:dyDescent="0.2">
      <c r="A67" s="1"/>
      <c r="B67" s="1" t="s">
        <v>125</v>
      </c>
      <c r="C67" s="1"/>
      <c r="D67" s="1"/>
      <c r="E67" s="1"/>
      <c r="F67" s="1"/>
      <c r="G67" s="1"/>
      <c r="H67" s="1"/>
      <c r="I67" s="90">
        <f>SeriesA!$G18</f>
        <v>12000000</v>
      </c>
      <c r="J67" s="90">
        <f>SeriesA!$G18</f>
        <v>12000000</v>
      </c>
      <c r="K67" s="90">
        <f>SeriesA!$G18</f>
        <v>12000000</v>
      </c>
      <c r="L67" s="90">
        <f>SeriesA!$G18</f>
        <v>12000000</v>
      </c>
      <c r="M67" s="90">
        <f>SeriesA!$G18</f>
        <v>12000000</v>
      </c>
      <c r="N67" s="90">
        <f>SeriesA!$G18</f>
        <v>12000000</v>
      </c>
      <c r="O67" s="90">
        <f>SeriesA!$G18</f>
        <v>12000000</v>
      </c>
      <c r="P67" s="90">
        <f>SeriesA!$G18</f>
        <v>12000000</v>
      </c>
      <c r="Q67" s="90">
        <f>SeriesA!$G18</f>
        <v>12000000</v>
      </c>
      <c r="R67" s="90">
        <f>SeriesA!$G18</f>
        <v>12000000</v>
      </c>
      <c r="S67" s="90">
        <f>SeriesA!$G18</f>
        <v>12000000</v>
      </c>
      <c r="T67" s="90">
        <f>SeriesA!$G18</f>
        <v>12000000</v>
      </c>
    </row>
    <row r="68" spans="1:20" x14ac:dyDescent="0.2">
      <c r="A68" s="1"/>
      <c r="B68" s="1" t="s">
        <v>102</v>
      </c>
      <c r="C68" s="1"/>
      <c r="D68" s="1"/>
      <c r="E68" s="1"/>
      <c r="F68" s="1"/>
      <c r="G68" s="1"/>
      <c r="H68" s="1"/>
      <c r="I68" s="25">
        <f ca="1">I66-I67</f>
        <v>-0.64691697433590889</v>
      </c>
      <c r="J68" s="25">
        <f ca="1">J66-J67</f>
        <v>-0.64691697433590889</v>
      </c>
      <c r="K68" s="25">
        <f ca="1">K66-K67</f>
        <v>1297499.2831351273</v>
      </c>
      <c r="L68" s="25">
        <f ca="1">L66-L67</f>
        <v>4252499.1238318235</v>
      </c>
      <c r="M68" s="25">
        <f ca="1">M66-M67</f>
        <v>7207498.9645285197</v>
      </c>
      <c r="N68" s="25">
        <f ca="1">N66-N67</f>
        <v>10162498.805225212</v>
      </c>
      <c r="O68" s="25">
        <f ca="1">O66-O67</f>
        <v>13117498.645921905</v>
      </c>
      <c r="P68" s="25">
        <f ca="1">P66-P67</f>
        <v>16072498.486618601</v>
      </c>
      <c r="Q68" s="25">
        <f ca="1">Q66-Q67</f>
        <v>19027498.327315301</v>
      </c>
      <c r="R68" s="25">
        <f ca="1">R66-R67</f>
        <v>21982498.168011993</v>
      </c>
      <c r="S68" s="25">
        <f ca="1">S66-S67</f>
        <v>24937498.008708693</v>
      </c>
      <c r="T68" s="25">
        <f ca="1">T66-T67</f>
        <v>27892497.849405386</v>
      </c>
    </row>
    <row r="69" spans="1:20" x14ac:dyDescent="0.2">
      <c r="A69" s="1"/>
      <c r="B69" s="1" t="s">
        <v>126</v>
      </c>
      <c r="C69" s="1"/>
      <c r="D69" s="1"/>
      <c r="E69" s="1"/>
      <c r="F69" s="1"/>
      <c r="G69" s="1"/>
      <c r="H69" s="1"/>
      <c r="I69" s="87">
        <f ca="1">I66/I67</f>
        <v>0.99999994609025211</v>
      </c>
      <c r="J69" s="87">
        <f ca="1">J66/J67</f>
        <v>0.99999994609025211</v>
      </c>
      <c r="K69" s="87">
        <f ca="1">K66/K67</f>
        <v>1.1081249402612605</v>
      </c>
      <c r="L69" s="87">
        <f ca="1">L66/L67</f>
        <v>1.3543749269859853</v>
      </c>
      <c r="M69" s="87">
        <f ca="1">M66/M67</f>
        <v>1.60062491371071</v>
      </c>
      <c r="N69" s="87">
        <f ca="1">N66/N67</f>
        <v>1.8468749004354343</v>
      </c>
      <c r="O69" s="87">
        <f ca="1">O66/O67</f>
        <v>2.0931248871601587</v>
      </c>
      <c r="P69" s="87">
        <f ca="1">P66/P67</f>
        <v>2.3393748738848834</v>
      </c>
      <c r="Q69" s="87">
        <f ca="1">Q66/Q67</f>
        <v>2.5856248606096086</v>
      </c>
      <c r="R69" s="87">
        <f ca="1">R66/R67</f>
        <v>2.8318748473343329</v>
      </c>
      <c r="S69" s="87">
        <f ca="1">S66/S67</f>
        <v>3.0781248340590577</v>
      </c>
      <c r="T69" s="87">
        <f ca="1">T66/T67</f>
        <v>3.324374820783782</v>
      </c>
    </row>
    <row r="70" spans="1:20" x14ac:dyDescent="0.2">
      <c r="A70" s="1"/>
      <c r="B70" s="1" t="s">
        <v>127</v>
      </c>
      <c r="C70" s="1"/>
      <c r="D70" s="1"/>
      <c r="E70" s="1"/>
      <c r="F70" s="1"/>
      <c r="G70" s="1"/>
      <c r="H70" s="1"/>
      <c r="I70" s="87">
        <f ca="1">+I42/SeriesA!$H$23</f>
        <v>1</v>
      </c>
      <c r="J70" s="87">
        <f ca="1">+J42/SeriesA!$H$23</f>
        <v>1</v>
      </c>
      <c r="K70" s="87">
        <f ca="1">+K42/SeriesA!$H$23</f>
        <v>1.108125</v>
      </c>
      <c r="L70" s="87">
        <f ca="1">+L42/SeriesA!$H$23</f>
        <v>1.3543750000000001</v>
      </c>
      <c r="M70" s="87">
        <f ca="1">+M42/SeriesA!$H$23</f>
        <v>1.6006250000000002</v>
      </c>
      <c r="N70" s="87">
        <f ca="1">+N42/SeriesA!$H$23</f>
        <v>1.8468750000000003</v>
      </c>
      <c r="O70" s="87">
        <f ca="1">+O42/SeriesA!$H$23</f>
        <v>2.0931250000000001</v>
      </c>
      <c r="P70" s="87">
        <f ca="1">+P42/SeriesA!$H$23</f>
        <v>2.339375</v>
      </c>
      <c r="Q70" s="87">
        <f ca="1">+Q42/SeriesA!$H$23</f>
        <v>2.5856250000000003</v>
      </c>
      <c r="R70" s="87">
        <f ca="1">+R42/SeriesA!$H$23</f>
        <v>2.8318750000000006</v>
      </c>
      <c r="S70" s="87">
        <f ca="1">+S42/SeriesA!$H$23</f>
        <v>3.0781250000000004</v>
      </c>
      <c r="T70" s="87">
        <f ca="1">+T42/SeriesA!$H$23</f>
        <v>3.3243750000000003</v>
      </c>
    </row>
    <row r="71" spans="1:20" x14ac:dyDescent="0.2">
      <c r="A71" s="1"/>
      <c r="B71" s="1" t="s">
        <v>103</v>
      </c>
      <c r="C71" s="1"/>
      <c r="D71" s="1"/>
      <c r="E71" s="1"/>
      <c r="F71" s="1"/>
      <c r="G71" s="1"/>
      <c r="H71" s="1"/>
      <c r="I71" s="8">
        <f ca="1">XIRR(I73:I74,$D$73:$D$74)</f>
        <v>-2.0861625671386721E-8</v>
      </c>
      <c r="J71" s="8">
        <f ca="1">XIRR(J73:J74,$D$73:$D$74)</f>
        <v>-2.0861625671386721E-8</v>
      </c>
      <c r="K71" s="8">
        <f ca="1">XIRR(K73:K74,$D$73:$D$74)</f>
        <v>3.4783151745796201E-2</v>
      </c>
      <c r="L71" s="8">
        <f ca="1">XIRR(L73:L74,$D$73:$D$74)</f>
        <v>0.10629997849464418</v>
      </c>
      <c r="M71" s="8">
        <f ca="1">XIRR(M73:M74,$D$73:$D$74)</f>
        <v>0.16959200501441959</v>
      </c>
      <c r="N71" s="8">
        <f ca="1">XIRR(N73:N74,$D$73:$D$74)</f>
        <v>0.22668049931526185</v>
      </c>
      <c r="O71" s="8">
        <f ca="1">XIRR(O73:O74,$D$73:$D$74)</f>
        <v>0.27889282107353219</v>
      </c>
      <c r="P71" s="8">
        <f ca="1">XIRR(P73:P74,$D$73:$D$74)</f>
        <v>0.32715306878089911</v>
      </c>
      <c r="Q71" s="8">
        <f ca="1">XIRR(Q73:Q74,$D$73:$D$74)</f>
        <v>0.37213348746299746</v>
      </c>
      <c r="R71" s="8">
        <f ca="1">XIRR(R73:R74,$D$73:$D$74)</f>
        <v>0.41434012055397029</v>
      </c>
      <c r="S71" s="8">
        <f ca="1">XIRR(S73:S74,$D$73:$D$74)</f>
        <v>0.45416460633277889</v>
      </c>
      <c r="T71" s="8">
        <f ca="1">XIRR(T73:T74,$D$73:$D$74)</f>
        <v>0.49191698431968689</v>
      </c>
    </row>
    <row r="72" spans="1:20" x14ac:dyDescent="0.2">
      <c r="A72" s="1"/>
      <c r="B72" s="1"/>
      <c r="C72" s="1"/>
      <c r="D72" s="1"/>
      <c r="E72" s="1"/>
      <c r="F72" s="1"/>
      <c r="G72" s="1"/>
      <c r="H72" s="1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</row>
    <row r="73" spans="1:20" x14ac:dyDescent="0.2">
      <c r="A73" s="1"/>
      <c r="B73" s="1" t="s">
        <v>104</v>
      </c>
      <c r="C73" s="1" t="s">
        <v>54</v>
      </c>
      <c r="D73" s="83">
        <v>46127</v>
      </c>
      <c r="E73" s="1"/>
      <c r="F73" s="1"/>
      <c r="G73" s="1"/>
      <c r="H73" s="1"/>
      <c r="I73" s="25">
        <f>-I67</f>
        <v>-12000000</v>
      </c>
      <c r="J73" s="25">
        <f>-J67</f>
        <v>-12000000</v>
      </c>
      <c r="K73" s="25">
        <f>-K67</f>
        <v>-12000000</v>
      </c>
      <c r="L73" s="25">
        <f>-L67</f>
        <v>-12000000</v>
      </c>
      <c r="M73" s="25">
        <f>-M67</f>
        <v>-12000000</v>
      </c>
      <c r="N73" s="25">
        <f>-N67</f>
        <v>-12000000</v>
      </c>
      <c r="O73" s="25">
        <f>-O67</f>
        <v>-12000000</v>
      </c>
      <c r="P73" s="25">
        <f>-P67</f>
        <v>-12000000</v>
      </c>
      <c r="Q73" s="25">
        <f>-Q67</f>
        <v>-12000000</v>
      </c>
      <c r="R73" s="25">
        <f>-R67</f>
        <v>-12000000</v>
      </c>
      <c r="S73" s="25">
        <f>-S67</f>
        <v>-12000000</v>
      </c>
      <c r="T73" s="25">
        <f>-T67</f>
        <v>-12000000</v>
      </c>
    </row>
    <row r="74" spans="1:20" x14ac:dyDescent="0.2">
      <c r="A74" s="1"/>
      <c r="B74" s="1"/>
      <c r="C74" s="1" t="s">
        <v>105</v>
      </c>
      <c r="D74" s="83">
        <f>DATE(YEAR(D73)+3,MONTH(D73),DAY(D73))</f>
        <v>47223</v>
      </c>
      <c r="E74" s="1"/>
      <c r="F74" s="1"/>
      <c r="G74" s="1"/>
      <c r="H74" s="1"/>
      <c r="I74" s="25">
        <f ca="1">I66</f>
        <v>11999999.353083026</v>
      </c>
      <c r="J74" s="25">
        <f ca="1">J66</f>
        <v>11999999.353083026</v>
      </c>
      <c r="K74" s="25">
        <f ca="1">K66</f>
        <v>13297499.283135127</v>
      </c>
      <c r="L74" s="25">
        <f ca="1">L66</f>
        <v>16252499.123831823</v>
      </c>
      <c r="M74" s="25">
        <f ca="1">M66</f>
        <v>19207498.96452852</v>
      </c>
      <c r="N74" s="25">
        <f ca="1">N66</f>
        <v>22162498.805225212</v>
      </c>
      <c r="O74" s="25">
        <f ca="1">O66</f>
        <v>25117498.645921905</v>
      </c>
      <c r="P74" s="25">
        <f ca="1">P66</f>
        <v>28072498.486618601</v>
      </c>
      <c r="Q74" s="25">
        <f ca="1">Q66</f>
        <v>31027498.327315301</v>
      </c>
      <c r="R74" s="25">
        <f ca="1">R66</f>
        <v>33982498.168011993</v>
      </c>
      <c r="S74" s="25">
        <f ca="1">S66</f>
        <v>36937498.008708693</v>
      </c>
      <c r="T74" s="25">
        <f ca="1">T66</f>
        <v>39892497.849405386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4F2676-DB79-C54F-A021-18ED9676EE10}">
  <dimension ref="A1:R33"/>
  <sheetViews>
    <sheetView showGridLines="0" workbookViewId="0"/>
  </sheetViews>
  <sheetFormatPr baseColWidth="10" defaultRowHeight="16" x14ac:dyDescent="0.2"/>
  <cols>
    <col min="1" max="1" width="6.33203125" customWidth="1"/>
    <col min="2" max="2" width="35.5" customWidth="1"/>
    <col min="3" max="3" width="16.83203125" customWidth="1"/>
    <col min="4" max="4" width="17.6640625" customWidth="1"/>
    <col min="5" max="5" width="16.83203125" customWidth="1"/>
    <col min="6" max="6" width="3.1640625" customWidth="1"/>
    <col min="7" max="7" width="17.6640625" customWidth="1"/>
    <col min="8" max="8" width="16.83203125" customWidth="1"/>
    <col min="9" max="9" width="3.1640625" customWidth="1"/>
    <col min="10" max="10" width="13.83203125" customWidth="1"/>
    <col min="11" max="11" width="3.1640625" customWidth="1"/>
    <col min="12" max="12" width="17.6640625" customWidth="1"/>
    <col min="13" max="13" width="16.83203125" customWidth="1"/>
    <col min="14" max="14" width="3.1640625" customWidth="1"/>
    <col min="15" max="15" width="13.83203125" customWidth="1"/>
    <col min="16" max="16" width="3.1640625" customWidth="1"/>
    <col min="17" max="17" width="15.5" customWidth="1"/>
    <col min="18" max="18" width="13" customWidth="1"/>
  </cols>
  <sheetData>
    <row r="1" spans="1:18" x14ac:dyDescent="0.2">
      <c r="A1" s="1"/>
      <c r="B1" s="24" t="s">
        <v>115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</row>
    <row r="2" spans="1:18" ht="15.5" customHeight="1" x14ac:dyDescent="0.2">
      <c r="A2" s="1"/>
      <c r="B2" s="24" t="s">
        <v>118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</row>
    <row r="3" spans="1:18" ht="16.25" customHeight="1" thickBo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4" spans="1:18" ht="13.75" customHeight="1" thickBot="1" x14ac:dyDescent="0.25">
      <c r="A4" s="1"/>
      <c r="B4" s="1"/>
      <c r="C4" s="47" t="s">
        <v>52</v>
      </c>
      <c r="D4" s="49" t="s">
        <v>26</v>
      </c>
      <c r="E4" s="50"/>
      <c r="F4" s="1"/>
      <c r="G4" s="49" t="s">
        <v>54</v>
      </c>
      <c r="H4" s="50"/>
      <c r="I4" s="1"/>
      <c r="J4" s="54" t="s">
        <v>53</v>
      </c>
      <c r="K4" s="1"/>
      <c r="L4" s="49" t="s">
        <v>74</v>
      </c>
      <c r="M4" s="50"/>
      <c r="N4" s="1"/>
      <c r="O4" s="54" t="s">
        <v>53</v>
      </c>
      <c r="P4" s="1"/>
      <c r="Q4" s="49" t="s">
        <v>55</v>
      </c>
      <c r="R4" s="50"/>
    </row>
    <row r="5" spans="1:18" x14ac:dyDescent="0.2">
      <c r="A5" s="1"/>
      <c r="B5" s="1"/>
      <c r="C5" s="47" t="s">
        <v>56</v>
      </c>
      <c r="D5" s="49" t="s">
        <v>57</v>
      </c>
      <c r="E5" s="50" t="s">
        <v>58</v>
      </c>
      <c r="F5" s="1"/>
      <c r="G5" s="49" t="s">
        <v>57</v>
      </c>
      <c r="H5" s="50" t="s">
        <v>58</v>
      </c>
      <c r="I5" s="1"/>
      <c r="J5" s="53" t="s">
        <v>59</v>
      </c>
      <c r="K5" s="1"/>
      <c r="L5" s="49" t="s">
        <v>57</v>
      </c>
      <c r="M5" s="50" t="s">
        <v>58</v>
      </c>
      <c r="N5" s="1"/>
      <c r="O5" s="53" t="s">
        <v>59</v>
      </c>
      <c r="P5" s="1"/>
      <c r="Q5" s="49" t="s">
        <v>60</v>
      </c>
      <c r="R5" s="50" t="s">
        <v>61</v>
      </c>
    </row>
    <row r="6" spans="1:18" ht="13.75" customHeight="1" thickBot="1" x14ac:dyDescent="0.25">
      <c r="A6" s="1"/>
      <c r="B6" s="1"/>
      <c r="C6" s="47" t="s">
        <v>62</v>
      </c>
      <c r="D6" s="51" t="s">
        <v>63</v>
      </c>
      <c r="E6" s="52" t="s">
        <v>62</v>
      </c>
      <c r="F6" s="1"/>
      <c r="G6" s="51" t="s">
        <v>63</v>
      </c>
      <c r="H6" s="52" t="s">
        <v>62</v>
      </c>
      <c r="I6" s="1"/>
      <c r="J6" s="55" t="s">
        <v>98</v>
      </c>
      <c r="K6" s="1"/>
      <c r="L6" s="51" t="s">
        <v>63</v>
      </c>
      <c r="M6" s="52" t="s">
        <v>62</v>
      </c>
      <c r="N6" s="1"/>
      <c r="O6" s="55" t="s">
        <v>100</v>
      </c>
      <c r="P6" s="1"/>
      <c r="Q6" s="51" t="s">
        <v>62</v>
      </c>
      <c r="R6" s="52" t="s">
        <v>64</v>
      </c>
    </row>
    <row r="7" spans="1:18" x14ac:dyDescent="0.2">
      <c r="A7" s="1"/>
      <c r="B7" s="56" t="s">
        <v>65</v>
      </c>
      <c r="C7" s="35"/>
      <c r="D7" s="69"/>
      <c r="E7" s="69"/>
      <c r="F7" s="35"/>
      <c r="G7" s="69"/>
      <c r="H7" s="69"/>
      <c r="I7" s="35"/>
      <c r="J7" s="69"/>
      <c r="K7" s="35"/>
      <c r="L7" s="69"/>
      <c r="M7" s="69"/>
      <c r="N7" s="35"/>
      <c r="O7" s="69"/>
      <c r="P7" s="35"/>
      <c r="Q7" s="69"/>
      <c r="R7" s="70"/>
    </row>
    <row r="8" spans="1:18" x14ac:dyDescent="0.2">
      <c r="A8" s="1"/>
      <c r="B8" s="57" t="s">
        <v>8</v>
      </c>
      <c r="C8" s="16">
        <f>SeriesA!C10</f>
        <v>3600000</v>
      </c>
      <c r="D8" s="7"/>
      <c r="E8" s="7"/>
      <c r="F8" s="1"/>
      <c r="G8" s="7"/>
      <c r="H8" s="7"/>
      <c r="I8" s="1"/>
      <c r="J8" s="7"/>
      <c r="K8" s="1"/>
      <c r="L8" s="7"/>
      <c r="M8" s="7"/>
      <c r="N8" s="1"/>
      <c r="O8" s="7"/>
      <c r="P8" s="1"/>
      <c r="Q8" s="13">
        <f>C8+E8+H8+J8+M8+O8</f>
        <v>3600000</v>
      </c>
      <c r="R8" s="60">
        <f ca="1">Q8/$Q$21</f>
        <v>0.14814398426579203</v>
      </c>
    </row>
    <row r="9" spans="1:18" x14ac:dyDescent="0.2">
      <c r="A9" s="1"/>
      <c r="B9" s="57" t="s">
        <v>9</v>
      </c>
      <c r="C9" s="16">
        <f>SeriesA!C11</f>
        <v>3600000</v>
      </c>
      <c r="D9" s="7"/>
      <c r="E9" s="7"/>
      <c r="F9" s="1"/>
      <c r="G9" s="7"/>
      <c r="H9" s="7"/>
      <c r="I9" s="1"/>
      <c r="J9" s="7"/>
      <c r="K9" s="1"/>
      <c r="L9" s="7"/>
      <c r="M9" s="7"/>
      <c r="N9" s="1"/>
      <c r="O9" s="7"/>
      <c r="P9" s="1"/>
      <c r="Q9" s="13">
        <f>C9+E9+H9+J9+M9+O9</f>
        <v>3600000</v>
      </c>
      <c r="R9" s="60">
        <f ca="1">Q9/$Q$21</f>
        <v>0.14814398426579203</v>
      </c>
    </row>
    <row r="10" spans="1:18" x14ac:dyDescent="0.2">
      <c r="A10" s="1"/>
      <c r="B10" s="57" t="s">
        <v>108</v>
      </c>
      <c r="C10" s="16">
        <f>SeriesA!C12</f>
        <v>2475158</v>
      </c>
      <c r="D10" s="7"/>
      <c r="E10" s="7"/>
      <c r="F10" s="1"/>
      <c r="G10" s="7"/>
      <c r="H10" s="7"/>
      <c r="I10" s="1"/>
      <c r="J10" s="7"/>
      <c r="K10" s="1"/>
      <c r="L10" s="7"/>
      <c r="M10" s="7"/>
      <c r="N10" s="1"/>
      <c r="O10" s="7"/>
      <c r="P10" s="1"/>
      <c r="Q10" s="13">
        <f>C10+E10+H10+J10+M10+O10</f>
        <v>2475158</v>
      </c>
      <c r="R10" s="60">
        <f ca="1">Q10/$Q$21</f>
        <v>0.10185549105759702</v>
      </c>
    </row>
    <row r="11" spans="1:18" x14ac:dyDescent="0.2">
      <c r="A11" s="1"/>
      <c r="B11" s="57" t="s">
        <v>79</v>
      </c>
      <c r="C11" s="16">
        <f>SeriesA!C13</f>
        <v>65105</v>
      </c>
      <c r="D11" s="7"/>
      <c r="E11" s="7"/>
      <c r="F11" s="1"/>
      <c r="G11" s="7"/>
      <c r="H11" s="7"/>
      <c r="I11" s="1"/>
      <c r="J11" s="16">
        <f ca="1">SeriesA!J13</f>
        <v>1789847</v>
      </c>
      <c r="K11" s="1"/>
      <c r="L11" s="7"/>
      <c r="M11" s="7"/>
      <c r="N11" s="1"/>
      <c r="O11" s="13">
        <f ca="1">ROUND(0.07*Q21,0)</f>
        <v>1701048</v>
      </c>
      <c r="P11" s="1"/>
      <c r="Q11" s="13">
        <f ca="1">C11+E11+H11+J11+M11+O11</f>
        <v>3556000</v>
      </c>
      <c r="R11" s="60">
        <f ca="1">Q11/$Q$21</f>
        <v>0.14633333556921013</v>
      </c>
    </row>
    <row r="12" spans="1:18" x14ac:dyDescent="0.2">
      <c r="A12" s="1"/>
      <c r="B12" s="27"/>
      <c r="C12" s="13"/>
      <c r="D12" s="7"/>
      <c r="E12" s="7"/>
      <c r="F12" s="1"/>
      <c r="G12" s="7"/>
      <c r="H12" s="7"/>
      <c r="I12" s="1"/>
      <c r="J12" s="7"/>
      <c r="K12" s="1"/>
      <c r="L12" s="7"/>
      <c r="M12" s="7"/>
      <c r="N12" s="1"/>
      <c r="O12" s="7"/>
      <c r="P12" s="1"/>
      <c r="Q12" s="13"/>
      <c r="R12" s="60"/>
    </row>
    <row r="13" spans="1:18" ht="13.5" customHeight="1" x14ac:dyDescent="0.2">
      <c r="A13" s="1"/>
      <c r="B13" s="27"/>
      <c r="C13" s="13"/>
      <c r="D13" s="7"/>
      <c r="E13" s="7"/>
      <c r="F13" s="1"/>
      <c r="G13" s="7"/>
      <c r="H13" s="7"/>
      <c r="I13" s="1"/>
      <c r="J13" s="7"/>
      <c r="K13" s="1"/>
      <c r="L13" s="7"/>
      <c r="M13" s="7"/>
      <c r="N13" s="1"/>
      <c r="O13" s="7"/>
      <c r="P13" s="1"/>
      <c r="Q13" s="13"/>
      <c r="R13" s="60"/>
    </row>
    <row r="14" spans="1:18" x14ac:dyDescent="0.2">
      <c r="A14" s="1"/>
      <c r="B14" s="58" t="s">
        <v>66</v>
      </c>
      <c r="C14" s="64">
        <f>SUM(C8:C13)</f>
        <v>9740263</v>
      </c>
      <c r="D14" s="3"/>
      <c r="E14" s="3"/>
      <c r="F14" s="1"/>
      <c r="G14" s="3"/>
      <c r="H14" s="3"/>
      <c r="I14" s="1"/>
      <c r="J14" s="64">
        <f ca="1">SUM(J8:J13)</f>
        <v>1789847</v>
      </c>
      <c r="K14" s="1"/>
      <c r="L14" s="3"/>
      <c r="M14" s="3"/>
      <c r="N14" s="1"/>
      <c r="O14" s="64">
        <f ca="1">SUM(O8:O13)</f>
        <v>1701048</v>
      </c>
      <c r="P14" s="1"/>
      <c r="Q14" s="64">
        <f ca="1">SUM(Q8:Q13)</f>
        <v>13231158</v>
      </c>
      <c r="R14" s="62">
        <f ca="1">Q14/$Q$21</f>
        <v>0.5444767951583912</v>
      </c>
    </row>
    <row r="15" spans="1:18" x14ac:dyDescent="0.2">
      <c r="A15" s="1"/>
      <c r="B15" s="58" t="s">
        <v>67</v>
      </c>
      <c r="C15" s="7"/>
      <c r="D15" s="7"/>
      <c r="E15" s="7"/>
      <c r="F15" s="1"/>
      <c r="G15" s="7"/>
      <c r="H15" s="7"/>
      <c r="I15" s="1"/>
      <c r="J15" s="7"/>
      <c r="K15" s="1"/>
      <c r="L15" s="7"/>
      <c r="M15" s="7"/>
      <c r="N15" s="1"/>
      <c r="O15" s="7"/>
      <c r="P15" s="1"/>
      <c r="Q15" s="7"/>
      <c r="R15" s="36"/>
    </row>
    <row r="16" spans="1:18" x14ac:dyDescent="0.2">
      <c r="A16" s="1"/>
      <c r="B16" s="57" t="s">
        <v>114</v>
      </c>
      <c r="C16" s="7"/>
      <c r="D16" s="17">
        <f>SeriesA!D16</f>
        <v>1825000</v>
      </c>
      <c r="E16" s="16">
        <f>SeriesA!E16</f>
        <v>442464</v>
      </c>
      <c r="F16" s="1"/>
      <c r="G16" s="7"/>
      <c r="H16" s="7"/>
      <c r="I16" s="1"/>
      <c r="J16" s="7"/>
      <c r="K16" s="1"/>
      <c r="L16" s="7"/>
      <c r="M16" s="7"/>
      <c r="N16" s="1"/>
      <c r="O16" s="7"/>
      <c r="P16" s="1"/>
      <c r="Q16" s="13">
        <f>C16+E16+H16+J16+M16+O16</f>
        <v>442464</v>
      </c>
      <c r="R16" s="60">
        <f ca="1">Q16/$Q$21</f>
        <v>1.8207883292827614E-2</v>
      </c>
    </row>
    <row r="17" spans="1:18" x14ac:dyDescent="0.2">
      <c r="A17" s="1"/>
      <c r="B17" s="57" t="s">
        <v>42</v>
      </c>
      <c r="C17" s="7"/>
      <c r="D17" s="17">
        <f>SeriesA!D17</f>
        <v>8000000</v>
      </c>
      <c r="E17" s="16">
        <f>SeriesA!E17</f>
        <v>1939567</v>
      </c>
      <c r="F17" s="1"/>
      <c r="G17" s="17">
        <f>SeriesA!G17</f>
        <v>5000000</v>
      </c>
      <c r="H17" s="16">
        <f ca="1">SeriesA!H17</f>
        <v>1159345</v>
      </c>
      <c r="I17" s="1"/>
      <c r="J17" s="7"/>
      <c r="K17" s="1"/>
      <c r="L17" s="18">
        <v>3750000</v>
      </c>
      <c r="M17" s="13">
        <f ca="1">IFERROR(ROUND(L17/$M$23,0),0)</f>
        <v>506264</v>
      </c>
      <c r="N17" s="1"/>
      <c r="O17" s="7"/>
      <c r="P17" s="1"/>
      <c r="Q17" s="13">
        <f ca="1">C17+E17+H17+J17+M17+O17</f>
        <v>3605176</v>
      </c>
      <c r="R17" s="60">
        <f ca="1">Q17/$Q$21</f>
        <v>0.14835698239428086</v>
      </c>
    </row>
    <row r="18" spans="1:18" x14ac:dyDescent="0.2">
      <c r="A18" s="1"/>
      <c r="B18" s="57">
        <v>1011</v>
      </c>
      <c r="C18" s="7"/>
      <c r="D18" s="7"/>
      <c r="E18" s="7"/>
      <c r="F18" s="1"/>
      <c r="G18" s="17">
        <f>SeriesA!G18</f>
        <v>12000000</v>
      </c>
      <c r="H18" s="16">
        <f ca="1">SeriesA!H18</f>
        <v>2782428</v>
      </c>
      <c r="I18" s="1"/>
      <c r="J18" s="7"/>
      <c r="K18" s="1"/>
      <c r="L18" s="18">
        <v>9000000</v>
      </c>
      <c r="M18" s="13">
        <f ca="1">IFERROR(ROUND(L18/$M$23,0),0)</f>
        <v>1215034</v>
      </c>
      <c r="N18" s="1"/>
      <c r="O18" s="7"/>
      <c r="P18" s="1"/>
      <c r="Q18" s="13">
        <f ca="1">C18+E18+H18+J18+M18+O18</f>
        <v>3997462</v>
      </c>
      <c r="R18" s="60">
        <f ca="1">Q18/$Q$21</f>
        <v>0.16449998545308378</v>
      </c>
    </row>
    <row r="19" spans="1:18" x14ac:dyDescent="0.2">
      <c r="A19" s="1"/>
      <c r="B19" s="57" t="s">
        <v>97</v>
      </c>
      <c r="C19" s="7"/>
      <c r="D19" s="7"/>
      <c r="E19" s="7"/>
      <c r="F19" s="1"/>
      <c r="G19" s="17">
        <f>SeriesA!G19</f>
        <v>3000000</v>
      </c>
      <c r="H19" s="16">
        <f ca="1">SeriesA!H19</f>
        <v>695607</v>
      </c>
      <c r="I19" s="1"/>
      <c r="J19" s="7"/>
      <c r="K19" s="1"/>
      <c r="L19" s="18">
        <v>2250000</v>
      </c>
      <c r="M19" s="13">
        <f ca="1">IFERROR(ROUND(L19/$M$23,0),0)</f>
        <v>303759</v>
      </c>
      <c r="N19" s="1"/>
      <c r="O19" s="7"/>
      <c r="P19" s="1"/>
      <c r="Q19" s="13">
        <f ca="1">C19+E19+H19+J19+M19+O19</f>
        <v>999366</v>
      </c>
      <c r="R19" s="60">
        <f ca="1">Q19/$Q$21</f>
        <v>4.112501693882431E-2</v>
      </c>
    </row>
    <row r="20" spans="1:18" x14ac:dyDescent="0.2">
      <c r="A20" s="1"/>
      <c r="B20" s="57" t="s">
        <v>113</v>
      </c>
      <c r="C20" s="7"/>
      <c r="D20" s="7"/>
      <c r="E20" s="7"/>
      <c r="F20" s="1"/>
      <c r="G20" s="7"/>
      <c r="H20" s="7"/>
      <c r="I20" s="1"/>
      <c r="J20" s="7"/>
      <c r="K20" s="1"/>
      <c r="L20" s="18">
        <v>15000000</v>
      </c>
      <c r="M20" s="13">
        <f ca="1">IFERROR(ROUND(L20/$M$23,0),0)</f>
        <v>2025057</v>
      </c>
      <c r="N20" s="1"/>
      <c r="O20" s="7"/>
      <c r="P20" s="1"/>
      <c r="Q20" s="13">
        <f ca="1">C20+E20+H20+J20+M20+O20</f>
        <v>2025057</v>
      </c>
      <c r="R20" s="60">
        <f ca="1">Q20/$Q$21</f>
        <v>8.3333336762592233E-2</v>
      </c>
    </row>
    <row r="21" spans="1:18" x14ac:dyDescent="0.2">
      <c r="A21" s="1"/>
      <c r="B21" s="58" t="s">
        <v>68</v>
      </c>
      <c r="C21" s="65">
        <f>C14+SUM(C16:C20)</f>
        <v>9740263</v>
      </c>
      <c r="D21" s="66">
        <f>SUM(D8:D20)</f>
        <v>9825000</v>
      </c>
      <c r="E21" s="65">
        <f>SUM(E8:E20)</f>
        <v>2382031</v>
      </c>
      <c r="F21" s="1"/>
      <c r="G21" s="66">
        <f>SUM(G8:G20)</f>
        <v>20000000</v>
      </c>
      <c r="H21" s="65">
        <f ca="1">SUM(H8:H20)</f>
        <v>4637380</v>
      </c>
      <c r="I21" s="1"/>
      <c r="J21" s="64">
        <f ca="1">J11</f>
        <v>1789847</v>
      </c>
      <c r="K21" s="1"/>
      <c r="L21" s="66">
        <f>SUM(L8:L20)</f>
        <v>30000000</v>
      </c>
      <c r="M21" s="65">
        <f ca="1">SUM(M8:M20)</f>
        <v>4050114</v>
      </c>
      <c r="N21" s="1"/>
      <c r="O21" s="64">
        <f ca="1">O11</f>
        <v>1701048</v>
      </c>
      <c r="P21" s="1"/>
      <c r="Q21" s="64">
        <f ca="1">SUM(Q16:Q20)+Q14</f>
        <v>24300683</v>
      </c>
      <c r="R21" s="62">
        <f ca="1">SUM(R16:R20)+R14</f>
        <v>1</v>
      </c>
    </row>
    <row r="22" spans="1:18" ht="13.75" customHeight="1" x14ac:dyDescent="0.2">
      <c r="A22" s="1"/>
      <c r="B22" s="27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70"/>
    </row>
    <row r="23" spans="1:18" ht="13.75" customHeight="1" x14ac:dyDescent="0.2">
      <c r="A23" s="1"/>
      <c r="B23" s="27" t="s">
        <v>69</v>
      </c>
      <c r="C23" s="7"/>
      <c r="D23" s="7"/>
      <c r="E23" s="67">
        <f>SeriesA!E23</f>
        <v>4.1246319529565065</v>
      </c>
      <c r="F23" s="1"/>
      <c r="G23" s="7"/>
      <c r="H23" s="67">
        <f ca="1">SeriesA!H23</f>
        <v>4.3127798286543353</v>
      </c>
      <c r="I23" s="1"/>
      <c r="J23" s="7"/>
      <c r="K23" s="1"/>
      <c r="L23" s="7"/>
      <c r="M23" s="32">
        <f ca="1">M25/Q21</f>
        <v>7.4071992132896014</v>
      </c>
      <c r="N23" s="1"/>
      <c r="O23" s="7"/>
      <c r="P23" s="1"/>
      <c r="Q23" s="7"/>
      <c r="R23" s="36"/>
    </row>
    <row r="24" spans="1:18" x14ac:dyDescent="0.2">
      <c r="A24" s="1"/>
      <c r="B24" s="27" t="s">
        <v>70</v>
      </c>
      <c r="C24" s="7"/>
      <c r="D24" s="7"/>
      <c r="E24" s="17">
        <f>SeriesA!E24</f>
        <v>40175001.175532945</v>
      </c>
      <c r="F24" s="1"/>
      <c r="G24" s="7"/>
      <c r="H24" s="17">
        <f>SeriesA!H24</f>
        <v>60000000</v>
      </c>
      <c r="I24" s="1"/>
      <c r="J24" s="7"/>
      <c r="K24" s="1"/>
      <c r="L24" s="7"/>
      <c r="M24" s="14">
        <f>M25-L21</f>
        <v>150000000</v>
      </c>
      <c r="N24" s="1"/>
      <c r="O24" s="7"/>
      <c r="P24" s="1"/>
      <c r="Q24" s="7"/>
      <c r="R24" s="36"/>
    </row>
    <row r="25" spans="1:18" ht="13.75" customHeight="1" thickBot="1" x14ac:dyDescent="0.25">
      <c r="A25" s="1"/>
      <c r="B25" s="28" t="s">
        <v>71</v>
      </c>
      <c r="C25" s="37"/>
      <c r="D25" s="37"/>
      <c r="E25" s="79">
        <f>SeriesA!E25</f>
        <v>50000001.175532945</v>
      </c>
      <c r="F25" s="26"/>
      <c r="G25" s="37"/>
      <c r="H25" s="79">
        <f>SeriesA!H25</f>
        <v>80000000</v>
      </c>
      <c r="I25" s="26"/>
      <c r="J25" s="37"/>
      <c r="K25" s="26"/>
      <c r="L25" s="37"/>
      <c r="M25" s="76">
        <v>180000000</v>
      </c>
      <c r="N25" s="26"/>
      <c r="O25" s="37"/>
      <c r="P25" s="26"/>
      <c r="Q25" s="37"/>
      <c r="R25" s="39"/>
    </row>
    <row r="26" spans="1:18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spans="1:18" x14ac:dyDescent="0.2">
      <c r="A27" s="1"/>
      <c r="B27" s="46" t="s">
        <v>75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spans="1:18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spans="1:18" x14ac:dyDescent="0.2">
      <c r="A29" s="1"/>
      <c r="B29" s="1" t="s">
        <v>77</v>
      </c>
      <c r="C29" s="5">
        <f>M24/H25-1</f>
        <v>0.875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spans="1:18" x14ac:dyDescent="0.2">
      <c r="A30" s="1"/>
      <c r="B30" s="1" t="s">
        <v>73</v>
      </c>
      <c r="C30" s="75">
        <v>30000000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spans="1:18" x14ac:dyDescent="0.2">
      <c r="A31" s="1"/>
      <c r="B31" s="1" t="s">
        <v>76</v>
      </c>
      <c r="C31" s="5">
        <f>L21/M25</f>
        <v>0.16666666666666666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spans="1:18" x14ac:dyDescent="0.2">
      <c r="A32" s="1"/>
      <c r="B32" s="1" t="s">
        <v>119</v>
      </c>
      <c r="C32" s="6">
        <v>7.0000000000000007E-2</v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spans="1:18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DBC33-9E6B-FF49-B823-91C6606FC911}">
  <dimension ref="A1:T153"/>
  <sheetViews>
    <sheetView showGridLines="0" tabSelected="1" workbookViewId="0"/>
  </sheetViews>
  <sheetFormatPr baseColWidth="10" defaultRowHeight="16" x14ac:dyDescent="0.2"/>
  <cols>
    <col min="1" max="1" width="11.1640625" customWidth="1"/>
    <col min="2" max="2" width="26.33203125" customWidth="1"/>
    <col min="3" max="3" width="11.1640625" customWidth="1"/>
    <col min="4" max="4" width="19.1640625" customWidth="1"/>
    <col min="5" max="5" width="11.1640625" customWidth="1"/>
    <col min="6" max="6" width="17.5" customWidth="1"/>
    <col min="7" max="7" width="16.1640625" customWidth="1"/>
    <col min="8" max="9" width="11.1640625" customWidth="1"/>
    <col min="10" max="10" width="20.5" customWidth="1"/>
    <col min="11" max="18" width="10.5" customWidth="1"/>
    <col min="19" max="19" width="11.1640625" customWidth="1"/>
    <col min="20" max="20" width="18" customWidth="1"/>
  </cols>
  <sheetData>
    <row r="1" spans="1:20" x14ac:dyDescent="0.2">
      <c r="A1" s="1"/>
      <c r="B1" s="2" t="s">
        <v>128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x14ac:dyDescent="0.2">
      <c r="A2" s="1"/>
      <c r="B2" s="2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0" x14ac:dyDescent="0.2">
      <c r="A3" s="1"/>
      <c r="B3" s="1" t="s">
        <v>129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0" x14ac:dyDescent="0.2">
      <c r="A4" s="1"/>
      <c r="B4" s="1" t="s">
        <v>130</v>
      </c>
      <c r="C4" s="91">
        <v>46127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spans="1:20" x14ac:dyDescent="0.2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spans="1:20" x14ac:dyDescent="0.2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</row>
    <row r="7" spans="1:20" x14ac:dyDescent="0.2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</row>
    <row r="8" spans="1:20" x14ac:dyDescent="0.2">
      <c r="A8" s="1"/>
      <c r="B8" s="1" t="s">
        <v>131</v>
      </c>
      <c r="C8" s="91">
        <f>DATE(YEAR(C4)+3,MONTH(C4),DAY(C4))</f>
        <v>47223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</row>
    <row r="9" spans="1:20" x14ac:dyDescent="0.2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</row>
    <row r="10" spans="1:20" x14ac:dyDescent="0.2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</row>
    <row r="11" spans="1:20" x14ac:dyDescent="0.2">
      <c r="A11" s="1"/>
      <c r="B11" s="19" t="s">
        <v>80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20" x14ac:dyDescent="0.2">
      <c r="A12" s="1"/>
      <c r="B12" s="1" t="s">
        <v>132</v>
      </c>
      <c r="C12" s="1"/>
      <c r="D12" s="1"/>
      <c r="E12" s="1"/>
      <c r="F12" s="30">
        <f>SeriesB!M25</f>
        <v>180000000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</row>
    <row r="13" spans="1:20" x14ac:dyDescent="0.2">
      <c r="A13" s="1"/>
      <c r="B13" s="1" t="s">
        <v>82</v>
      </c>
      <c r="C13" s="1"/>
      <c r="D13" s="1"/>
      <c r="E13" s="1"/>
      <c r="F13" s="95">
        <v>2.5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</row>
    <row r="14" spans="1:20" x14ac:dyDescent="0.2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</row>
    <row r="15" spans="1:20" x14ac:dyDescent="0.2">
      <c r="A15" s="1"/>
      <c r="B15" s="46" t="s">
        <v>83</v>
      </c>
      <c r="C15" s="1"/>
      <c r="D15" s="1"/>
      <c r="E15" s="1"/>
      <c r="F15" s="71">
        <f>+F12*F13</f>
        <v>450000000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</row>
    <row r="16" spans="1:20" x14ac:dyDescent="0.2">
      <c r="A16" s="1"/>
      <c r="B16" s="1" t="s">
        <v>84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</row>
    <row r="17" spans="1:20" x14ac:dyDescent="0.2">
      <c r="A17" s="1"/>
      <c r="B17" s="1" t="s">
        <v>85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 spans="1:20" x14ac:dyDescent="0.2">
      <c r="A18" s="1"/>
      <c r="B18" s="1" t="s">
        <v>109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</row>
    <row r="19" spans="1:20" x14ac:dyDescent="0.2">
      <c r="A19" s="1"/>
      <c r="B19" s="1" t="s">
        <v>110</v>
      </c>
      <c r="C19" s="1"/>
      <c r="D19" s="1"/>
      <c r="E19" s="1"/>
      <c r="F19" s="15">
        <f>+F15*-1.5%</f>
        <v>-6750000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</row>
    <row r="20" spans="1:20" x14ac:dyDescent="0.2">
      <c r="A20" s="1"/>
      <c r="B20" s="46" t="s">
        <v>86</v>
      </c>
      <c r="C20" s="1"/>
      <c r="D20" s="1"/>
      <c r="E20" s="1"/>
      <c r="F20" s="98">
        <f>+F15+SUM(F16:F19)</f>
        <v>443250000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</row>
    <row r="21" spans="1:20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</row>
    <row r="22" spans="1:20" x14ac:dyDescent="0.2">
      <c r="A22" s="1" t="s">
        <v>106</v>
      </c>
      <c r="B22" s="1" t="str">
        <f>CONCATENATE("Max Series ",A22," per Share before Convert to Common")</f>
        <v>Max Series B per Share before Convert to Common</v>
      </c>
      <c r="C22" s="1"/>
      <c r="D22" s="1"/>
      <c r="E22" s="1"/>
      <c r="F22" s="30">
        <f ca="1">SeriesB!M23</f>
        <v>7.4071992132896014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</row>
    <row r="23" spans="1:20" x14ac:dyDescent="0.2">
      <c r="A23" s="1" t="s">
        <v>92</v>
      </c>
      <c r="B23" s="1" t="str">
        <f>CONCATENATE("Max Series ",A23," per Share before Convert to Common")</f>
        <v>Max Series A per Share before Convert to Common</v>
      </c>
      <c r="C23" s="1"/>
      <c r="D23" s="1"/>
      <c r="E23" s="1"/>
      <c r="F23" s="30">
        <f ca="1">SeriesB!H23</f>
        <v>4.3127798286543353</v>
      </c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</row>
    <row r="24" spans="1:20" x14ac:dyDescent="0.2">
      <c r="A24" s="1" t="s">
        <v>121</v>
      </c>
      <c r="B24" s="1" t="str">
        <f>CONCATENATE("Max Series ",A24," per Share before Convert to Common")</f>
        <v>Max Series Seed per Share before Convert to Common</v>
      </c>
      <c r="C24" s="1"/>
      <c r="D24" s="1"/>
      <c r="E24" s="1"/>
      <c r="F24" s="30">
        <f>SeriesB!E23</f>
        <v>4.1246319529565065</v>
      </c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</row>
    <row r="25" spans="1:20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</row>
    <row r="26" spans="1:20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</row>
    <row r="27" spans="1:20" x14ac:dyDescent="0.2">
      <c r="A27" s="1"/>
      <c r="B27" s="46" t="s">
        <v>133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</row>
    <row r="28" spans="1:20" x14ac:dyDescent="0.2">
      <c r="A28" s="1" t="str">
        <f>A22</f>
        <v>B</v>
      </c>
      <c r="B28" s="1" t="str">
        <f>CONCATENATE("Aggregate Series ",A28," Preference at Point of Sale")</f>
        <v>Aggregate Series B Preference at Point of Sale</v>
      </c>
      <c r="C28" s="1"/>
      <c r="D28" s="1"/>
      <c r="E28" s="1"/>
      <c r="F28" s="30">
        <f>SeriesB!L21</f>
        <v>30000000</v>
      </c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</row>
    <row r="29" spans="1:20" x14ac:dyDescent="0.2">
      <c r="A29" s="1" t="str">
        <f>A28</f>
        <v>B</v>
      </c>
      <c r="B29" s="1" t="str">
        <f>CONCATENATE("Does Series ",A29," Convert/Lose Preference?")</f>
        <v>Does Series B Convert/Lose Preference?</v>
      </c>
      <c r="C29" s="1"/>
      <c r="D29" s="1"/>
      <c r="E29" s="1"/>
      <c r="F29" s="1" t="str">
        <f ca="1">IF(F22&lt;F$52,"yes","no")</f>
        <v>yes</v>
      </c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</row>
    <row r="30" spans="1:20" x14ac:dyDescent="0.2">
      <c r="A30" s="1" t="str">
        <f>A29</f>
        <v>B</v>
      </c>
      <c r="B30" s="1" t="str">
        <f>CONCATENATE("Series ",A30," total Preferred Payment")</f>
        <v>Series B total Preferred Payment</v>
      </c>
      <c r="C30" s="1"/>
      <c r="D30" s="1"/>
      <c r="E30" s="1"/>
      <c r="F30" s="15">
        <f ca="1">IF(F29="yes",0,F28)</f>
        <v>0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spans="1:20" x14ac:dyDescent="0.2">
      <c r="A31" s="1" t="str">
        <f>A30</f>
        <v>B</v>
      </c>
      <c r="B31" s="1" t="str">
        <f>CONCATENATE("Series ",A31," Preferred Payment per Share")</f>
        <v>Series B Preferred Payment per Share</v>
      </c>
      <c r="C31" s="1"/>
      <c r="D31" s="1"/>
      <c r="E31" s="1"/>
      <c r="F31" s="15">
        <f ca="1">F30/SeriesB!M21</f>
        <v>0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0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spans="1:20" x14ac:dyDescent="0.2">
      <c r="A33" s="1" t="str">
        <f>A23</f>
        <v>A</v>
      </c>
      <c r="B33" s="1" t="str">
        <f>CONCATENATE("Aggregate Series ",A33," Preference at Point of Sale")</f>
        <v>Aggregate Series A Preference at Point of Sale</v>
      </c>
      <c r="C33" s="1"/>
      <c r="D33" s="1"/>
      <c r="E33" s="1"/>
      <c r="F33" s="30">
        <f>SeriesB!G21</f>
        <v>20000000</v>
      </c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spans="1:20" x14ac:dyDescent="0.2">
      <c r="A34" s="1" t="str">
        <f>A33</f>
        <v>A</v>
      </c>
      <c r="B34" s="1" t="str">
        <f>CONCATENATE("Does Series ",A34," Convert/Lose Preference?")</f>
        <v>Does Series A Convert/Lose Preference?</v>
      </c>
      <c r="C34" s="1"/>
      <c r="D34" s="1"/>
      <c r="E34" s="1"/>
      <c r="F34" s="1" t="str">
        <f ca="1">IF(F23&lt;F$52,"yes","no")</f>
        <v>yes</v>
      </c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x14ac:dyDescent="0.2">
      <c r="A35" s="1" t="str">
        <f>A34</f>
        <v>A</v>
      </c>
      <c r="B35" s="1" t="str">
        <f>CONCATENATE("Series ",A35," total Preferred Payment")</f>
        <v>Series A total Preferred Payment</v>
      </c>
      <c r="C35" s="1"/>
      <c r="D35" s="1"/>
      <c r="E35" s="1"/>
      <c r="F35" s="15">
        <f ca="1">IF(F34="yes",0,F33)</f>
        <v>0</v>
      </c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spans="1:20" x14ac:dyDescent="0.2">
      <c r="A36" s="1" t="str">
        <f>A35</f>
        <v>A</v>
      </c>
      <c r="B36" s="1" t="str">
        <f>CONCATENATE("Series ",A36," Preferred Payment per Share")</f>
        <v>Series A Preferred Payment per Share</v>
      </c>
      <c r="C36" s="1"/>
      <c r="D36" s="1"/>
      <c r="E36" s="1"/>
      <c r="F36" s="15">
        <f ca="1">F35/SeriesB!H21</f>
        <v>0</v>
      </c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spans="1:20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</row>
    <row r="38" spans="1:20" x14ac:dyDescent="0.2">
      <c r="A38" s="1" t="str">
        <f>A24</f>
        <v>Seed</v>
      </c>
      <c r="B38" s="1" t="str">
        <f>CONCATENATE("Aggregate Series ",A38," Preference at Point of Sale")</f>
        <v>Aggregate Series Seed Preference at Point of Sale</v>
      </c>
      <c r="C38" s="1"/>
      <c r="D38" s="1"/>
      <c r="E38" s="1"/>
      <c r="F38" s="30">
        <f>SeriesB!D21</f>
        <v>9825000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spans="1:20" x14ac:dyDescent="0.2">
      <c r="A39" s="1" t="str">
        <f>A38</f>
        <v>Seed</v>
      </c>
      <c r="B39" s="1" t="str">
        <f>CONCATENATE("Does Series ",A39," Convert/Lose Preference?")</f>
        <v>Does Series Seed Convert/Lose Preference?</v>
      </c>
      <c r="C39" s="1"/>
      <c r="D39" s="1"/>
      <c r="E39" s="1"/>
      <c r="F39" s="1" t="str">
        <f ca="1">IF(F24&lt;F52,"yes","no")</f>
        <v>yes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spans="1:20" x14ac:dyDescent="0.2">
      <c r="A40" s="1" t="str">
        <f>A39</f>
        <v>Seed</v>
      </c>
      <c r="B40" s="1" t="str">
        <f>CONCATENATE("Series ",A40," total Preferred Payment")</f>
        <v>Series Seed total Preferred Payment</v>
      </c>
      <c r="C40" s="1"/>
      <c r="D40" s="1"/>
      <c r="E40" s="1"/>
      <c r="F40" s="15">
        <f ca="1">IF(F39="yes",0,F38)</f>
        <v>0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  <row r="41" spans="1:20" x14ac:dyDescent="0.2">
      <c r="A41" s="1" t="str">
        <f>A40</f>
        <v>Seed</v>
      </c>
      <c r="B41" s="1" t="str">
        <f>CONCATENATE("Series ",A41," Preferred Payment per Share")</f>
        <v>Series Seed Preferred Payment per Share</v>
      </c>
      <c r="C41" s="1"/>
      <c r="D41" s="1"/>
      <c r="E41" s="1"/>
      <c r="F41" s="15">
        <f ca="1">F40/SeriesB!E21</f>
        <v>0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</row>
    <row r="42" spans="1:20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</row>
    <row r="43" spans="1:20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</row>
    <row r="44" spans="1:20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1:20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</row>
    <row r="46" spans="1:20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</row>
    <row r="47" spans="1:20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</row>
    <row r="48" spans="1:20" x14ac:dyDescent="0.2">
      <c r="A48" s="1"/>
      <c r="B48" s="46" t="s">
        <v>93</v>
      </c>
      <c r="C48" s="1"/>
      <c r="D48" s="1"/>
      <c r="E48" s="1"/>
      <c r="F48" s="15">
        <f ca="1">+F20-F30-F35-F40</f>
        <v>443250000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</row>
    <row r="49" spans="1:20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</row>
    <row r="50" spans="1:20" x14ac:dyDescent="0.2">
      <c r="A50" s="1"/>
      <c r="B50" s="46" t="s">
        <v>94</v>
      </c>
      <c r="C50" s="1"/>
      <c r="D50" s="1"/>
      <c r="E50" s="1"/>
      <c r="F50" s="1"/>
      <c r="G50" s="1"/>
      <c r="H50" s="1"/>
      <c r="I50" s="92" t="s">
        <v>137</v>
      </c>
      <c r="J50" s="96"/>
      <c r="K50" s="96"/>
      <c r="L50" s="96"/>
      <c r="M50" s="96"/>
      <c r="N50" s="96"/>
      <c r="O50" s="96"/>
      <c r="P50" s="96"/>
      <c r="Q50" s="96"/>
      <c r="R50" s="96"/>
      <c r="S50" s="1"/>
      <c r="T50" s="1"/>
    </row>
    <row r="51" spans="1:20" x14ac:dyDescent="0.2">
      <c r="A51" s="1"/>
      <c r="B51" s="1" t="s">
        <v>111</v>
      </c>
      <c r="C51" s="1"/>
      <c r="D51" s="1"/>
      <c r="E51" s="1"/>
      <c r="F51" s="15">
        <f ca="1">SeriesB!C21+SeriesB!J21+SeriesB!O21+IF(F29="yes",SeriesB!M21,0)+IF(F34="yes",SeriesB!H21,0)+IF(F39="yes",SeriesB!E21,0)</f>
        <v>24300683</v>
      </c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x14ac:dyDescent="0.2">
      <c r="A52" s="1"/>
      <c r="B52" s="46" t="s">
        <v>112</v>
      </c>
      <c r="C52" s="1"/>
      <c r="D52" s="1"/>
      <c r="E52" s="1"/>
      <c r="F52" s="15">
        <f ca="1">+IFERROR(F48/F51,0)</f>
        <v>18.240228062725645</v>
      </c>
      <c r="G52" s="1"/>
      <c r="H52" s="1"/>
      <c r="I52" s="1"/>
      <c r="J52" s="1"/>
      <c r="K52" s="93" t="s">
        <v>136</v>
      </c>
      <c r="L52" s="94"/>
      <c r="M52" s="94"/>
      <c r="N52" s="94"/>
      <c r="O52" s="94"/>
      <c r="P52" s="94"/>
      <c r="Q52" s="94"/>
      <c r="R52" s="94"/>
      <c r="S52" s="1"/>
      <c r="T52" s="1"/>
    </row>
    <row r="53" spans="1:20" x14ac:dyDescent="0.2">
      <c r="A53" s="1"/>
      <c r="B53" s="1"/>
      <c r="C53" s="1"/>
      <c r="D53" s="1"/>
      <c r="E53" s="1"/>
      <c r="F53" s="1"/>
      <c r="G53" s="1"/>
      <c r="H53" s="1"/>
      <c r="I53" s="1"/>
      <c r="J53" s="82">
        <v>0.5</v>
      </c>
      <c r="K53" s="82">
        <v>0.5</v>
      </c>
      <c r="L53" s="82">
        <f>K53+0.5</f>
        <v>1</v>
      </c>
      <c r="M53" s="82">
        <f>L53+0.5</f>
        <v>1.5</v>
      </c>
      <c r="N53" s="82">
        <f>M53+0.5</f>
        <v>2</v>
      </c>
      <c r="O53" s="82">
        <f>N53+0.5</f>
        <v>2.5</v>
      </c>
      <c r="P53" s="82">
        <f>O53+0.5</f>
        <v>3</v>
      </c>
      <c r="Q53" s="82">
        <f>P53+0.5</f>
        <v>3.5</v>
      </c>
      <c r="R53" s="82">
        <f>Q53+0.5</f>
        <v>4</v>
      </c>
      <c r="S53" s="1"/>
      <c r="T53" s="1"/>
    </row>
    <row r="54" spans="1:20" x14ac:dyDescent="0.2">
      <c r="A54" s="1"/>
      <c r="B54" s="46" t="s">
        <v>95</v>
      </c>
      <c r="C54" s="1"/>
      <c r="D54" s="1"/>
      <c r="E54" s="1"/>
      <c r="F54" s="1"/>
      <c r="G54" s="1"/>
      <c r="H54" s="1"/>
      <c r="I54" s="1" t="s">
        <v>138</v>
      </c>
      <c r="J54" s="82">
        <f>J53+0.5</f>
        <v>1</v>
      </c>
      <c r="K54" s="111"/>
      <c r="L54" s="112"/>
      <c r="M54" s="112"/>
      <c r="N54" s="112"/>
      <c r="O54" s="112"/>
      <c r="P54" s="112"/>
      <c r="Q54" s="112"/>
      <c r="R54" s="113"/>
      <c r="S54" s="1"/>
      <c r="T54" s="1"/>
    </row>
    <row r="55" spans="1:20" x14ac:dyDescent="0.2">
      <c r="A55" s="1" t="str">
        <f>A22</f>
        <v>B</v>
      </c>
      <c r="B55" s="1" t="str">
        <f>CONCATENATE("Series ",A55)</f>
        <v>Series B</v>
      </c>
      <c r="C55" s="1"/>
      <c r="D55" s="1"/>
      <c r="E55" s="1"/>
      <c r="F55" s="15">
        <f ca="1">IF(F29="yes",F52,F31)</f>
        <v>18.240228062725645</v>
      </c>
      <c r="G55" s="1"/>
      <c r="H55" s="1"/>
      <c r="I55" s="1"/>
      <c r="J55" s="82" t="s">
        <v>74</v>
      </c>
      <c r="K55" s="114">
        <f ca="1">IF(((K$53*$F$12*0.985)/SeriesB!$Q$21)&gt;=SeriesB!$M$23,((K$53*$F$12*0.985)/SeriesB!$Q$21)/SeriesB!$M$23,1)</f>
        <v>1</v>
      </c>
      <c r="L55" s="82">
        <f ca="1">IF(((L$53*$F$12*0.985)/SeriesB!$Q$21)&gt;=SeriesB!$M$23,((L$53*$F$12*0.985)/SeriesB!$Q$21)/SeriesB!$M$23,1)</f>
        <v>1</v>
      </c>
      <c r="M55" s="82">
        <f ca="1">IF(((M$53*$F$12*0.985)/SeriesB!$Q$21)&gt;=SeriesB!$M$23,((M$53*$F$12*0.985)/SeriesB!$Q$21)/SeriesB!$M$23,1)</f>
        <v>1.4775</v>
      </c>
      <c r="N55" s="82">
        <f ca="1">IF(((N$53*$F$12*0.985)/SeriesB!$Q$21)&gt;=SeriesB!$M$23,((N$53*$F$12*0.985)/SeriesB!$Q$21)/SeriesB!$M$23,1)</f>
        <v>1.9700000000000002</v>
      </c>
      <c r="O55" s="82">
        <f ca="1">IF(((O$53*$F$12*0.985)/SeriesB!$Q$21)&gt;=SeriesB!$M$23,((O$53*$F$12*0.985)/SeriesB!$Q$21)/SeriesB!$M$23,1)</f>
        <v>2.4625000000000004</v>
      </c>
      <c r="P55" s="82">
        <f ca="1">IF(((P$53*$F$12*0.985)/SeriesB!$Q$21)&gt;=SeriesB!$M$23,((P$53*$F$12*0.985)/SeriesB!$Q$21)/SeriesB!$M$23,1)</f>
        <v>2.9550000000000001</v>
      </c>
      <c r="Q55" s="82">
        <f ca="1">IF(((Q$53*$F$12*0.985)/SeriesB!$Q$21)&gt;=SeriesB!$M$23,((Q$53*$F$12*0.985)/SeriesB!$Q$21)/SeriesB!$M$23,1)</f>
        <v>3.4475000000000002</v>
      </c>
      <c r="R55" s="115">
        <f ca="1">IF(((R$53*$F$12*0.985)/SeriesB!$Q$21)&gt;=SeriesB!$M$23,((R$53*$F$12*0.985)/SeriesB!$Q$21)/SeriesB!$M$23,1)</f>
        <v>3.9400000000000004</v>
      </c>
      <c r="S55" s="1"/>
      <c r="T55" s="1"/>
    </row>
    <row r="56" spans="1:20" x14ac:dyDescent="0.2">
      <c r="A56" s="1" t="str">
        <f>A23</f>
        <v>A</v>
      </c>
      <c r="B56" s="1" t="str">
        <f>CONCATENATE("Series ",A56)</f>
        <v>Series A</v>
      </c>
      <c r="C56" s="1"/>
      <c r="D56" s="1"/>
      <c r="E56" s="1"/>
      <c r="F56" s="15">
        <f ca="1">IF(F34="yes",F52,F36)</f>
        <v>18.240228062725645</v>
      </c>
      <c r="G56" s="1"/>
      <c r="H56" s="1"/>
      <c r="I56" s="1"/>
      <c r="J56" s="82" t="s">
        <v>54</v>
      </c>
      <c r="K56" s="114">
        <f ca="1">IF(((K$53*$F$12*0.985)/SeriesB!$Q$21)&gt;=SeriesB!$M$23,((K$53*$F$12*0.985)/SeriesB!$Q$21)/SeriesB!$H$23,IF((((K$53*$F$12*0.985)-SeriesB!$L$21)/(SeriesB!$Q$21-SeriesB!$M$21))&gt;=SeriesB!$H$23,(((K$53*$F$12*0.985)-SeriesB!$L$21)/(SeriesB!$Q$21-SeriesB!$M$21))/SeriesB!$H$23,1))</f>
        <v>1</v>
      </c>
      <c r="L56" s="82">
        <f ca="1">IF(((L$53*$F$12*0.985)/SeriesB!$Q$21)&gt;=SeriesB!$M$23,((L$53*$F$12*0.985)/SeriesB!$Q$21)/SeriesB!$H$23,IF((((L$53*$F$12*0.985)-SeriesB!$L$21)/(SeriesB!$Q$21-SeriesB!$M$21))&gt;=SeriesB!$H$23,(((L$53*$F$12*0.985)-SeriesB!$L$21)/(SeriesB!$Q$21-SeriesB!$M$21))/SeriesB!$H$23,1))</f>
        <v>1.6865849814516325</v>
      </c>
      <c r="M56" s="82">
        <f ca="1">IF(((M$53*$F$12*0.985)/SeriesB!$Q$21)&gt;=SeriesB!$M$23,((M$53*$F$12*0.985)/SeriesB!$Q$21)/SeriesB!$H$23,IF((((M$53*$F$12*0.985)-SeriesB!$L$21)/(SeriesB!$Q$21-SeriesB!$M$21))&gt;=SeriesB!$H$23,(((M$53*$F$12*0.985)-SeriesB!$L$21)/(SeriesB!$Q$21-SeriesB!$M$21))/SeriesB!$H$23,1))</f>
        <v>2.5376062012073901</v>
      </c>
      <c r="N56" s="82">
        <f ca="1">IF(((N$53*$F$12*0.985)/SeriesB!$Q$21)&gt;=SeriesB!$M$23,((N$53*$F$12*0.985)/SeriesB!$Q$21)/SeriesB!$H$23,IF((((N$53*$F$12*0.985)-SeriesB!$L$21)/(SeriesB!$Q$21-SeriesB!$M$21))&gt;=SeriesB!$H$23,(((N$53*$F$12*0.985)-SeriesB!$L$21)/(SeriesB!$Q$21-SeriesB!$M$21))/SeriesB!$H$23,1))</f>
        <v>3.383474934943187</v>
      </c>
      <c r="O56" s="82">
        <f ca="1">IF(((O$53*$F$12*0.985)/SeriesB!$Q$21)&gt;=SeriesB!$M$23,((O$53*$F$12*0.985)/SeriesB!$Q$21)/SeriesB!$H$23,IF((((O$53*$F$12*0.985)-SeriesB!$L$21)/(SeriesB!$Q$21-SeriesB!$M$21))&gt;=SeriesB!$H$23,(((O$53*$F$12*0.985)-SeriesB!$L$21)/(SeriesB!$Q$21-SeriesB!$M$21))/SeriesB!$H$23,1))</f>
        <v>4.2293436686789834</v>
      </c>
      <c r="P56" s="82">
        <f ca="1">IF(((P$53*$F$12*0.985)/SeriesB!$Q$21)&gt;=SeriesB!$M$23,((P$53*$F$12*0.985)/SeriesB!$Q$21)/SeriesB!$H$23,IF((((P$53*$F$12*0.985)-SeriesB!$L$21)/(SeriesB!$Q$21-SeriesB!$M$21))&gt;=SeriesB!$H$23,(((P$53*$F$12*0.985)-SeriesB!$L$21)/(SeriesB!$Q$21-SeriesB!$M$21))/SeriesB!$H$23,1))</f>
        <v>5.0752124024147802</v>
      </c>
      <c r="Q56" s="82">
        <f ca="1">IF(((Q$53*$F$12*0.985)/SeriesB!$Q$21)&gt;=SeriesB!$M$23,((Q$53*$F$12*0.985)/SeriesB!$Q$21)/SeriesB!$H$23,IF((((Q$53*$F$12*0.985)-SeriesB!$L$21)/(SeriesB!$Q$21-SeriesB!$M$21))&gt;=SeriesB!$H$23,(((Q$53*$F$12*0.985)-SeriesB!$L$21)/(SeriesB!$Q$21-SeriesB!$M$21))/SeriesB!$H$23,1))</f>
        <v>5.9210811361505771</v>
      </c>
      <c r="R56" s="115">
        <f ca="1">IF(((R$53*$F$12*0.985)/SeriesB!$Q$21)&gt;=SeriesB!$M$23,((R$53*$F$12*0.985)/SeriesB!$Q$21)/SeriesB!$H$23,IF((((R$53*$F$12*0.985)-SeriesB!$L$21)/(SeriesB!$Q$21-SeriesB!$M$21))&gt;=SeriesB!$H$23,(((R$53*$F$12*0.985)-SeriesB!$L$21)/(SeriesB!$Q$21-SeriesB!$M$21))/SeriesB!$H$23,1))</f>
        <v>6.7669498698863739</v>
      </c>
      <c r="S56" s="1"/>
      <c r="T56" s="1"/>
    </row>
    <row r="57" spans="1:20" x14ac:dyDescent="0.2">
      <c r="A57" s="1" t="str">
        <f>A24</f>
        <v>Seed</v>
      </c>
      <c r="B57" s="1" t="str">
        <f>CONCATENATE("Series ",A57)</f>
        <v>Series Seed</v>
      </c>
      <c r="C57" s="1"/>
      <c r="D57" s="1"/>
      <c r="E57" s="1"/>
      <c r="F57" s="15">
        <f ca="1">IF(F39="yes",F52,F41)</f>
        <v>18.240228062725645</v>
      </c>
      <c r="G57" s="1"/>
      <c r="H57" s="1"/>
      <c r="I57" s="1"/>
      <c r="J57" s="82" t="s">
        <v>139</v>
      </c>
      <c r="K57" s="114">
        <f ca="1">IF(((K$53*$F$12*0.985)/SeriesB!$Q$21)&gt;=SeriesB!$M$23,((K$53*$F$12*0.985)/SeriesB!$Q$21)/SeriesB!$E$23,IF((((K$53*$F$12*0.985)-SeriesB!$L$21)/(SeriesB!$Q$21-SeriesB!$M$21))&gt;=SeriesB!$H$23,(((K$53*$F$12*0.985)-SeriesB!$L$21)/(SeriesB!$Q$21-SeriesB!$M$21))/SeriesB!$E$23,1))</f>
        <v>1</v>
      </c>
      <c r="L57" s="82">
        <f ca="1">IF(((L$53*$F$12*0.985)/SeriesB!$Q$21)&gt;=SeriesB!$M$23,((L$53*$F$12*0.985)/SeriesB!$Q$21)/SeriesB!$E$23,IF((((L$53*$F$12*0.985)-SeriesB!$L$21)/(SeriesB!$Q$21-SeriesB!$M$21))&gt;=SeriesB!$H$23,(((L$53*$F$12*0.985)-SeriesB!$L$21)/(SeriesB!$Q$21-SeriesB!$M$21))/SeriesB!$E$23,1))</f>
        <v>1.7635196958851296</v>
      </c>
      <c r="M57" s="82">
        <f ca="1">IF(((M$53*$F$12*0.985)/SeriesB!$Q$21)&gt;=SeriesB!$M$23,((M$53*$F$12*0.985)/SeriesB!$Q$21)/SeriesB!$E$23,IF((((M$53*$F$12*0.985)-SeriesB!$L$21)/(SeriesB!$Q$21-SeriesB!$M$21))&gt;=SeriesB!$H$23,(((M$53*$F$12*0.985)-SeriesB!$L$21)/(SeriesB!$Q$21-SeriesB!$M$21))/SeriesB!$E$23,1))</f>
        <v>2.6533608240586677</v>
      </c>
      <c r="N57" s="82">
        <f ca="1">IF(((N$53*$F$12*0.985)/SeriesB!$Q$21)&gt;=SeriesB!$M$23,((N$53*$F$12*0.985)/SeriesB!$Q$21)/SeriesB!$E$23,IF((((N$53*$F$12*0.985)-SeriesB!$L$21)/(SeriesB!$Q$21-SeriesB!$M$21))&gt;=SeriesB!$H$23,(((N$53*$F$12*0.985)-SeriesB!$L$21)/(SeriesB!$Q$21-SeriesB!$M$21))/SeriesB!$E$23,1))</f>
        <v>3.5378144320782234</v>
      </c>
      <c r="O57" s="82">
        <f ca="1">IF(((O$53*$F$12*0.985)/SeriesB!$Q$21)&gt;=SeriesB!$M$23,((O$53*$F$12*0.985)/SeriesB!$Q$21)/SeriesB!$E$23,IF((((O$53*$F$12*0.985)-SeriesB!$L$21)/(SeriesB!$Q$21-SeriesB!$M$21))&gt;=SeriesB!$H$23,(((O$53*$F$12*0.985)-SeriesB!$L$21)/(SeriesB!$Q$21-SeriesB!$M$21))/SeriesB!$E$23,1))</f>
        <v>4.4222680400977792</v>
      </c>
      <c r="P57" s="82">
        <f ca="1">IF(((P$53*$F$12*0.985)/SeriesB!$Q$21)&gt;=SeriesB!$M$23,((P$53*$F$12*0.985)/SeriesB!$Q$21)/SeriesB!$E$23,IF((((P$53*$F$12*0.985)-SeriesB!$L$21)/(SeriesB!$Q$21-SeriesB!$M$21))&gt;=SeriesB!$H$23,(((P$53*$F$12*0.985)-SeriesB!$L$21)/(SeriesB!$Q$21-SeriesB!$M$21))/SeriesB!$E$23,1))</f>
        <v>5.3067216481173354</v>
      </c>
      <c r="Q57" s="82">
        <f ca="1">IF(((Q$53*$F$12*0.985)/SeriesB!$Q$21)&gt;=SeriesB!$M$23,((Q$53*$F$12*0.985)/SeriesB!$Q$21)/SeriesB!$E$23,IF((((Q$53*$F$12*0.985)-SeriesB!$L$21)/(SeriesB!$Q$21-SeriesB!$M$21))&gt;=SeriesB!$H$23,(((Q$53*$F$12*0.985)-SeriesB!$L$21)/(SeriesB!$Q$21-SeriesB!$M$21))/SeriesB!$E$23,1))</f>
        <v>6.1911752561368907</v>
      </c>
      <c r="R57" s="115">
        <f ca="1">IF(((R$53*$F$12*0.985)/SeriesB!$Q$21)&gt;=SeriesB!$M$23,((R$53*$F$12*0.985)/SeriesB!$Q$21)/SeriesB!$E$23,IF((((R$53*$F$12*0.985)-SeriesB!$L$21)/(SeriesB!$Q$21-SeriesB!$M$21))&gt;=SeriesB!$H$23,(((R$53*$F$12*0.985)-SeriesB!$L$21)/(SeriesB!$Q$21-SeriesB!$M$21))/SeriesB!$E$23,1))</f>
        <v>7.0756288641564469</v>
      </c>
      <c r="S57" s="1"/>
      <c r="T57" s="1"/>
    </row>
    <row r="58" spans="1:20" x14ac:dyDescent="0.2">
      <c r="A58" s="1"/>
      <c r="B58" s="1"/>
      <c r="C58" s="1"/>
      <c r="D58" s="1"/>
      <c r="E58" s="1"/>
      <c r="F58" s="1"/>
      <c r="G58" s="1"/>
      <c r="H58" s="1"/>
      <c r="I58" s="1"/>
      <c r="J58" s="82" t="s">
        <v>78</v>
      </c>
      <c r="K58" s="114">
        <f ca="1">IF(((K$53*$F$12*0.985)/SeriesB!$Q$21)&gt;=SeriesB!$M$23,((K$53*$F$12*0.985)/SeriesB!$Q$21),IF((((K$53*$F$12*0.985)-SeriesB!$L$21)/(SeriesB!$Q$21-SeriesB!$M$21))&gt;=SeriesB!$H$23,(((K$53*$F$12*0.985)-SeriesB!$L$21)/(SeriesB!$Q$21-SeriesB!$M$21)),((K$53*$F$12*0.985)-SeriesB!$L$21-SeriesB!$G$21-SeriesB!$D$21)/(SeriesB!$Q$21-SeriesB!$M$21-SeriesB!$H$21-SeriesB!$E$21)))</f>
        <v>2.1785697064459515</v>
      </c>
      <c r="L58" s="82">
        <f ca="1">IF(((L$53*$F$12*0.985)/SeriesB!$Q$21)&gt;=SeriesB!$M$23,((L$53*$F$12*0.985)/SeriesB!$Q$21),IF((((L$53*$F$12*0.985)-SeriesB!$L$21)/(SeriesB!$Q$21-SeriesB!$M$21))&gt;=SeriesB!$H$23,(((L$53*$F$12*0.985)-SeriesB!$L$21)/(SeriesB!$Q$21-SeriesB!$M$21)),((L$53*$F$12*0.985)-SeriesB!$L$21-SeriesB!$G$21-SeriesB!$D$21)/(SeriesB!$Q$21-SeriesB!$M$21-SeriesB!$H$21-SeriesB!$E$21)))</f>
        <v>7.2738696873159467</v>
      </c>
      <c r="M58" s="82">
        <f ca="1">IF(((M$53*$F$12*0.985)/SeriesB!$Q$21)&gt;=SeriesB!$M$23,((M$53*$F$12*0.985)/SeriesB!$Q$21),IF((((M$53*$F$12*0.985)-SeriesB!$L$21)/(SeriesB!$Q$21-SeriesB!$M$21))&gt;=SeriesB!$H$23,(((M$53*$F$12*0.985)-SeriesB!$L$21)/(SeriesB!$Q$21-SeriesB!$M$21)),((M$53*$F$12*0.985)-SeriesB!$L$21-SeriesB!$G$21-SeriesB!$D$21)/(SeriesB!$Q$21-SeriesB!$M$21-SeriesB!$H$21-SeriesB!$E$21)))</f>
        <v>10.944136837635387</v>
      </c>
      <c r="N58" s="82">
        <f ca="1">IF(((N$53*$F$12*0.985)/SeriesB!$Q$21)&gt;=SeriesB!$M$23,((N$53*$F$12*0.985)/SeriesB!$Q$21),IF((((N$53*$F$12*0.985)-SeriesB!$L$21)/(SeriesB!$Q$21-SeriesB!$M$21))&gt;=SeriesB!$H$23,(((N$53*$F$12*0.985)-SeriesB!$L$21)/(SeriesB!$Q$21-SeriesB!$M$21)),((N$53*$F$12*0.985)-SeriesB!$L$21-SeriesB!$G$21-SeriesB!$D$21)/(SeriesB!$Q$21-SeriesB!$M$21-SeriesB!$H$21-SeriesB!$E$21)))</f>
        <v>14.592182450180516</v>
      </c>
      <c r="O58" s="82">
        <f ca="1">IF(((O$53*$F$12*0.985)/SeriesB!$Q$21)&gt;=SeriesB!$M$23,((O$53*$F$12*0.985)/SeriesB!$Q$21),IF((((O$53*$F$12*0.985)-SeriesB!$L$21)/(SeriesB!$Q$21-SeriesB!$M$21))&gt;=SeriesB!$H$23,(((O$53*$F$12*0.985)-SeriesB!$L$21)/(SeriesB!$Q$21-SeriesB!$M$21)),((O$53*$F$12*0.985)-SeriesB!$L$21-SeriesB!$G$21-SeriesB!$D$21)/(SeriesB!$Q$21-SeriesB!$M$21-SeriesB!$H$21-SeriesB!$E$21)))</f>
        <v>18.240228062725645</v>
      </c>
      <c r="P58" s="82">
        <f ca="1">IF(((P$53*$F$12*0.985)/SeriesB!$Q$21)&gt;=SeriesB!$M$23,((P$53*$F$12*0.985)/SeriesB!$Q$21),IF((((P$53*$F$12*0.985)-SeriesB!$L$21)/(SeriesB!$Q$21-SeriesB!$M$21))&gt;=SeriesB!$H$23,(((P$53*$F$12*0.985)-SeriesB!$L$21)/(SeriesB!$Q$21-SeriesB!$M$21)),((P$53*$F$12*0.985)-SeriesB!$L$21-SeriesB!$G$21-SeriesB!$D$21)/(SeriesB!$Q$21-SeriesB!$M$21-SeriesB!$H$21-SeriesB!$E$21)))</f>
        <v>21.888273675270774</v>
      </c>
      <c r="Q58" s="82">
        <f ca="1">IF(((Q$53*$F$12*0.985)/SeriesB!$Q$21)&gt;=SeriesB!$M$23,((Q$53*$F$12*0.985)/SeriesB!$Q$21),IF((((Q$53*$F$12*0.985)-SeriesB!$L$21)/(SeriesB!$Q$21-SeriesB!$M$21))&gt;=SeriesB!$H$23,(((Q$53*$F$12*0.985)-SeriesB!$L$21)/(SeriesB!$Q$21-SeriesB!$M$21)),((Q$53*$F$12*0.985)-SeriesB!$L$21-SeriesB!$G$21-SeriesB!$D$21)/(SeriesB!$Q$21-SeriesB!$M$21-SeriesB!$H$21-SeriesB!$E$21)))</f>
        <v>25.536319287815903</v>
      </c>
      <c r="R58" s="115">
        <f ca="1">IF(((R$53*$F$12*0.985)/SeriesB!$Q$21)&gt;=SeriesB!$M$23,((R$53*$F$12*0.985)/SeriesB!$Q$21),IF((((R$53*$F$12*0.985)-SeriesB!$L$21)/(SeriesB!$Q$21-SeriesB!$M$21))&gt;=SeriesB!$H$23,(((R$53*$F$12*0.985)-SeriesB!$L$21)/(SeriesB!$Q$21-SeriesB!$M$21)),((R$53*$F$12*0.985)-SeriesB!$L$21-SeriesB!$G$21-SeriesB!$D$21)/(SeriesB!$Q$21-SeriesB!$M$21-SeriesB!$H$21-SeriesB!$E$21)))</f>
        <v>29.184364900361032</v>
      </c>
      <c r="S58" s="1"/>
      <c r="T58" s="1"/>
    </row>
    <row r="59" spans="1:20" x14ac:dyDescent="0.2">
      <c r="A59" s="1"/>
      <c r="B59" s="1" t="s">
        <v>78</v>
      </c>
      <c r="C59" s="1"/>
      <c r="D59" s="1"/>
      <c r="E59" s="1"/>
      <c r="F59" s="15">
        <f ca="1">F52</f>
        <v>18.240228062725645</v>
      </c>
      <c r="G59" s="1"/>
      <c r="H59" s="1"/>
      <c r="I59" s="1"/>
      <c r="J59" s="82" t="s">
        <v>140</v>
      </c>
      <c r="K59" s="116">
        <f ca="1">(K55*SeriesB!$L$21+K56*SeriesB!$G$21+K57*SeriesB!$D$21)/($F$12*K$53*0.985)*(K$53*$F$12*0.985)/SeriesB!$Q$21</f>
        <v>2.4618649607502801</v>
      </c>
      <c r="L59" s="117">
        <f ca="1">(L55*SeriesB!$L$21+L56*SeriesB!$G$21+L57*SeriesB!$D$21)/($F$12*L$53*0.985)*(L$53*$F$12*0.985)/SeriesB!$Q$21</f>
        <v>3.3356379588632978</v>
      </c>
      <c r="M59" s="117">
        <f ca="1">(M55*SeriesB!$L$21+M56*SeriesB!$G$21+M57*SeriesB!$D$21)/($F$12*M$53*0.985)*(M$53*$F$12*0.985)/SeriesB!$Q$21</f>
        <v>4.9853081956801057</v>
      </c>
      <c r="N59" s="117">
        <f ca="1">(N55*SeriesB!$L$21+N56*SeriesB!$G$21+N57*SeriesB!$D$21)/($F$12*N$53*0.985)*(N$53*$F$12*0.985)/SeriesB!$Q$21</f>
        <v>6.647077594240141</v>
      </c>
      <c r="O59" s="117">
        <f ca="1">(O55*SeriesB!$L$21+O56*SeriesB!$G$21+O57*SeriesB!$D$21)/($F$12*O$53*0.985)*(O$53*$F$12*0.985)/SeriesB!$Q$21</f>
        <v>8.3088469928001754</v>
      </c>
      <c r="P59" s="117">
        <f ca="1">(P55*SeriesB!$L$21+P56*SeriesB!$G$21+P57*SeriesB!$D$21)/($F$12*P$53*0.985)*(P$53*$F$12*0.985)/SeriesB!$Q$21</f>
        <v>9.9706163913602115</v>
      </c>
      <c r="Q59" s="117">
        <f ca="1">(Q55*SeriesB!$L$21+Q56*SeriesB!$G$21+Q57*SeriesB!$D$21)/($F$12*Q$53*0.985)*(Q$53*$F$12*0.985)/SeriesB!$Q$21</f>
        <v>11.632385789920246</v>
      </c>
      <c r="R59" s="118">
        <f ca="1">(R55*SeriesB!$L$21+R56*SeriesB!$G$21+R57*SeriesB!$D$21)/($F$12*R$53*0.985)*(R$53*$F$12*0.985)/SeriesB!$Q$21</f>
        <v>13.294155188480282</v>
      </c>
      <c r="S59" s="1"/>
      <c r="T59" s="1"/>
    </row>
    <row r="60" spans="1:20" x14ac:dyDescent="0.2">
      <c r="A60" s="1"/>
      <c r="B60" s="1"/>
      <c r="C60" s="1"/>
      <c r="D60" s="1"/>
      <c r="E60" s="1"/>
      <c r="F60" s="1"/>
      <c r="G60" s="1"/>
      <c r="H60" s="1"/>
      <c r="I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x14ac:dyDescent="0.2">
      <c r="A61" s="1"/>
      <c r="B61" s="1"/>
      <c r="C61" s="1"/>
      <c r="D61" s="1"/>
      <c r="E61" s="1"/>
      <c r="F61" s="1"/>
      <c r="G61" s="1"/>
      <c r="H61" s="1"/>
      <c r="I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x14ac:dyDescent="0.2">
      <c r="A62" s="1"/>
      <c r="B62" s="46" t="s">
        <v>101</v>
      </c>
      <c r="C62" s="1"/>
      <c r="D62" s="1"/>
      <c r="E62" s="1"/>
      <c r="F62" s="1" t="s">
        <v>57</v>
      </c>
      <c r="G62" s="1" t="s">
        <v>61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x14ac:dyDescent="0.2">
      <c r="A63" s="1"/>
      <c r="B63" s="1" t="str">
        <f>SeriesB!B8</f>
        <v>Brian Hazzard</v>
      </c>
      <c r="C63" s="1"/>
      <c r="D63" s="1"/>
      <c r="E63" s="1"/>
      <c r="F63" s="15">
        <f ca="1">($F$55*SeriesB!$M8)+($F$56*SeriesB!$H8)+($F$57*SeriesB!$E8)+($F$59*SeriesB!$C8)</f>
        <v>65664821.02581232</v>
      </c>
      <c r="G63" s="31">
        <f ca="1">F63/$F$20</f>
        <v>0.14814398426579203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x14ac:dyDescent="0.2">
      <c r="A64" s="1"/>
      <c r="B64" s="1" t="str">
        <f>SeriesB!B9</f>
        <v>David Wolpoff</v>
      </c>
      <c r="C64" s="1"/>
      <c r="D64" s="1"/>
      <c r="E64" s="1"/>
      <c r="F64" s="15">
        <f ca="1">($F$55*SeriesB!$M9)+($F$56*SeriesB!$H9)+($F$57*SeriesB!$E9)+($F$59*SeriesB!$C9)</f>
        <v>65664821.02581232</v>
      </c>
      <c r="G64" s="31">
        <f ca="1">F64/$F$20</f>
        <v>0.14814398426579203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0" x14ac:dyDescent="0.2">
      <c r="A65" s="1"/>
      <c r="B65" s="1" t="str">
        <f>SeriesB!B10</f>
        <v>Other Common</v>
      </c>
      <c r="C65" s="1"/>
      <c r="D65" s="1"/>
      <c r="E65" s="1"/>
      <c r="F65" s="15">
        <f ca="1">($F$55*SeriesB!$M10)+($F$56*SeriesB!$H10)+($F$57*SeriesB!$E10)+($F$59*SeriesB!$C10)</f>
        <v>45147446.41127988</v>
      </c>
      <c r="G65" s="31">
        <f ca="1">F65/$F$20</f>
        <v>0.10185549105759702</v>
      </c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0" x14ac:dyDescent="0.2">
      <c r="A66" s="1"/>
      <c r="B66" s="1" t="str">
        <f>SeriesB!B11</f>
        <v>ESOP Available</v>
      </c>
      <c r="C66" s="1"/>
      <c r="D66" s="1"/>
      <c r="E66" s="1"/>
      <c r="F66" s="15">
        <f ca="1">($F$55*SeriesB!$M11)+($F$56*SeriesB!$H11)+($F$57*SeriesB!$E11)+($F$59*(SeriesB!$C11+SeriesB!$J11+SeriesB!$O11))</f>
        <v>64862250.991052397</v>
      </c>
      <c r="G66" s="31">
        <f ca="1">F66/$F$20</f>
        <v>0.14633333556921013</v>
      </c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x14ac:dyDescent="0.2">
      <c r="A67" s="1"/>
      <c r="B67" s="1" t="str">
        <f>SeriesB!B16</f>
        <v>Other Investors</v>
      </c>
      <c r="C67" s="1"/>
      <c r="D67" s="1"/>
      <c r="E67" s="1"/>
      <c r="F67" s="15">
        <f ca="1">($F$55*SeriesB!$M16)+($F$56*SeriesB!$H16)+($F$57*SeriesB!$E16)+($F$59*SeriesB!$C16)</f>
        <v>8070644.2695458401</v>
      </c>
      <c r="G67" s="31">
        <f ca="1">F67/$F$20</f>
        <v>1.8207883292827614E-2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x14ac:dyDescent="0.2">
      <c r="A68" s="1"/>
      <c r="B68" s="1" t="str">
        <f>SeriesB!B17</f>
        <v>Accomplice</v>
      </c>
      <c r="C68" s="1"/>
      <c r="D68" s="1"/>
      <c r="E68" s="1"/>
      <c r="F68" s="15">
        <f ca="1">($F$55*SeriesB!$M17)+($F$56*SeriesB!$H17)+($F$57*SeriesB!$E17)+($F$59*SeriesB!$C17)</f>
        <v>65759232.44626499</v>
      </c>
      <c r="G68" s="31">
        <f ca="1">F68/$F$20</f>
        <v>0.14835698239428086</v>
      </c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x14ac:dyDescent="0.2">
      <c r="A69" s="1"/>
      <c r="B69" s="1">
        <f>SeriesB!B18</f>
        <v>1011</v>
      </c>
      <c r="C69" s="1"/>
      <c r="D69" s="1"/>
      <c r="E69" s="1"/>
      <c r="F69" s="15">
        <f ca="1">($F$55*SeriesB!$M18)+($F$56*SeriesB!$H18)+($F$57*SeriesB!$E18)+($F$59*SeriesB!$C18)</f>
        <v>72914618.55207938</v>
      </c>
      <c r="G69" s="31">
        <f ca="1">F69/$F$20</f>
        <v>0.16449998545308378</v>
      </c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 x14ac:dyDescent="0.2">
      <c r="A70" s="1"/>
      <c r="B70" s="1" t="str">
        <f>SeriesB!B19</f>
        <v>Other Series A</v>
      </c>
      <c r="C70" s="1"/>
      <c r="D70" s="1"/>
      <c r="E70" s="1"/>
      <c r="F70" s="15">
        <f ca="1">($F$55*SeriesB!$M19)+($F$56*SeriesB!$H19)+($F$57*SeriesB!$E19)+($F$59*SeriesB!$C19)</f>
        <v>18228663.758133877</v>
      </c>
      <c r="G70" s="31">
        <f ca="1">F70/$F$20</f>
        <v>4.112501693882431E-2</v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 x14ac:dyDescent="0.2">
      <c r="A71" s="1"/>
      <c r="B71" s="1" t="str">
        <f>SeriesB!B20</f>
        <v>Other Series B</v>
      </c>
      <c r="C71" s="1"/>
      <c r="D71" s="1"/>
      <c r="E71" s="1"/>
      <c r="F71" s="15">
        <f ca="1">($F$55*SeriesB!$M20)+($F$56*SeriesB!$H20)+($F$57*SeriesB!$E20)+($F$59*SeriesB!$C20)</f>
        <v>36937501.52001901</v>
      </c>
      <c r="G71" s="31">
        <f ca="1">F71/$F$20</f>
        <v>8.3333336762592233E-2</v>
      </c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x14ac:dyDescent="0.2">
      <c r="A74" s="1"/>
      <c r="B74" s="46" t="s">
        <v>0</v>
      </c>
      <c r="C74" s="1"/>
      <c r="D74" s="1"/>
      <c r="E74" s="1"/>
      <c r="F74" s="99">
        <f ca="1">SUM(F63:F72)</f>
        <v>443250000</v>
      </c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20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x14ac:dyDescent="0.2">
      <c r="A76" s="1"/>
      <c r="B76" s="1" t="s">
        <v>107</v>
      </c>
      <c r="C76" s="1"/>
      <c r="D76" s="1"/>
      <c r="E76" s="1"/>
      <c r="F76" s="15">
        <f ca="1">F74-F20</f>
        <v>0</v>
      </c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  <row r="77" spans="1:20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</row>
    <row r="78" spans="1:20" x14ac:dyDescent="0.2">
      <c r="A78" s="1"/>
      <c r="B78" s="92" t="s">
        <v>123</v>
      </c>
      <c r="C78" s="96"/>
      <c r="D78" s="96"/>
      <c r="E78" s="96"/>
      <c r="F78" s="96"/>
      <c r="G78" s="96"/>
      <c r="H78" s="1"/>
      <c r="I78" s="92" t="s">
        <v>134</v>
      </c>
      <c r="J78" s="96"/>
      <c r="K78" s="96"/>
      <c r="L78" s="96"/>
      <c r="M78" s="96"/>
      <c r="N78" s="96"/>
      <c r="O78" s="96"/>
      <c r="P78" s="96"/>
      <c r="Q78" s="96"/>
      <c r="R78" s="96"/>
      <c r="S78" s="1"/>
      <c r="T78" s="1"/>
    </row>
    <row r="79" spans="1:20" x14ac:dyDescent="0.2">
      <c r="A79" s="1"/>
      <c r="B79" s="1" t="s">
        <v>124</v>
      </c>
      <c r="C79" s="1"/>
      <c r="D79" s="1"/>
      <c r="E79" s="1"/>
      <c r="F79" s="15">
        <f ca="1">+F69</f>
        <v>72914618.55207938</v>
      </c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</row>
    <row r="80" spans="1:20" x14ac:dyDescent="0.2">
      <c r="A80" s="1"/>
      <c r="B80" s="1" t="s">
        <v>125</v>
      </c>
      <c r="C80" s="1"/>
      <c r="D80" s="1"/>
      <c r="E80" s="1"/>
      <c r="F80" s="15">
        <f>+-SUM(F86:F87)</f>
        <v>21000000</v>
      </c>
      <c r="G80" s="1"/>
      <c r="H80" s="1"/>
      <c r="I80" s="1"/>
      <c r="J80" s="1"/>
      <c r="K80" s="93" t="s">
        <v>135</v>
      </c>
      <c r="L80" s="94"/>
      <c r="M80" s="94"/>
      <c r="N80" s="94"/>
      <c r="O80" s="94"/>
      <c r="P80" s="94"/>
      <c r="Q80" s="94"/>
      <c r="R80" s="94"/>
      <c r="S80" s="1"/>
      <c r="T80" s="1"/>
    </row>
    <row r="81" spans="1:20" x14ac:dyDescent="0.2">
      <c r="A81" s="1"/>
      <c r="B81" s="1" t="s">
        <v>102</v>
      </c>
      <c r="C81" s="1"/>
      <c r="D81" s="1"/>
      <c r="E81" s="1"/>
      <c r="F81" s="100">
        <f ca="1">+F79-F80</f>
        <v>51914618.55207938</v>
      </c>
      <c r="G81" s="1"/>
      <c r="H81" s="1"/>
      <c r="I81" s="1"/>
      <c r="J81" s="1"/>
      <c r="K81" s="97">
        <f>DATE(YEAR($C$4)+5,MONTH($C$4),DAY($C$4))</f>
        <v>47953</v>
      </c>
      <c r="L81" s="97">
        <f>DATE(YEAR(K81)+1,MONTH(K81),DAY(K81))</f>
        <v>48319</v>
      </c>
      <c r="M81" s="97">
        <f>DATE(YEAR(L81)+1,MONTH(L81),DAY(L81))</f>
        <v>48684</v>
      </c>
      <c r="N81" s="97">
        <f>DATE(YEAR(M81)+1,MONTH(M81),DAY(M81))</f>
        <v>49049</v>
      </c>
      <c r="O81" s="97">
        <f>DATE(YEAR(N81)+1,MONTH(N81),DAY(N81))</f>
        <v>49414</v>
      </c>
      <c r="P81" s="97">
        <f>DATE(YEAR(O81)+1,MONTH(O81),DAY(O81))</f>
        <v>49780</v>
      </c>
      <c r="Q81" s="97">
        <f>DATE(YEAR(P81)+1,MONTH(P81),DAY(P81))</f>
        <v>50145</v>
      </c>
      <c r="R81" s="97">
        <f>DATE(YEAR(Q81)+1,MONTH(Q81),DAY(Q81))</f>
        <v>50510</v>
      </c>
      <c r="S81" s="1"/>
      <c r="T81" s="1"/>
    </row>
    <row r="82" spans="1:20" x14ac:dyDescent="0.2">
      <c r="A82" s="1"/>
      <c r="B82" s="1" t="s">
        <v>126</v>
      </c>
      <c r="C82" s="1"/>
      <c r="D82" s="1"/>
      <c r="E82" s="1"/>
      <c r="F82" s="82">
        <f ca="1">+F79/F80</f>
        <v>3.4721246929561609</v>
      </c>
      <c r="G82" s="1"/>
      <c r="H82" s="1"/>
      <c r="I82" s="1"/>
      <c r="J82" s="1"/>
      <c r="K82" s="102" t="s">
        <v>136</v>
      </c>
      <c r="L82" s="101"/>
      <c r="M82" s="101"/>
      <c r="N82" s="101"/>
      <c r="O82" s="101"/>
      <c r="P82" s="101"/>
      <c r="Q82" s="101"/>
      <c r="R82" s="105"/>
      <c r="S82" s="1"/>
      <c r="T82" s="1"/>
    </row>
    <row r="83" spans="1:20" x14ac:dyDescent="0.2">
      <c r="A83" s="1"/>
      <c r="B83" s="1" t="s">
        <v>127</v>
      </c>
      <c r="C83" s="1"/>
      <c r="D83" s="1"/>
      <c r="E83" s="1"/>
      <c r="F83" s="82">
        <f ca="1">+F56/SeriesB!H23</f>
        <v>4.2293436686789834</v>
      </c>
      <c r="G83" s="1"/>
      <c r="H83" s="1"/>
      <c r="I83" s="1"/>
      <c r="J83" s="82">
        <v>0.5</v>
      </c>
      <c r="K83" s="103">
        <f ca="1">IFERROR(XIRR(K100:K102,K103:K105),"")</f>
        <v>2.9802322387695314E-9</v>
      </c>
      <c r="L83" s="5">
        <f ca="1">IFERROR(XIRR(L100:L102,L103:L105),"")</f>
        <v>2.9802322387695314E-9</v>
      </c>
      <c r="M83" s="5">
        <f ca="1">IFERROR(XIRR(M100:M102,M103:M105),"")</f>
        <v>2.9802322387695314E-9</v>
      </c>
      <c r="N83" s="5">
        <f ca="1">IFERROR(XIRR(N100:N102,N103:N105),"")</f>
        <v>2.9802322387695314E-9</v>
      </c>
      <c r="O83" s="5">
        <f ca="1">IFERROR(XIRR(O100:O102,O103:O105),"")</f>
        <v>2.9802322387695314E-9</v>
      </c>
      <c r="P83" s="5">
        <f ca="1">IFERROR(XIRR(P100:P102,P103:P105),"")</f>
        <v>2.9802322387695314E-9</v>
      </c>
      <c r="Q83" s="5">
        <f ca="1">IFERROR(XIRR(Q100:Q102,Q103:Q105),"")</f>
        <v>2.9802322387695314E-9</v>
      </c>
      <c r="R83" s="106">
        <f ca="1">IFERROR(XIRR(R100:R102,R103:R105),"")</f>
        <v>2.9802322387695314E-9</v>
      </c>
      <c r="S83" s="1"/>
      <c r="T83" s="1"/>
    </row>
    <row r="84" spans="1:20" x14ac:dyDescent="0.2">
      <c r="A84" s="1"/>
      <c r="B84" s="1" t="s">
        <v>103</v>
      </c>
      <c r="C84" s="1"/>
      <c r="D84" s="1"/>
      <c r="E84" s="1"/>
      <c r="F84" s="5">
        <f ca="1">XIRR(F86:F88,E86:E88)</f>
        <v>0.68731524348258977</v>
      </c>
      <c r="G84" s="1"/>
      <c r="H84" s="1"/>
      <c r="I84" s="1"/>
      <c r="J84" s="82">
        <f>J83+0.5</f>
        <v>1</v>
      </c>
      <c r="K84" s="103">
        <f ca="1">IFERROR(XIRR(K106:K108,K109:K111),"")</f>
        <v>8.2341000437736525E-2</v>
      </c>
      <c r="L84" s="5">
        <f ca="1">IFERROR(XIRR(L106:L108,L109:L111),"")</f>
        <v>6.6003397107124315E-2</v>
      </c>
      <c r="M84" s="5">
        <f ca="1">IFERROR(XIRR(M106:M108,M109:M111),"")</f>
        <v>5.5077901482582084E-2</v>
      </c>
      <c r="N84" s="5">
        <f ca="1">IFERROR(XIRR(N106:N108,N109:N111),"")</f>
        <v>4.7245898842811593E-2</v>
      </c>
      <c r="O84" s="5">
        <f ca="1">IFERROR(XIRR(O106:O108,O109:O111),"")</f>
        <v>4.1359201073646559E-2</v>
      </c>
      <c r="P84" s="5">
        <f ca="1">IFERROR(XIRR(P106:P108,P109:P111),"")</f>
        <v>3.676318228244782E-2</v>
      </c>
      <c r="Q84" s="5">
        <f ca="1">IFERROR(XIRR(Q106:Q108,Q109:Q111),"")</f>
        <v>3.3094033598899841E-2</v>
      </c>
      <c r="R84" s="106">
        <f ca="1">IFERROR(XIRR(R106:R108,R109:R111),"")</f>
        <v>3.0089935660362242E-2</v>
      </c>
      <c r="S84" s="1"/>
      <c r="T84" s="1"/>
    </row>
    <row r="85" spans="1:20" x14ac:dyDescent="0.2">
      <c r="A85" s="1"/>
      <c r="B85" s="1"/>
      <c r="C85" s="1"/>
      <c r="D85" s="1"/>
      <c r="E85" s="1"/>
      <c r="F85" s="1"/>
      <c r="G85" s="1"/>
      <c r="H85" s="1"/>
      <c r="I85" s="1"/>
      <c r="J85" s="82">
        <f>J84+0.5</f>
        <v>1.5</v>
      </c>
      <c r="K85" s="103">
        <f ca="1">IFERROR(XIRR(K112:K114,K115:K117),"")</f>
        <v>0.18957399725914001</v>
      </c>
      <c r="L85" s="5">
        <f ca="1">IFERROR(XIRR(L112:L114,L115:L117),"")</f>
        <v>0.15111675858497622</v>
      </c>
      <c r="M85" s="5">
        <f ca="1">IFERROR(XIRR(M112:M114,M115:M117),"")</f>
        <v>0.12557284235954289</v>
      </c>
      <c r="N85" s="5">
        <f ca="1">IFERROR(XIRR(N112:N114,N115:N117),"")</f>
        <v>0.10736491084098815</v>
      </c>
      <c r="O85" s="5">
        <f ca="1">IFERROR(XIRR(O112:O114,O115:O117),"")</f>
        <v>9.3743470311164867E-2</v>
      </c>
      <c r="P85" s="5">
        <f ca="1">IFERROR(XIRR(P112:P114,P115:P117),"")</f>
        <v>8.3150038123130807E-2</v>
      </c>
      <c r="Q85" s="5">
        <f ca="1">IFERROR(XIRR(Q112:Q114,Q115:Q117),"")</f>
        <v>7.4720707535743711E-2</v>
      </c>
      <c r="R85" s="106">
        <f ca="1">IFERROR(XIRR(R112:R114,R115:R117),"")</f>
        <v>6.7838421463966375E-2</v>
      </c>
      <c r="S85" s="1"/>
      <c r="T85" s="1"/>
    </row>
    <row r="86" spans="1:20" x14ac:dyDescent="0.2">
      <c r="A86" s="1"/>
      <c r="B86" s="1" t="s">
        <v>104</v>
      </c>
      <c r="C86" s="1"/>
      <c r="D86" s="1" t="s">
        <v>54</v>
      </c>
      <c r="E86" s="97">
        <f>C4</f>
        <v>46127</v>
      </c>
      <c r="F86" s="15">
        <f>-SeriesB!G18</f>
        <v>-12000000</v>
      </c>
      <c r="G86" s="1"/>
      <c r="H86" s="1"/>
      <c r="I86" s="1"/>
      <c r="J86" s="82">
        <f>J85+0.5</f>
        <v>2</v>
      </c>
      <c r="K86" s="103">
        <f ca="1">IFERROR(XIRR(K118:K120,K121:K123),"")</f>
        <v>0.27112039923667908</v>
      </c>
      <c r="L86" s="5">
        <f ca="1">IFERROR(XIRR(L118:L120,L121:L123),"")</f>
        <v>0.21524341702461244</v>
      </c>
      <c r="M86" s="5">
        <f ca="1">IFERROR(XIRR(M118:M120,M121:M123),"")</f>
        <v>0.1783150136470795</v>
      </c>
      <c r="N86" s="5">
        <f ca="1">IFERROR(XIRR(N118:N120,N121:N123),"")</f>
        <v>0.15209991335868833</v>
      </c>
      <c r="O86" s="5">
        <f ca="1">IFERROR(XIRR(O118:O120,O121:O123),"")</f>
        <v>0.13255420327186587</v>
      </c>
      <c r="P86" s="5">
        <f ca="1">IFERROR(XIRR(P118:P120,P121:P123),"")</f>
        <v>0.11739588379859925</v>
      </c>
      <c r="Q86" s="5">
        <f ca="1">IFERROR(XIRR(Q118:Q120,Q121:Q123),"")</f>
        <v>0.10536248087882996</v>
      </c>
      <c r="R86" s="106">
        <f ca="1">IFERROR(XIRR(R118:R120,R121:R123),"")</f>
        <v>9.5557078719139085E-2</v>
      </c>
      <c r="S86" s="1"/>
      <c r="T86" s="1"/>
    </row>
    <row r="87" spans="1:20" x14ac:dyDescent="0.2">
      <c r="A87" s="1"/>
      <c r="B87" s="1"/>
      <c r="C87" s="1"/>
      <c r="D87" s="1" t="s">
        <v>74</v>
      </c>
      <c r="E87" s="97">
        <f>DATE(YEAR(E86),MONTH(E86)+24,DAY(E86))</f>
        <v>46858</v>
      </c>
      <c r="F87" s="15">
        <f>-SeriesB!L18</f>
        <v>-9000000</v>
      </c>
      <c r="G87" s="1"/>
      <c r="H87" s="1"/>
      <c r="I87" s="1"/>
      <c r="J87" s="82">
        <f>J86+0.5</f>
        <v>2.5</v>
      </c>
      <c r="K87" s="103">
        <f ca="1">IFERROR(XIRR(K124:K126,K127:K129),"")</f>
        <v>0.33740331530570988</v>
      </c>
      <c r="L87" s="5">
        <f ca="1">IFERROR(XIRR(L124:L126,L127:L129),"")</f>
        <v>0.26700499653816223</v>
      </c>
      <c r="M87" s="5">
        <f ca="1">IFERROR(XIRR(M124:M126,M127:M129),"")</f>
        <v>0.22066647410392759</v>
      </c>
      <c r="N87" s="5">
        <f ca="1">IFERROR(XIRR(N124:N126,N127:N129),"")</f>
        <v>0.18787726759910581</v>
      </c>
      <c r="O87" s="5">
        <f ca="1">IFERROR(XIRR(O124:O126,O127:O129),"")</f>
        <v>0.16349419951438909</v>
      </c>
      <c r="P87" s="5">
        <f ca="1">IFERROR(XIRR(P124:P126,P127:P129),"")</f>
        <v>0.14462545514106753</v>
      </c>
      <c r="Q87" s="5">
        <f ca="1">IFERROR(XIRR(Q124:Q126,Q127:Q129),"")</f>
        <v>0.12967378497123719</v>
      </c>
      <c r="R87" s="106">
        <f ca="1">IFERROR(XIRR(R124:R126,R127:R129),"")</f>
        <v>0.11750922799110414</v>
      </c>
      <c r="S87" s="1"/>
      <c r="T87" s="1"/>
    </row>
    <row r="88" spans="1:20" x14ac:dyDescent="0.2">
      <c r="A88" s="1"/>
      <c r="B88" s="1"/>
      <c r="C88" s="1"/>
      <c r="D88" s="1" t="s">
        <v>105</v>
      </c>
      <c r="E88" s="97">
        <f>C8</f>
        <v>47223</v>
      </c>
      <c r="F88" s="15">
        <f ca="1">F79</f>
        <v>72914618.55207938</v>
      </c>
      <c r="G88" s="1"/>
      <c r="H88" s="1"/>
      <c r="I88" s="1"/>
      <c r="J88" s="82">
        <f>J87+0.5</f>
        <v>3</v>
      </c>
      <c r="K88" s="103">
        <f ca="1">IFERROR(XIRR(K130:K132,K133:K135),"")</f>
        <v>0.39361494183540346</v>
      </c>
      <c r="L88" s="5">
        <f ca="1">IFERROR(XIRR(L130:L132,L133:L135),"")</f>
        <v>0.31065623164176959</v>
      </c>
      <c r="M88" s="5">
        <f ca="1">IFERROR(XIRR(M130:M132,M133:M135),"")</f>
        <v>0.25623417496681211</v>
      </c>
      <c r="N88" s="5">
        <f ca="1">IFERROR(XIRR(N130:N132,N133:N135),"")</f>
        <v>0.21782781481742858</v>
      </c>
      <c r="O88" s="5">
        <f ca="1">IFERROR(XIRR(O130:O132,O133:O135),"")</f>
        <v>0.18932936787605287</v>
      </c>
      <c r="P88" s="5">
        <f ca="1">IFERROR(XIRR(P130:P132,P133:P135),"")</f>
        <v>0.16731526255607607</v>
      </c>
      <c r="Q88" s="5">
        <f ca="1">IFERROR(XIRR(Q130:Q132,Q133:Q135),"")</f>
        <v>0.14989721179008486</v>
      </c>
      <c r="R88" s="106">
        <f ca="1">IFERROR(XIRR(R130:R132,R133:R135),"")</f>
        <v>0.13574387431144713</v>
      </c>
      <c r="S88" s="1"/>
      <c r="T88" s="1"/>
    </row>
    <row r="89" spans="1:20" x14ac:dyDescent="0.2">
      <c r="A89" s="1"/>
      <c r="B89" s="1"/>
      <c r="C89" s="1"/>
      <c r="D89" s="1"/>
      <c r="E89" s="1"/>
      <c r="F89" s="1"/>
      <c r="G89" s="1"/>
      <c r="H89" s="1"/>
      <c r="I89" s="1"/>
      <c r="J89" s="82">
        <f>J88+0.5</f>
        <v>3.5</v>
      </c>
      <c r="K89" s="103">
        <f ca="1">IFERROR(XIRR(K136:K138,K139:K141),"")</f>
        <v>0.44263613820075975</v>
      </c>
      <c r="L89" s="5">
        <f ca="1">IFERROR(XIRR(L136:L138,L139:L141),"")</f>
        <v>0.34854492545127869</v>
      </c>
      <c r="M89" s="5">
        <f ca="1">IFERROR(XIRR(M136:M138,M139:M141),"")</f>
        <v>0.28699979186058044</v>
      </c>
      <c r="N89" s="5">
        <f ca="1">IFERROR(XIRR(N136:N138,N139:N141),"")</f>
        <v>0.24366576075553895</v>
      </c>
      <c r="O89" s="5">
        <f ca="1">IFERROR(XIRR(O136:O138,O139:O141),"")</f>
        <v>0.21156999468803406</v>
      </c>
      <c r="P89" s="5">
        <f ca="1">IFERROR(XIRR(P136:P138,P139:P141),"")</f>
        <v>0.1868145763874054</v>
      </c>
      <c r="Q89" s="5">
        <f ca="1">IFERROR(XIRR(Q136:Q138,Q139:Q141),"")</f>
        <v>0.16725226044654845</v>
      </c>
      <c r="R89" s="106">
        <f ca="1">IFERROR(XIRR(R136:R138,R139:R141),"")</f>
        <v>0.15137353539466855</v>
      </c>
      <c r="S89" s="1"/>
      <c r="T89" s="1"/>
    </row>
    <row r="90" spans="1:20" x14ac:dyDescent="0.2">
      <c r="A90" s="1"/>
      <c r="B90" s="1"/>
      <c r="C90" s="1"/>
      <c r="D90" s="1"/>
      <c r="E90" s="1"/>
      <c r="F90" s="1"/>
      <c r="G90" s="1"/>
      <c r="H90" s="1"/>
      <c r="I90" s="1"/>
      <c r="J90" s="82">
        <f>J89+0.5</f>
        <v>4</v>
      </c>
      <c r="K90" s="103">
        <f ca="1">IFERROR(XIRR(K142:K144,K145:K147),"")</f>
        <v>0.48624215722084041</v>
      </c>
      <c r="L90" s="5">
        <f ca="1">IFERROR(XIRR(L142:L144,L145:L147),"")</f>
        <v>0.38211143612861631</v>
      </c>
      <c r="M90" s="5">
        <f ca="1">IFERROR(XIRR(M142:M144,M145:M147),"")</f>
        <v>0.31417489647865304</v>
      </c>
      <c r="N90" s="5">
        <f ca="1">IFERROR(XIRR(N142:N144,N145:N147),"")</f>
        <v>0.26643624901771557</v>
      </c>
      <c r="O90" s="5">
        <f ca="1">IFERROR(XIRR(O142:O144,O145:O147),"")</f>
        <v>0.23113483786582947</v>
      </c>
      <c r="P90" s="5">
        <f ca="1">IFERROR(XIRR(P142:P144,P145:P147),"")</f>
        <v>0.20394268631935122</v>
      </c>
      <c r="Q90" s="5">
        <f ca="1">IFERROR(XIRR(Q142:Q144,Q145:Q147),"")</f>
        <v>0.18247836232185366</v>
      </c>
      <c r="R90" s="106">
        <f ca="1">IFERROR(XIRR(R142:R144,R145:R147),"")</f>
        <v>0.16507188677787782</v>
      </c>
      <c r="S90" s="1"/>
      <c r="T90" s="1"/>
    </row>
    <row r="91" spans="1:20" x14ac:dyDescent="0.2">
      <c r="A91" s="1"/>
      <c r="B91" s="1"/>
      <c r="C91" s="1"/>
      <c r="D91" s="1"/>
      <c r="E91" s="1"/>
      <c r="F91" s="1"/>
      <c r="G91" s="1"/>
      <c r="H91" s="1"/>
      <c r="I91" s="1"/>
      <c r="J91" s="82">
        <f>J90+0.5</f>
        <v>4.5</v>
      </c>
      <c r="K91" s="108">
        <f ca="1">IFERROR(XIRR(K148:K150,K151:K153),"")</f>
        <v>0.52560927271842961</v>
      </c>
      <c r="L91" s="109">
        <f ca="1">IFERROR(XIRR(L148:L150,L151:L153),"")</f>
        <v>0.41230657696723938</v>
      </c>
      <c r="M91" s="109">
        <f ca="1">IFERROR(XIRR(M148:M150,M151:M153),"")</f>
        <v>0.33855686783790595</v>
      </c>
      <c r="N91" s="109">
        <f ca="1">IFERROR(XIRR(N148:N150,N151:N153),"")</f>
        <v>0.28682556748390198</v>
      </c>
      <c r="O91" s="109">
        <f ca="1">IFERROR(XIRR(O148:O150,O151:O153),"")</f>
        <v>0.24862604737281802</v>
      </c>
      <c r="P91" s="109">
        <f ca="1">IFERROR(XIRR(P148:P150,P151:P153),"")</f>
        <v>0.21923574805259702</v>
      </c>
      <c r="Q91" s="109">
        <f ca="1">IFERROR(XIRR(Q148:Q150,Q151:Q153),"")</f>
        <v>0.19605877995491028</v>
      </c>
      <c r="R91" s="110">
        <f ca="1">IFERROR(XIRR(R148:R150,R151:R153),"")</f>
        <v>0.17727878689765933</v>
      </c>
      <c r="S91" s="1"/>
      <c r="T91" s="1"/>
    </row>
    <row r="92" spans="1:20" x14ac:dyDescent="0.2">
      <c r="A92" s="1"/>
      <c r="B92" s="1"/>
      <c r="C92" s="1"/>
      <c r="D92" s="1"/>
      <c r="E92" s="1"/>
      <c r="F92" s="1"/>
      <c r="G92" s="1"/>
      <c r="H92" s="1"/>
      <c r="I92" s="1" t="str">
        <f>CONCATENATE("* Multiple of Series B post-money valuation of ",TEXT(F12/1000000,"$0"),"mm")</f>
        <v>* Multiple of Series B post-money valuation of $180mm</v>
      </c>
      <c r="J92" s="1"/>
      <c r="K92" s="104"/>
      <c r="L92" s="1"/>
      <c r="M92" s="1"/>
      <c r="N92" s="1"/>
      <c r="O92" s="1"/>
      <c r="P92" s="1"/>
      <c r="Q92" s="1"/>
      <c r="R92" s="107"/>
      <c r="S92" s="1"/>
      <c r="T92" s="1"/>
    </row>
    <row r="100" spans="11:18" x14ac:dyDescent="0.2">
      <c r="K100">
        <f>-SeriesB!$G$18</f>
        <v>-12000000</v>
      </c>
      <c r="L100">
        <f>-SeriesB!$G$18</f>
        <v>-12000000</v>
      </c>
      <c r="M100">
        <f>-SeriesB!$G$18</f>
        <v>-12000000</v>
      </c>
      <c r="N100">
        <f>-SeriesB!$G$18</f>
        <v>-12000000</v>
      </c>
      <c r="O100">
        <f>-SeriesB!$G$18</f>
        <v>-12000000</v>
      </c>
      <c r="P100">
        <f>-SeriesB!$G$18</f>
        <v>-12000000</v>
      </c>
      <c r="Q100">
        <f>-SeriesB!$G$18</f>
        <v>-12000000</v>
      </c>
      <c r="R100">
        <f>-SeriesB!$G$18</f>
        <v>-12000000</v>
      </c>
    </row>
    <row r="101" spans="11:18" x14ac:dyDescent="0.2">
      <c r="K101">
        <f>-SeriesB!$L$18</f>
        <v>-9000000</v>
      </c>
      <c r="L101">
        <f>-SeriesB!$L$18</f>
        <v>-9000000</v>
      </c>
      <c r="M101">
        <f>-SeriesB!$L$18</f>
        <v>-9000000</v>
      </c>
      <c r="N101">
        <f>-SeriesB!$L$18</f>
        <v>-9000000</v>
      </c>
      <c r="O101">
        <f>-SeriesB!$L$18</f>
        <v>-9000000</v>
      </c>
      <c r="P101">
        <f>-SeriesB!$L$18</f>
        <v>-9000000</v>
      </c>
      <c r="Q101">
        <f>-SeriesB!$L$18</f>
        <v>-9000000</v>
      </c>
      <c r="R101">
        <f>-SeriesB!$L$18</f>
        <v>-9000000</v>
      </c>
    </row>
    <row r="102" spans="11:18" x14ac:dyDescent="0.2">
      <c r="K102">
        <f ca="1">IF((($J$83*$F$12*0.985)/SeriesB!$Q$21)&gt;=SeriesB!$M$23,(($J$83*$F$12*0.985)/SeriesB!$Q$21)*(SeriesB!$H$18+SeriesB!$M$18),IF(((($J$83*$F$12*0.985)-SeriesB!$L$21)/(SeriesB!$Q$21-SeriesB!$M$21))&gt;=SeriesB!$H$23,((($J$83*$F$12*0.985)-SeriesB!$L$21)/(SeriesB!$Q$21-SeriesB!$M$21))*SeriesB!$H$18+SeriesB!$L$18,SeriesB!$G$18+SeriesB!$L$18))</f>
        <v>21000000</v>
      </c>
      <c r="L102">
        <f ca="1">IF((($J$83*$F$12*0.985)/SeriesB!$Q$21)&gt;=SeriesB!$M$23,(($J$83*$F$12*0.985)/SeriesB!$Q$21)*(SeriesB!$H$18+SeriesB!$M$18),IF(((($J$83*$F$12*0.985)-SeriesB!$L$21)/(SeriesB!$Q$21-SeriesB!$M$21))&gt;=SeriesB!$H$23,((($J$83*$F$12*0.985)-SeriesB!$L$21)/(SeriesB!$Q$21-SeriesB!$M$21))*SeriesB!$H$18+SeriesB!$L$18,SeriesB!$G$18+SeriesB!$L$18))</f>
        <v>21000000</v>
      </c>
      <c r="M102">
        <f ca="1">IF((($J$83*$F$12*0.985)/SeriesB!$Q$21)&gt;=SeriesB!$M$23,(($J$83*$F$12*0.985)/SeriesB!$Q$21)*(SeriesB!$H$18+SeriesB!$M$18),IF(((($J$83*$F$12*0.985)-SeriesB!$L$21)/(SeriesB!$Q$21-SeriesB!$M$21))&gt;=SeriesB!$H$23,((($J$83*$F$12*0.985)-SeriesB!$L$21)/(SeriesB!$Q$21-SeriesB!$M$21))*SeriesB!$H$18+SeriesB!$L$18,SeriesB!$G$18+SeriesB!$L$18))</f>
        <v>21000000</v>
      </c>
      <c r="N102">
        <f ca="1">IF((($J$83*$F$12*0.985)/SeriesB!$Q$21)&gt;=SeriesB!$M$23,(($J$83*$F$12*0.985)/SeriesB!$Q$21)*(SeriesB!$H$18+SeriesB!$M$18),IF(((($J$83*$F$12*0.985)-SeriesB!$L$21)/(SeriesB!$Q$21-SeriesB!$M$21))&gt;=SeriesB!$H$23,((($J$83*$F$12*0.985)-SeriesB!$L$21)/(SeriesB!$Q$21-SeriesB!$M$21))*SeriesB!$H$18+SeriesB!$L$18,SeriesB!$G$18+SeriesB!$L$18))</f>
        <v>21000000</v>
      </c>
      <c r="O102">
        <f ca="1">IF((($J$83*$F$12*0.985)/SeriesB!$Q$21)&gt;=SeriesB!$M$23,(($J$83*$F$12*0.985)/SeriesB!$Q$21)*(SeriesB!$H$18+SeriesB!$M$18),IF(((($J$83*$F$12*0.985)-SeriesB!$L$21)/(SeriesB!$Q$21-SeriesB!$M$21))&gt;=SeriesB!$H$23,((($J$83*$F$12*0.985)-SeriesB!$L$21)/(SeriesB!$Q$21-SeriesB!$M$21))*SeriesB!$H$18+SeriesB!$L$18,SeriesB!$G$18+SeriesB!$L$18))</f>
        <v>21000000</v>
      </c>
      <c r="P102">
        <f ca="1">IF((($J$83*$F$12*0.985)/SeriesB!$Q$21)&gt;=SeriesB!$M$23,(($J$83*$F$12*0.985)/SeriesB!$Q$21)*(SeriesB!$H$18+SeriesB!$M$18),IF(((($J$83*$F$12*0.985)-SeriesB!$L$21)/(SeriesB!$Q$21-SeriesB!$M$21))&gt;=SeriesB!$H$23,((($J$83*$F$12*0.985)-SeriesB!$L$21)/(SeriesB!$Q$21-SeriesB!$M$21))*SeriesB!$H$18+SeriesB!$L$18,SeriesB!$G$18+SeriesB!$L$18))</f>
        <v>21000000</v>
      </c>
      <c r="Q102">
        <f ca="1">IF((($J$83*$F$12*0.985)/SeriesB!$Q$21)&gt;=SeriesB!$M$23,(($J$83*$F$12*0.985)/SeriesB!$Q$21)*(SeriesB!$H$18+SeriesB!$M$18),IF(((($J$83*$F$12*0.985)-SeriesB!$L$21)/(SeriesB!$Q$21-SeriesB!$M$21))&gt;=SeriesB!$H$23,((($J$83*$F$12*0.985)-SeriesB!$L$21)/(SeriesB!$Q$21-SeriesB!$M$21))*SeriesB!$H$18+SeriesB!$L$18,SeriesB!$G$18+SeriesB!$L$18))</f>
        <v>21000000</v>
      </c>
      <c r="R102">
        <f ca="1">IF((($J$83*$F$12*0.985)/SeriesB!$Q$21)&gt;=SeriesB!$M$23,(($J$83*$F$12*0.985)/SeriesB!$Q$21)*(SeriesB!$H$18+SeriesB!$M$18),IF(((($J$83*$F$12*0.985)-SeriesB!$L$21)/(SeriesB!$Q$21-SeriesB!$M$21))&gt;=SeriesB!$H$23,((($J$83*$F$12*0.985)-SeriesB!$L$21)/(SeriesB!$Q$21-SeriesB!$M$21))*SeriesB!$H$18+SeriesB!$L$18,SeriesB!$G$18+SeriesB!$L$18))</f>
        <v>21000000</v>
      </c>
    </row>
    <row r="103" spans="11:18" x14ac:dyDescent="0.2">
      <c r="K103">
        <f>$E$86</f>
        <v>46127</v>
      </c>
      <c r="L103">
        <f>$E$86</f>
        <v>46127</v>
      </c>
      <c r="M103">
        <f>$E$86</f>
        <v>46127</v>
      </c>
      <c r="N103">
        <f>$E$86</f>
        <v>46127</v>
      </c>
      <c r="O103">
        <f>$E$86</f>
        <v>46127</v>
      </c>
      <c r="P103">
        <f>$E$86</f>
        <v>46127</v>
      </c>
      <c r="Q103">
        <f>$E$86</f>
        <v>46127</v>
      </c>
      <c r="R103">
        <f>$E$86</f>
        <v>46127</v>
      </c>
    </row>
    <row r="104" spans="11:18" x14ac:dyDescent="0.2">
      <c r="K104">
        <f>$E$87</f>
        <v>46858</v>
      </c>
      <c r="L104">
        <f>$E$87</f>
        <v>46858</v>
      </c>
      <c r="M104">
        <f>$E$87</f>
        <v>46858</v>
      </c>
      <c r="N104">
        <f>$E$87</f>
        <v>46858</v>
      </c>
      <c r="O104">
        <f>$E$87</f>
        <v>46858</v>
      </c>
      <c r="P104">
        <f>$E$87</f>
        <v>46858</v>
      </c>
      <c r="Q104">
        <f>$E$87</f>
        <v>46858</v>
      </c>
      <c r="R104">
        <f>$E$87</f>
        <v>46858</v>
      </c>
    </row>
    <row r="105" spans="11:18" x14ac:dyDescent="0.2">
      <c r="K105">
        <f>K$81</f>
        <v>47953</v>
      </c>
      <c r="L105">
        <f>L$81</f>
        <v>48319</v>
      </c>
      <c r="M105">
        <f>M$81</f>
        <v>48684</v>
      </c>
      <c r="N105">
        <f>N$81</f>
        <v>49049</v>
      </c>
      <c r="O105">
        <f>O$81</f>
        <v>49414</v>
      </c>
      <c r="P105">
        <f>P$81</f>
        <v>49780</v>
      </c>
      <c r="Q105">
        <f>Q$81</f>
        <v>50145</v>
      </c>
      <c r="R105">
        <f>R$81</f>
        <v>50510</v>
      </c>
    </row>
    <row r="106" spans="11:18" x14ac:dyDescent="0.2">
      <c r="K106">
        <f>-SeriesB!$G$18</f>
        <v>-12000000</v>
      </c>
      <c r="L106">
        <f>-SeriesB!$G$18</f>
        <v>-12000000</v>
      </c>
      <c r="M106">
        <f>-SeriesB!$G$18</f>
        <v>-12000000</v>
      </c>
      <c r="N106">
        <f>-SeriesB!$G$18</f>
        <v>-12000000</v>
      </c>
      <c r="O106">
        <f>-SeriesB!$G$18</f>
        <v>-12000000</v>
      </c>
      <c r="P106">
        <f>-SeriesB!$G$18</f>
        <v>-12000000</v>
      </c>
      <c r="Q106">
        <f>-SeriesB!$G$18</f>
        <v>-12000000</v>
      </c>
      <c r="R106">
        <f>-SeriesB!$G$18</f>
        <v>-12000000</v>
      </c>
    </row>
    <row r="107" spans="11:18" x14ac:dyDescent="0.2">
      <c r="K107">
        <f>-SeriesB!$L$18</f>
        <v>-9000000</v>
      </c>
      <c r="L107">
        <f>-SeriesB!$L$18</f>
        <v>-9000000</v>
      </c>
      <c r="M107">
        <f>-SeriesB!$L$18</f>
        <v>-9000000</v>
      </c>
      <c r="N107">
        <f>-SeriesB!$L$18</f>
        <v>-9000000</v>
      </c>
      <c r="O107">
        <f>-SeriesB!$L$18</f>
        <v>-9000000</v>
      </c>
      <c r="P107">
        <f>-SeriesB!$L$18</f>
        <v>-9000000</v>
      </c>
      <c r="Q107">
        <f>-SeriesB!$L$18</f>
        <v>-9000000</v>
      </c>
      <c r="R107">
        <f>-SeriesB!$L$18</f>
        <v>-9000000</v>
      </c>
    </row>
    <row r="108" spans="11:18" x14ac:dyDescent="0.2">
      <c r="K108">
        <f ca="1">IF((($J$84*$F$12*0.985)/SeriesB!$Q$21)&gt;=SeriesB!$M$23,(($J$84*$F$12*0.985)/SeriesB!$Q$21)*(SeriesB!$H$18+SeriesB!$M$18),IF(((($J$84*$F$12*0.985)-SeriesB!$L$21)/(SeriesB!$Q$21-SeriesB!$M$21))&gt;=SeriesB!$H$23,((($J$84*$F$12*0.985)-SeriesB!$L$21)/(SeriesB!$Q$21-SeriesB!$M$21))*SeriesB!$H$18+SeriesB!$L$18,SeriesB!$G$18+SeriesB!$L$18))</f>
        <v>29239018.686339136</v>
      </c>
      <c r="L108">
        <f ca="1">IF((($J$84*$F$12*0.985)/SeriesB!$Q$21)&gt;=SeriesB!$M$23,(($J$84*$F$12*0.985)/SeriesB!$Q$21)*(SeriesB!$H$18+SeriesB!$M$18),IF(((($J$84*$F$12*0.985)-SeriesB!$L$21)/(SeriesB!$Q$21-SeriesB!$M$21))&gt;=SeriesB!$H$23,((($J$84*$F$12*0.985)-SeriesB!$L$21)/(SeriesB!$Q$21-SeriesB!$M$21))*SeriesB!$H$18+SeriesB!$L$18,SeriesB!$G$18+SeriesB!$L$18))</f>
        <v>29239018.686339136</v>
      </c>
      <c r="M108">
        <f ca="1">IF((($J$84*$F$12*0.985)/SeriesB!$Q$21)&gt;=SeriesB!$M$23,(($J$84*$F$12*0.985)/SeriesB!$Q$21)*(SeriesB!$H$18+SeriesB!$M$18),IF(((($J$84*$F$12*0.985)-SeriesB!$L$21)/(SeriesB!$Q$21-SeriesB!$M$21))&gt;=SeriesB!$H$23,((($J$84*$F$12*0.985)-SeriesB!$L$21)/(SeriesB!$Q$21-SeriesB!$M$21))*SeriesB!$H$18+SeriesB!$L$18,SeriesB!$G$18+SeriesB!$L$18))</f>
        <v>29239018.686339136</v>
      </c>
      <c r="N108">
        <f ca="1">IF((($J$84*$F$12*0.985)/SeriesB!$Q$21)&gt;=SeriesB!$M$23,(($J$84*$F$12*0.985)/SeriesB!$Q$21)*(SeriesB!$H$18+SeriesB!$M$18),IF(((($J$84*$F$12*0.985)-SeriesB!$L$21)/(SeriesB!$Q$21-SeriesB!$M$21))&gt;=SeriesB!$H$23,((($J$84*$F$12*0.985)-SeriesB!$L$21)/(SeriesB!$Q$21-SeriesB!$M$21))*SeriesB!$H$18+SeriesB!$L$18,SeriesB!$G$18+SeriesB!$L$18))</f>
        <v>29239018.686339136</v>
      </c>
      <c r="O108">
        <f ca="1">IF((($J$84*$F$12*0.985)/SeriesB!$Q$21)&gt;=SeriesB!$M$23,(($J$84*$F$12*0.985)/SeriesB!$Q$21)*(SeriesB!$H$18+SeriesB!$M$18),IF(((($J$84*$F$12*0.985)-SeriesB!$L$21)/(SeriesB!$Q$21-SeriesB!$M$21))&gt;=SeriesB!$H$23,((($J$84*$F$12*0.985)-SeriesB!$L$21)/(SeriesB!$Q$21-SeriesB!$M$21))*SeriesB!$H$18+SeriesB!$L$18,SeriesB!$G$18+SeriesB!$L$18))</f>
        <v>29239018.686339136</v>
      </c>
      <c r="P108">
        <f ca="1">IF((($J$84*$F$12*0.985)/SeriesB!$Q$21)&gt;=SeriesB!$M$23,(($J$84*$F$12*0.985)/SeriesB!$Q$21)*(SeriesB!$H$18+SeriesB!$M$18),IF(((($J$84*$F$12*0.985)-SeriesB!$L$21)/(SeriesB!$Q$21-SeriesB!$M$21))&gt;=SeriesB!$H$23,((($J$84*$F$12*0.985)-SeriesB!$L$21)/(SeriesB!$Q$21-SeriesB!$M$21))*SeriesB!$H$18+SeriesB!$L$18,SeriesB!$G$18+SeriesB!$L$18))</f>
        <v>29239018.686339136</v>
      </c>
      <c r="Q108">
        <f ca="1">IF((($J$84*$F$12*0.985)/SeriesB!$Q$21)&gt;=SeriesB!$M$23,(($J$84*$F$12*0.985)/SeriesB!$Q$21)*(SeriesB!$H$18+SeriesB!$M$18),IF(((($J$84*$F$12*0.985)-SeriesB!$L$21)/(SeriesB!$Q$21-SeriesB!$M$21))&gt;=SeriesB!$H$23,((($J$84*$F$12*0.985)-SeriesB!$L$21)/(SeriesB!$Q$21-SeriesB!$M$21))*SeriesB!$H$18+SeriesB!$L$18,SeriesB!$G$18+SeriesB!$L$18))</f>
        <v>29239018.686339136</v>
      </c>
      <c r="R108">
        <f ca="1">IF((($J$84*$F$12*0.985)/SeriesB!$Q$21)&gt;=SeriesB!$M$23,(($J$84*$F$12*0.985)/SeriesB!$Q$21)*(SeriesB!$H$18+SeriesB!$M$18),IF(((($J$84*$F$12*0.985)-SeriesB!$L$21)/(SeriesB!$Q$21-SeriesB!$M$21))&gt;=SeriesB!$H$23,((($J$84*$F$12*0.985)-SeriesB!$L$21)/(SeriesB!$Q$21-SeriesB!$M$21))*SeriesB!$H$18+SeriesB!$L$18,SeriesB!$G$18+SeriesB!$L$18))</f>
        <v>29239018.686339136</v>
      </c>
    </row>
    <row r="109" spans="11:18" x14ac:dyDescent="0.2">
      <c r="K109">
        <f>$E$86</f>
        <v>46127</v>
      </c>
      <c r="L109">
        <f>$E$86</f>
        <v>46127</v>
      </c>
      <c r="M109">
        <f>$E$86</f>
        <v>46127</v>
      </c>
      <c r="N109">
        <f>$E$86</f>
        <v>46127</v>
      </c>
      <c r="O109">
        <f>$E$86</f>
        <v>46127</v>
      </c>
      <c r="P109">
        <f>$E$86</f>
        <v>46127</v>
      </c>
      <c r="Q109">
        <f>$E$86</f>
        <v>46127</v>
      </c>
      <c r="R109">
        <f>$E$86</f>
        <v>46127</v>
      </c>
    </row>
    <row r="110" spans="11:18" x14ac:dyDescent="0.2">
      <c r="K110">
        <f>$E$87</f>
        <v>46858</v>
      </c>
      <c r="L110">
        <f>$E$87</f>
        <v>46858</v>
      </c>
      <c r="M110">
        <f>$E$87</f>
        <v>46858</v>
      </c>
      <c r="N110">
        <f>$E$87</f>
        <v>46858</v>
      </c>
      <c r="O110">
        <f>$E$87</f>
        <v>46858</v>
      </c>
      <c r="P110">
        <f>$E$87</f>
        <v>46858</v>
      </c>
      <c r="Q110">
        <f>$E$87</f>
        <v>46858</v>
      </c>
      <c r="R110">
        <f>$E$87</f>
        <v>46858</v>
      </c>
    </row>
    <row r="111" spans="11:18" x14ac:dyDescent="0.2">
      <c r="K111">
        <f>K$81</f>
        <v>47953</v>
      </c>
      <c r="L111">
        <f>L$81</f>
        <v>48319</v>
      </c>
      <c r="M111">
        <f>M$81</f>
        <v>48684</v>
      </c>
      <c r="N111">
        <f>N$81</f>
        <v>49049</v>
      </c>
      <c r="O111">
        <f>O$81</f>
        <v>49414</v>
      </c>
      <c r="P111">
        <f>P$81</f>
        <v>49780</v>
      </c>
      <c r="Q111">
        <f>Q$81</f>
        <v>50145</v>
      </c>
      <c r="R111">
        <f>R$81</f>
        <v>50510</v>
      </c>
    </row>
    <row r="112" spans="11:18" x14ac:dyDescent="0.2">
      <c r="K112">
        <f>-SeriesB!$G$18</f>
        <v>-12000000</v>
      </c>
      <c r="L112">
        <f>-SeriesB!$G$18</f>
        <v>-12000000</v>
      </c>
      <c r="M112">
        <f>-SeriesB!$G$18</f>
        <v>-12000000</v>
      </c>
      <c r="N112">
        <f>-SeriesB!$G$18</f>
        <v>-12000000</v>
      </c>
      <c r="O112">
        <f>-SeriesB!$G$18</f>
        <v>-12000000</v>
      </c>
      <c r="P112">
        <f>-SeriesB!$G$18</f>
        <v>-12000000</v>
      </c>
      <c r="Q112">
        <f>-SeriesB!$G$18</f>
        <v>-12000000</v>
      </c>
      <c r="R112">
        <f>-SeriesB!$G$18</f>
        <v>-12000000</v>
      </c>
    </row>
    <row r="113" spans="11:18" x14ac:dyDescent="0.2">
      <c r="K113">
        <f>-SeriesB!$L$18</f>
        <v>-9000000</v>
      </c>
      <c r="L113">
        <f>-SeriesB!$L$18</f>
        <v>-9000000</v>
      </c>
      <c r="M113">
        <f>-SeriesB!$L$18</f>
        <v>-9000000</v>
      </c>
      <c r="N113">
        <f>-SeriesB!$L$18</f>
        <v>-9000000</v>
      </c>
      <c r="O113">
        <f>-SeriesB!$L$18</f>
        <v>-9000000</v>
      </c>
      <c r="P113">
        <f>-SeriesB!$L$18</f>
        <v>-9000000</v>
      </c>
      <c r="Q113">
        <f>-SeriesB!$L$18</f>
        <v>-9000000</v>
      </c>
      <c r="R113">
        <f>-SeriesB!$L$18</f>
        <v>-9000000</v>
      </c>
    </row>
    <row r="114" spans="11:18" x14ac:dyDescent="0.2">
      <c r="K114">
        <f ca="1">IF((($J$85*$F$12*0.985)/SeriesB!$Q$21)&gt;=SeriesB!$M$23,(($J$85*$F$12*0.985)/SeriesB!$Q$21)*(SeriesB!$H$18+SeriesB!$M$18),IF(((($J$85*$F$12*0.985)-SeriesB!$L$21)/(SeriesB!$Q$21-SeriesB!$M$21))&gt;=SeriesB!$H$23,((($J$85*$F$12*0.985)-SeriesB!$L$21)/(SeriesB!$Q$21-SeriesB!$M$21))*SeriesB!$H$18+SeriesB!$L$18,SeriesB!$G$18+SeriesB!$L$18))</f>
        <v>43748771.131247632</v>
      </c>
      <c r="L114">
        <f ca="1">IF((($J$85*$F$12*0.985)/SeriesB!$Q$21)&gt;=SeriesB!$M$23,(($J$85*$F$12*0.985)/SeriesB!$Q$21)*(SeriesB!$H$18+SeriesB!$M$18),IF(((($J$85*$F$12*0.985)-SeriesB!$L$21)/(SeriesB!$Q$21-SeriesB!$M$21))&gt;=SeriesB!$H$23,((($J$85*$F$12*0.985)-SeriesB!$L$21)/(SeriesB!$Q$21-SeriesB!$M$21))*SeriesB!$H$18+SeriesB!$L$18,SeriesB!$G$18+SeriesB!$L$18))</f>
        <v>43748771.131247632</v>
      </c>
      <c r="M114">
        <f ca="1">IF((($J$85*$F$12*0.985)/SeriesB!$Q$21)&gt;=SeriesB!$M$23,(($J$85*$F$12*0.985)/SeriesB!$Q$21)*(SeriesB!$H$18+SeriesB!$M$18),IF(((($J$85*$F$12*0.985)-SeriesB!$L$21)/(SeriesB!$Q$21-SeriesB!$M$21))&gt;=SeriesB!$H$23,((($J$85*$F$12*0.985)-SeriesB!$L$21)/(SeriesB!$Q$21-SeriesB!$M$21))*SeriesB!$H$18+SeriesB!$L$18,SeriesB!$G$18+SeriesB!$L$18))</f>
        <v>43748771.131247632</v>
      </c>
      <c r="N114">
        <f ca="1">IF((($J$85*$F$12*0.985)/SeriesB!$Q$21)&gt;=SeriesB!$M$23,(($J$85*$F$12*0.985)/SeriesB!$Q$21)*(SeriesB!$H$18+SeriesB!$M$18),IF(((($J$85*$F$12*0.985)-SeriesB!$L$21)/(SeriesB!$Q$21-SeriesB!$M$21))&gt;=SeriesB!$H$23,((($J$85*$F$12*0.985)-SeriesB!$L$21)/(SeriesB!$Q$21-SeriesB!$M$21))*SeriesB!$H$18+SeriesB!$L$18,SeriesB!$G$18+SeriesB!$L$18))</f>
        <v>43748771.131247632</v>
      </c>
      <c r="O114">
        <f ca="1">IF((($J$85*$F$12*0.985)/SeriesB!$Q$21)&gt;=SeriesB!$M$23,(($J$85*$F$12*0.985)/SeriesB!$Q$21)*(SeriesB!$H$18+SeriesB!$M$18),IF(((($J$85*$F$12*0.985)-SeriesB!$L$21)/(SeriesB!$Q$21-SeriesB!$M$21))&gt;=SeriesB!$H$23,((($J$85*$F$12*0.985)-SeriesB!$L$21)/(SeriesB!$Q$21-SeriesB!$M$21))*SeriesB!$H$18+SeriesB!$L$18,SeriesB!$G$18+SeriesB!$L$18))</f>
        <v>43748771.131247632</v>
      </c>
      <c r="P114">
        <f ca="1">IF((($J$85*$F$12*0.985)/SeriesB!$Q$21)&gt;=SeriesB!$M$23,(($J$85*$F$12*0.985)/SeriesB!$Q$21)*(SeriesB!$H$18+SeriesB!$M$18),IF(((($J$85*$F$12*0.985)-SeriesB!$L$21)/(SeriesB!$Q$21-SeriesB!$M$21))&gt;=SeriesB!$H$23,((($J$85*$F$12*0.985)-SeriesB!$L$21)/(SeriesB!$Q$21-SeriesB!$M$21))*SeriesB!$H$18+SeriesB!$L$18,SeriesB!$G$18+SeriesB!$L$18))</f>
        <v>43748771.131247632</v>
      </c>
      <c r="Q114">
        <f ca="1">IF((($J$85*$F$12*0.985)/SeriesB!$Q$21)&gt;=SeriesB!$M$23,(($J$85*$F$12*0.985)/SeriesB!$Q$21)*(SeriesB!$H$18+SeriesB!$M$18),IF(((($J$85*$F$12*0.985)-SeriesB!$L$21)/(SeriesB!$Q$21-SeriesB!$M$21))&gt;=SeriesB!$H$23,((($J$85*$F$12*0.985)-SeriesB!$L$21)/(SeriesB!$Q$21-SeriesB!$M$21))*SeriesB!$H$18+SeriesB!$L$18,SeriesB!$G$18+SeriesB!$L$18))</f>
        <v>43748771.131247632</v>
      </c>
      <c r="R114">
        <f ca="1">IF((($J$85*$F$12*0.985)/SeriesB!$Q$21)&gt;=SeriesB!$M$23,(($J$85*$F$12*0.985)/SeriesB!$Q$21)*(SeriesB!$H$18+SeriesB!$M$18),IF(((($J$85*$F$12*0.985)-SeriesB!$L$21)/(SeriesB!$Q$21-SeriesB!$M$21))&gt;=SeriesB!$H$23,((($J$85*$F$12*0.985)-SeriesB!$L$21)/(SeriesB!$Q$21-SeriesB!$M$21))*SeriesB!$H$18+SeriesB!$L$18,SeriesB!$G$18+SeriesB!$L$18))</f>
        <v>43748771.131247632</v>
      </c>
    </row>
    <row r="115" spans="11:18" x14ac:dyDescent="0.2">
      <c r="K115">
        <f>$E$86</f>
        <v>46127</v>
      </c>
      <c r="L115">
        <f>$E$86</f>
        <v>46127</v>
      </c>
      <c r="M115">
        <f>$E$86</f>
        <v>46127</v>
      </c>
      <c r="N115">
        <f>$E$86</f>
        <v>46127</v>
      </c>
      <c r="O115">
        <f>$E$86</f>
        <v>46127</v>
      </c>
      <c r="P115">
        <f>$E$86</f>
        <v>46127</v>
      </c>
      <c r="Q115">
        <f>$E$86</f>
        <v>46127</v>
      </c>
      <c r="R115">
        <f>$E$86</f>
        <v>46127</v>
      </c>
    </row>
    <row r="116" spans="11:18" x14ac:dyDescent="0.2">
      <c r="K116">
        <f>$E$87</f>
        <v>46858</v>
      </c>
      <c r="L116">
        <f>$E$87</f>
        <v>46858</v>
      </c>
      <c r="M116">
        <f>$E$87</f>
        <v>46858</v>
      </c>
      <c r="N116">
        <f>$E$87</f>
        <v>46858</v>
      </c>
      <c r="O116">
        <f>$E$87</f>
        <v>46858</v>
      </c>
      <c r="P116">
        <f>$E$87</f>
        <v>46858</v>
      </c>
      <c r="Q116">
        <f>$E$87</f>
        <v>46858</v>
      </c>
      <c r="R116">
        <f>$E$87</f>
        <v>46858</v>
      </c>
    </row>
    <row r="117" spans="11:18" x14ac:dyDescent="0.2">
      <c r="K117">
        <f>K$81</f>
        <v>47953</v>
      </c>
      <c r="L117">
        <f>L$81</f>
        <v>48319</v>
      </c>
      <c r="M117">
        <f>M$81</f>
        <v>48684</v>
      </c>
      <c r="N117">
        <f>N$81</f>
        <v>49049</v>
      </c>
      <c r="O117">
        <f>O$81</f>
        <v>49414</v>
      </c>
      <c r="P117">
        <f>P$81</f>
        <v>49780</v>
      </c>
      <c r="Q117">
        <f>Q$81</f>
        <v>50145</v>
      </c>
      <c r="R117">
        <f>R$81</f>
        <v>50510</v>
      </c>
    </row>
    <row r="118" spans="11:18" x14ac:dyDescent="0.2">
      <c r="K118">
        <f>-SeriesB!$G$18</f>
        <v>-12000000</v>
      </c>
      <c r="L118">
        <f>-SeriesB!$G$18</f>
        <v>-12000000</v>
      </c>
      <c r="M118">
        <f>-SeriesB!$G$18</f>
        <v>-12000000</v>
      </c>
      <c r="N118">
        <f>-SeriesB!$G$18</f>
        <v>-12000000</v>
      </c>
      <c r="O118">
        <f>-SeriesB!$G$18</f>
        <v>-12000000</v>
      </c>
      <c r="P118">
        <f>-SeriesB!$G$18</f>
        <v>-12000000</v>
      </c>
      <c r="Q118">
        <f>-SeriesB!$G$18</f>
        <v>-12000000</v>
      </c>
      <c r="R118">
        <f>-SeriesB!$G$18</f>
        <v>-12000000</v>
      </c>
    </row>
    <row r="119" spans="11:18" x14ac:dyDescent="0.2">
      <c r="K119">
        <f>-SeriesB!$L$18</f>
        <v>-9000000</v>
      </c>
      <c r="L119">
        <f>-SeriesB!$L$18</f>
        <v>-9000000</v>
      </c>
      <c r="M119">
        <f>-SeriesB!$L$18</f>
        <v>-9000000</v>
      </c>
      <c r="N119">
        <f>-SeriesB!$L$18</f>
        <v>-9000000</v>
      </c>
      <c r="O119">
        <f>-SeriesB!$L$18</f>
        <v>-9000000</v>
      </c>
      <c r="P119">
        <f>-SeriesB!$L$18</f>
        <v>-9000000</v>
      </c>
      <c r="Q119">
        <f>-SeriesB!$L$18</f>
        <v>-9000000</v>
      </c>
      <c r="R119">
        <f>-SeriesB!$L$18</f>
        <v>-9000000</v>
      </c>
    </row>
    <row r="120" spans="11:18" x14ac:dyDescent="0.2">
      <c r="K120">
        <f ca="1">IF((($J$86*$F$12*0.985)/SeriesB!$Q$21)&gt;=SeriesB!$M$23,(($J$86*$F$12*0.985)/SeriesB!$Q$21)*(SeriesB!$H$18+SeriesB!$M$18),IF(((($J$86*$F$12*0.985)-SeriesB!$L$21)/(SeriesB!$Q$21-SeriesB!$M$21))&gt;=SeriesB!$H$23,((($J$86*$F$12*0.985)-SeriesB!$L$21)/(SeriesB!$Q$21-SeriesB!$M$21))*SeriesB!$H$18+SeriesB!$L$18,SeriesB!$G$18+SeriesB!$L$18))</f>
        <v>58331694.84166351</v>
      </c>
      <c r="L120">
        <f ca="1">IF((($J$86*$F$12*0.985)/SeriesB!$Q$21)&gt;=SeriesB!$M$23,(($J$86*$F$12*0.985)/SeriesB!$Q$21)*(SeriesB!$H$18+SeriesB!$M$18),IF(((($J$86*$F$12*0.985)-SeriesB!$L$21)/(SeriesB!$Q$21-SeriesB!$M$21))&gt;=SeriesB!$H$23,((($J$86*$F$12*0.985)-SeriesB!$L$21)/(SeriesB!$Q$21-SeriesB!$M$21))*SeriesB!$H$18+SeriesB!$L$18,SeriesB!$G$18+SeriesB!$L$18))</f>
        <v>58331694.84166351</v>
      </c>
      <c r="M120">
        <f ca="1">IF((($J$86*$F$12*0.985)/SeriesB!$Q$21)&gt;=SeriesB!$M$23,(($J$86*$F$12*0.985)/SeriesB!$Q$21)*(SeriesB!$H$18+SeriesB!$M$18),IF(((($J$86*$F$12*0.985)-SeriesB!$L$21)/(SeriesB!$Q$21-SeriesB!$M$21))&gt;=SeriesB!$H$23,((($J$86*$F$12*0.985)-SeriesB!$L$21)/(SeriesB!$Q$21-SeriesB!$M$21))*SeriesB!$H$18+SeriesB!$L$18,SeriesB!$G$18+SeriesB!$L$18))</f>
        <v>58331694.84166351</v>
      </c>
      <c r="N120">
        <f ca="1">IF((($J$86*$F$12*0.985)/SeriesB!$Q$21)&gt;=SeriesB!$M$23,(($J$86*$F$12*0.985)/SeriesB!$Q$21)*(SeriesB!$H$18+SeriesB!$M$18),IF(((($J$86*$F$12*0.985)-SeriesB!$L$21)/(SeriesB!$Q$21-SeriesB!$M$21))&gt;=SeriesB!$H$23,((($J$86*$F$12*0.985)-SeriesB!$L$21)/(SeriesB!$Q$21-SeriesB!$M$21))*SeriesB!$H$18+SeriesB!$L$18,SeriesB!$G$18+SeriesB!$L$18))</f>
        <v>58331694.84166351</v>
      </c>
      <c r="O120">
        <f ca="1">IF((($J$86*$F$12*0.985)/SeriesB!$Q$21)&gt;=SeriesB!$M$23,(($J$86*$F$12*0.985)/SeriesB!$Q$21)*(SeriesB!$H$18+SeriesB!$M$18),IF(((($J$86*$F$12*0.985)-SeriesB!$L$21)/(SeriesB!$Q$21-SeriesB!$M$21))&gt;=SeriesB!$H$23,((($J$86*$F$12*0.985)-SeriesB!$L$21)/(SeriesB!$Q$21-SeriesB!$M$21))*SeriesB!$H$18+SeriesB!$L$18,SeriesB!$G$18+SeriesB!$L$18))</f>
        <v>58331694.84166351</v>
      </c>
      <c r="P120">
        <f ca="1">IF((($J$86*$F$12*0.985)/SeriesB!$Q$21)&gt;=SeriesB!$M$23,(($J$86*$F$12*0.985)/SeriesB!$Q$21)*(SeriesB!$H$18+SeriesB!$M$18),IF(((($J$86*$F$12*0.985)-SeriesB!$L$21)/(SeriesB!$Q$21-SeriesB!$M$21))&gt;=SeriesB!$H$23,((($J$86*$F$12*0.985)-SeriesB!$L$21)/(SeriesB!$Q$21-SeriesB!$M$21))*SeriesB!$H$18+SeriesB!$L$18,SeriesB!$G$18+SeriesB!$L$18))</f>
        <v>58331694.84166351</v>
      </c>
      <c r="Q120">
        <f ca="1">IF((($J$86*$F$12*0.985)/SeriesB!$Q$21)&gt;=SeriesB!$M$23,(($J$86*$F$12*0.985)/SeriesB!$Q$21)*(SeriesB!$H$18+SeriesB!$M$18),IF(((($J$86*$F$12*0.985)-SeriesB!$L$21)/(SeriesB!$Q$21-SeriesB!$M$21))&gt;=SeriesB!$H$23,((($J$86*$F$12*0.985)-SeriesB!$L$21)/(SeriesB!$Q$21-SeriesB!$M$21))*SeriesB!$H$18+SeriesB!$L$18,SeriesB!$G$18+SeriesB!$L$18))</f>
        <v>58331694.84166351</v>
      </c>
      <c r="R120">
        <f ca="1">IF((($J$86*$F$12*0.985)/SeriesB!$Q$21)&gt;=SeriesB!$M$23,(($J$86*$F$12*0.985)/SeriesB!$Q$21)*(SeriesB!$H$18+SeriesB!$M$18),IF(((($J$86*$F$12*0.985)-SeriesB!$L$21)/(SeriesB!$Q$21-SeriesB!$M$21))&gt;=SeriesB!$H$23,((($J$86*$F$12*0.985)-SeriesB!$L$21)/(SeriesB!$Q$21-SeriesB!$M$21))*SeriesB!$H$18+SeriesB!$L$18,SeriesB!$G$18+SeriesB!$L$18))</f>
        <v>58331694.84166351</v>
      </c>
    </row>
    <row r="121" spans="11:18" x14ac:dyDescent="0.2">
      <c r="K121">
        <f>$E$86</f>
        <v>46127</v>
      </c>
      <c r="L121">
        <f>$E$86</f>
        <v>46127</v>
      </c>
      <c r="M121">
        <f>$E$86</f>
        <v>46127</v>
      </c>
      <c r="N121">
        <f>$E$86</f>
        <v>46127</v>
      </c>
      <c r="O121">
        <f>$E$86</f>
        <v>46127</v>
      </c>
      <c r="P121">
        <f>$E$86</f>
        <v>46127</v>
      </c>
      <c r="Q121">
        <f>$E$86</f>
        <v>46127</v>
      </c>
      <c r="R121">
        <f>$E$86</f>
        <v>46127</v>
      </c>
    </row>
    <row r="122" spans="11:18" x14ac:dyDescent="0.2">
      <c r="K122">
        <f>$E$87</f>
        <v>46858</v>
      </c>
      <c r="L122">
        <f>$E$87</f>
        <v>46858</v>
      </c>
      <c r="M122">
        <f>$E$87</f>
        <v>46858</v>
      </c>
      <c r="N122">
        <f>$E$87</f>
        <v>46858</v>
      </c>
      <c r="O122">
        <f>$E$87</f>
        <v>46858</v>
      </c>
      <c r="P122">
        <f>$E$87</f>
        <v>46858</v>
      </c>
      <c r="Q122">
        <f>$E$87</f>
        <v>46858</v>
      </c>
      <c r="R122">
        <f>$E$87</f>
        <v>46858</v>
      </c>
    </row>
    <row r="123" spans="11:18" x14ac:dyDescent="0.2">
      <c r="K123">
        <f>K$81</f>
        <v>47953</v>
      </c>
      <c r="L123">
        <f>L$81</f>
        <v>48319</v>
      </c>
      <c r="M123">
        <f>M$81</f>
        <v>48684</v>
      </c>
      <c r="N123">
        <f>N$81</f>
        <v>49049</v>
      </c>
      <c r="O123">
        <f>O$81</f>
        <v>49414</v>
      </c>
      <c r="P123">
        <f>P$81</f>
        <v>49780</v>
      </c>
      <c r="Q123">
        <f>Q$81</f>
        <v>50145</v>
      </c>
      <c r="R123">
        <f>R$81</f>
        <v>50510</v>
      </c>
    </row>
    <row r="124" spans="11:18" x14ac:dyDescent="0.2">
      <c r="K124">
        <f>-SeriesB!$G$18</f>
        <v>-12000000</v>
      </c>
      <c r="L124">
        <f>-SeriesB!$G$18</f>
        <v>-12000000</v>
      </c>
      <c r="M124">
        <f>-SeriesB!$G$18</f>
        <v>-12000000</v>
      </c>
      <c r="N124">
        <f>-SeriesB!$G$18</f>
        <v>-12000000</v>
      </c>
      <c r="O124">
        <f>-SeriesB!$G$18</f>
        <v>-12000000</v>
      </c>
      <c r="P124">
        <f>-SeriesB!$G$18</f>
        <v>-12000000</v>
      </c>
      <c r="Q124">
        <f>-SeriesB!$G$18</f>
        <v>-12000000</v>
      </c>
      <c r="R124">
        <f>-SeriesB!$G$18</f>
        <v>-12000000</v>
      </c>
    </row>
    <row r="125" spans="11:18" x14ac:dyDescent="0.2">
      <c r="K125">
        <f>-SeriesB!$L$18</f>
        <v>-9000000</v>
      </c>
      <c r="L125">
        <f>-SeriesB!$L$18</f>
        <v>-9000000</v>
      </c>
      <c r="M125">
        <f>-SeriesB!$L$18</f>
        <v>-9000000</v>
      </c>
      <c r="N125">
        <f>-SeriesB!$L$18</f>
        <v>-9000000</v>
      </c>
      <c r="O125">
        <f>-SeriesB!$L$18</f>
        <v>-9000000</v>
      </c>
      <c r="P125">
        <f>-SeriesB!$L$18</f>
        <v>-9000000</v>
      </c>
      <c r="Q125">
        <f>-SeriesB!$L$18</f>
        <v>-9000000</v>
      </c>
      <c r="R125">
        <f>-SeriesB!$L$18</f>
        <v>-9000000</v>
      </c>
    </row>
    <row r="126" spans="11:18" x14ac:dyDescent="0.2">
      <c r="K126">
        <f ca="1">IF((($J$87*$F$12*0.985)/SeriesB!$Q$21)&gt;=SeriesB!$M$23,(($J$87*$F$12*0.985)/SeriesB!$Q$21)*(SeriesB!$H$18+SeriesB!$M$18),IF(((($J$87*$F$12*0.985)-SeriesB!$L$21)/(SeriesB!$Q$21-SeriesB!$M$21))&gt;=SeriesB!$H$23,((($J$87*$F$12*0.985)-SeriesB!$L$21)/(SeriesB!$Q$21-SeriesB!$M$21))*SeriesB!$H$18+SeriesB!$L$18,SeriesB!$G$18+SeriesB!$L$18))</f>
        <v>72914618.55207938</v>
      </c>
      <c r="L126">
        <f ca="1">IF((($J$87*$F$12*0.985)/SeriesB!$Q$21)&gt;=SeriesB!$M$23,(($J$87*$F$12*0.985)/SeriesB!$Q$21)*(SeriesB!$H$18+SeriesB!$M$18),IF(((($J$87*$F$12*0.985)-SeriesB!$L$21)/(SeriesB!$Q$21-SeriesB!$M$21))&gt;=SeriesB!$H$23,((($J$87*$F$12*0.985)-SeriesB!$L$21)/(SeriesB!$Q$21-SeriesB!$M$21))*SeriesB!$H$18+SeriesB!$L$18,SeriesB!$G$18+SeriesB!$L$18))</f>
        <v>72914618.55207938</v>
      </c>
      <c r="M126">
        <f ca="1">IF((($J$87*$F$12*0.985)/SeriesB!$Q$21)&gt;=SeriesB!$M$23,(($J$87*$F$12*0.985)/SeriesB!$Q$21)*(SeriesB!$H$18+SeriesB!$M$18),IF(((($J$87*$F$12*0.985)-SeriesB!$L$21)/(SeriesB!$Q$21-SeriesB!$M$21))&gt;=SeriesB!$H$23,((($J$87*$F$12*0.985)-SeriesB!$L$21)/(SeriesB!$Q$21-SeriesB!$M$21))*SeriesB!$H$18+SeriesB!$L$18,SeriesB!$G$18+SeriesB!$L$18))</f>
        <v>72914618.55207938</v>
      </c>
      <c r="N126">
        <f ca="1">IF((($J$87*$F$12*0.985)/SeriesB!$Q$21)&gt;=SeriesB!$M$23,(($J$87*$F$12*0.985)/SeriesB!$Q$21)*(SeriesB!$H$18+SeriesB!$M$18),IF(((($J$87*$F$12*0.985)-SeriesB!$L$21)/(SeriesB!$Q$21-SeriesB!$M$21))&gt;=SeriesB!$H$23,((($J$87*$F$12*0.985)-SeriesB!$L$21)/(SeriesB!$Q$21-SeriesB!$M$21))*SeriesB!$H$18+SeriesB!$L$18,SeriesB!$G$18+SeriesB!$L$18))</f>
        <v>72914618.55207938</v>
      </c>
      <c r="O126">
        <f ca="1">IF((($J$87*$F$12*0.985)/SeriesB!$Q$21)&gt;=SeriesB!$M$23,(($J$87*$F$12*0.985)/SeriesB!$Q$21)*(SeriesB!$H$18+SeriesB!$M$18),IF(((($J$87*$F$12*0.985)-SeriesB!$L$21)/(SeriesB!$Q$21-SeriesB!$M$21))&gt;=SeriesB!$H$23,((($J$87*$F$12*0.985)-SeriesB!$L$21)/(SeriesB!$Q$21-SeriesB!$M$21))*SeriesB!$H$18+SeriesB!$L$18,SeriesB!$G$18+SeriesB!$L$18))</f>
        <v>72914618.55207938</v>
      </c>
      <c r="P126">
        <f ca="1">IF((($J$87*$F$12*0.985)/SeriesB!$Q$21)&gt;=SeriesB!$M$23,(($J$87*$F$12*0.985)/SeriesB!$Q$21)*(SeriesB!$H$18+SeriesB!$M$18),IF(((($J$87*$F$12*0.985)-SeriesB!$L$21)/(SeriesB!$Q$21-SeriesB!$M$21))&gt;=SeriesB!$H$23,((($J$87*$F$12*0.985)-SeriesB!$L$21)/(SeriesB!$Q$21-SeriesB!$M$21))*SeriesB!$H$18+SeriesB!$L$18,SeriesB!$G$18+SeriesB!$L$18))</f>
        <v>72914618.55207938</v>
      </c>
      <c r="Q126">
        <f ca="1">IF((($J$87*$F$12*0.985)/SeriesB!$Q$21)&gt;=SeriesB!$M$23,(($J$87*$F$12*0.985)/SeriesB!$Q$21)*(SeriesB!$H$18+SeriesB!$M$18),IF(((($J$87*$F$12*0.985)-SeriesB!$L$21)/(SeriesB!$Q$21-SeriesB!$M$21))&gt;=SeriesB!$H$23,((($J$87*$F$12*0.985)-SeriesB!$L$21)/(SeriesB!$Q$21-SeriesB!$M$21))*SeriesB!$H$18+SeriesB!$L$18,SeriesB!$G$18+SeriesB!$L$18))</f>
        <v>72914618.55207938</v>
      </c>
      <c r="R126">
        <f ca="1">IF((($J$87*$F$12*0.985)/SeriesB!$Q$21)&gt;=SeriesB!$M$23,(($J$87*$F$12*0.985)/SeriesB!$Q$21)*(SeriesB!$H$18+SeriesB!$M$18),IF(((($J$87*$F$12*0.985)-SeriesB!$L$21)/(SeriesB!$Q$21-SeriesB!$M$21))&gt;=SeriesB!$H$23,((($J$87*$F$12*0.985)-SeriesB!$L$21)/(SeriesB!$Q$21-SeriesB!$M$21))*SeriesB!$H$18+SeriesB!$L$18,SeriesB!$G$18+SeriesB!$L$18))</f>
        <v>72914618.55207938</v>
      </c>
    </row>
    <row r="127" spans="11:18" x14ac:dyDescent="0.2">
      <c r="K127">
        <f>$E$86</f>
        <v>46127</v>
      </c>
      <c r="L127">
        <f>$E$86</f>
        <v>46127</v>
      </c>
      <c r="M127">
        <f>$E$86</f>
        <v>46127</v>
      </c>
      <c r="N127">
        <f>$E$86</f>
        <v>46127</v>
      </c>
      <c r="O127">
        <f>$E$86</f>
        <v>46127</v>
      </c>
      <c r="P127">
        <f>$E$86</f>
        <v>46127</v>
      </c>
      <c r="Q127">
        <f>$E$86</f>
        <v>46127</v>
      </c>
      <c r="R127">
        <f>$E$86</f>
        <v>46127</v>
      </c>
    </row>
    <row r="128" spans="11:18" x14ac:dyDescent="0.2">
      <c r="K128">
        <f>$E$87</f>
        <v>46858</v>
      </c>
      <c r="L128">
        <f>$E$87</f>
        <v>46858</v>
      </c>
      <c r="M128">
        <f>$E$87</f>
        <v>46858</v>
      </c>
      <c r="N128">
        <f>$E$87</f>
        <v>46858</v>
      </c>
      <c r="O128">
        <f>$E$87</f>
        <v>46858</v>
      </c>
      <c r="P128">
        <f>$E$87</f>
        <v>46858</v>
      </c>
      <c r="Q128">
        <f>$E$87</f>
        <v>46858</v>
      </c>
      <c r="R128">
        <f>$E$87</f>
        <v>46858</v>
      </c>
    </row>
    <row r="129" spans="11:18" x14ac:dyDescent="0.2">
      <c r="K129">
        <f>K$81</f>
        <v>47953</v>
      </c>
      <c r="L129">
        <f>L$81</f>
        <v>48319</v>
      </c>
      <c r="M129">
        <f>M$81</f>
        <v>48684</v>
      </c>
      <c r="N129">
        <f>N$81</f>
        <v>49049</v>
      </c>
      <c r="O129">
        <f>O$81</f>
        <v>49414</v>
      </c>
      <c r="P129">
        <f>P$81</f>
        <v>49780</v>
      </c>
      <c r="Q129">
        <f>Q$81</f>
        <v>50145</v>
      </c>
      <c r="R129">
        <f>R$81</f>
        <v>50510</v>
      </c>
    </row>
    <row r="130" spans="11:18" x14ac:dyDescent="0.2">
      <c r="K130">
        <f>-SeriesB!$G$18</f>
        <v>-12000000</v>
      </c>
      <c r="L130">
        <f>-SeriesB!$G$18</f>
        <v>-12000000</v>
      </c>
      <c r="M130">
        <f>-SeriesB!$G$18</f>
        <v>-12000000</v>
      </c>
      <c r="N130">
        <f>-SeriesB!$G$18</f>
        <v>-12000000</v>
      </c>
      <c r="O130">
        <f>-SeriesB!$G$18</f>
        <v>-12000000</v>
      </c>
      <c r="P130">
        <f>-SeriesB!$G$18</f>
        <v>-12000000</v>
      </c>
      <c r="Q130">
        <f>-SeriesB!$G$18</f>
        <v>-12000000</v>
      </c>
      <c r="R130">
        <f>-SeriesB!$G$18</f>
        <v>-12000000</v>
      </c>
    </row>
    <row r="131" spans="11:18" x14ac:dyDescent="0.2">
      <c r="K131">
        <f>-SeriesB!$L$18</f>
        <v>-9000000</v>
      </c>
      <c r="L131">
        <f>-SeriesB!$L$18</f>
        <v>-9000000</v>
      </c>
      <c r="M131">
        <f>-SeriesB!$L$18</f>
        <v>-9000000</v>
      </c>
      <c r="N131">
        <f>-SeriesB!$L$18</f>
        <v>-9000000</v>
      </c>
      <c r="O131">
        <f>-SeriesB!$L$18</f>
        <v>-9000000</v>
      </c>
      <c r="P131">
        <f>-SeriesB!$L$18</f>
        <v>-9000000</v>
      </c>
      <c r="Q131">
        <f>-SeriesB!$L$18</f>
        <v>-9000000</v>
      </c>
      <c r="R131">
        <f>-SeriesB!$L$18</f>
        <v>-9000000</v>
      </c>
    </row>
    <row r="132" spans="11:18" x14ac:dyDescent="0.2">
      <c r="K132">
        <f ca="1">IF((($J$88*$F$12*0.985)/SeriesB!$Q$21)&gt;=SeriesB!$M$23,(($J$88*$F$12*0.985)/SeriesB!$Q$21)*(SeriesB!$H$18+SeriesB!$M$18),IF(((($J$88*$F$12*0.985)-SeriesB!$L$21)/(SeriesB!$Q$21-SeriesB!$M$21))&gt;=SeriesB!$H$23,((($J$88*$F$12*0.985)-SeriesB!$L$21)/(SeriesB!$Q$21-SeriesB!$M$21))*SeriesB!$H$18+SeriesB!$L$18,SeriesB!$G$18+SeriesB!$L$18))</f>
        <v>87497542.262495264</v>
      </c>
      <c r="L132">
        <f ca="1">IF((($J$88*$F$12*0.985)/SeriesB!$Q$21)&gt;=SeriesB!$M$23,(($J$88*$F$12*0.985)/SeriesB!$Q$21)*(SeriesB!$H$18+SeriesB!$M$18),IF(((($J$88*$F$12*0.985)-SeriesB!$L$21)/(SeriesB!$Q$21-SeriesB!$M$21))&gt;=SeriesB!$H$23,((($J$88*$F$12*0.985)-SeriesB!$L$21)/(SeriesB!$Q$21-SeriesB!$M$21))*SeriesB!$H$18+SeriesB!$L$18,SeriesB!$G$18+SeriesB!$L$18))</f>
        <v>87497542.262495264</v>
      </c>
      <c r="M132">
        <f ca="1">IF((($J$88*$F$12*0.985)/SeriesB!$Q$21)&gt;=SeriesB!$M$23,(($J$88*$F$12*0.985)/SeriesB!$Q$21)*(SeriesB!$H$18+SeriesB!$M$18),IF(((($J$88*$F$12*0.985)-SeriesB!$L$21)/(SeriesB!$Q$21-SeriesB!$M$21))&gt;=SeriesB!$H$23,((($J$88*$F$12*0.985)-SeriesB!$L$21)/(SeriesB!$Q$21-SeriesB!$M$21))*SeriesB!$H$18+SeriesB!$L$18,SeriesB!$G$18+SeriesB!$L$18))</f>
        <v>87497542.262495264</v>
      </c>
      <c r="N132">
        <f ca="1">IF((($J$88*$F$12*0.985)/SeriesB!$Q$21)&gt;=SeriesB!$M$23,(($J$88*$F$12*0.985)/SeriesB!$Q$21)*(SeriesB!$H$18+SeriesB!$M$18),IF(((($J$88*$F$12*0.985)-SeriesB!$L$21)/(SeriesB!$Q$21-SeriesB!$M$21))&gt;=SeriesB!$H$23,((($J$88*$F$12*0.985)-SeriesB!$L$21)/(SeriesB!$Q$21-SeriesB!$M$21))*SeriesB!$H$18+SeriesB!$L$18,SeriesB!$G$18+SeriesB!$L$18))</f>
        <v>87497542.262495264</v>
      </c>
      <c r="O132">
        <f ca="1">IF((($J$88*$F$12*0.985)/SeriesB!$Q$21)&gt;=SeriesB!$M$23,(($J$88*$F$12*0.985)/SeriesB!$Q$21)*(SeriesB!$H$18+SeriesB!$M$18),IF(((($J$88*$F$12*0.985)-SeriesB!$L$21)/(SeriesB!$Q$21-SeriesB!$M$21))&gt;=SeriesB!$H$23,((($J$88*$F$12*0.985)-SeriesB!$L$21)/(SeriesB!$Q$21-SeriesB!$M$21))*SeriesB!$H$18+SeriesB!$L$18,SeriesB!$G$18+SeriesB!$L$18))</f>
        <v>87497542.262495264</v>
      </c>
      <c r="P132">
        <f ca="1">IF((($J$88*$F$12*0.985)/SeriesB!$Q$21)&gt;=SeriesB!$M$23,(($J$88*$F$12*0.985)/SeriesB!$Q$21)*(SeriesB!$H$18+SeriesB!$M$18),IF(((($J$88*$F$12*0.985)-SeriesB!$L$21)/(SeriesB!$Q$21-SeriesB!$M$21))&gt;=SeriesB!$H$23,((($J$88*$F$12*0.985)-SeriesB!$L$21)/(SeriesB!$Q$21-SeriesB!$M$21))*SeriesB!$H$18+SeriesB!$L$18,SeriesB!$G$18+SeriesB!$L$18))</f>
        <v>87497542.262495264</v>
      </c>
      <c r="Q132">
        <f ca="1">IF((($J$88*$F$12*0.985)/SeriesB!$Q$21)&gt;=SeriesB!$M$23,(($J$88*$F$12*0.985)/SeriesB!$Q$21)*(SeriesB!$H$18+SeriesB!$M$18),IF(((($J$88*$F$12*0.985)-SeriesB!$L$21)/(SeriesB!$Q$21-SeriesB!$M$21))&gt;=SeriesB!$H$23,((($J$88*$F$12*0.985)-SeriesB!$L$21)/(SeriesB!$Q$21-SeriesB!$M$21))*SeriesB!$H$18+SeriesB!$L$18,SeriesB!$G$18+SeriesB!$L$18))</f>
        <v>87497542.262495264</v>
      </c>
      <c r="R132">
        <f ca="1">IF((($J$88*$F$12*0.985)/SeriesB!$Q$21)&gt;=SeriesB!$M$23,(($J$88*$F$12*0.985)/SeriesB!$Q$21)*(SeriesB!$H$18+SeriesB!$M$18),IF(((($J$88*$F$12*0.985)-SeriesB!$L$21)/(SeriesB!$Q$21-SeriesB!$M$21))&gt;=SeriesB!$H$23,((($J$88*$F$12*0.985)-SeriesB!$L$21)/(SeriesB!$Q$21-SeriesB!$M$21))*SeriesB!$H$18+SeriesB!$L$18,SeriesB!$G$18+SeriesB!$L$18))</f>
        <v>87497542.262495264</v>
      </c>
    </row>
    <row r="133" spans="11:18" x14ac:dyDescent="0.2">
      <c r="K133">
        <f>$E$86</f>
        <v>46127</v>
      </c>
      <c r="L133">
        <f>$E$86</f>
        <v>46127</v>
      </c>
      <c r="M133">
        <f>$E$86</f>
        <v>46127</v>
      </c>
      <c r="N133">
        <f>$E$86</f>
        <v>46127</v>
      </c>
      <c r="O133">
        <f>$E$86</f>
        <v>46127</v>
      </c>
      <c r="P133">
        <f>$E$86</f>
        <v>46127</v>
      </c>
      <c r="Q133">
        <f>$E$86</f>
        <v>46127</v>
      </c>
      <c r="R133">
        <f>$E$86</f>
        <v>46127</v>
      </c>
    </row>
    <row r="134" spans="11:18" x14ac:dyDescent="0.2">
      <c r="K134">
        <f>$E$87</f>
        <v>46858</v>
      </c>
      <c r="L134">
        <f>$E$87</f>
        <v>46858</v>
      </c>
      <c r="M134">
        <f>$E$87</f>
        <v>46858</v>
      </c>
      <c r="N134">
        <f>$E$87</f>
        <v>46858</v>
      </c>
      <c r="O134">
        <f>$E$87</f>
        <v>46858</v>
      </c>
      <c r="P134">
        <f>$E$87</f>
        <v>46858</v>
      </c>
      <c r="Q134">
        <f>$E$87</f>
        <v>46858</v>
      </c>
      <c r="R134">
        <f>$E$87</f>
        <v>46858</v>
      </c>
    </row>
    <row r="135" spans="11:18" x14ac:dyDescent="0.2">
      <c r="K135">
        <f>K$81</f>
        <v>47953</v>
      </c>
      <c r="L135">
        <f>L$81</f>
        <v>48319</v>
      </c>
      <c r="M135">
        <f>M$81</f>
        <v>48684</v>
      </c>
      <c r="N135">
        <f>N$81</f>
        <v>49049</v>
      </c>
      <c r="O135">
        <f>O$81</f>
        <v>49414</v>
      </c>
      <c r="P135">
        <f>P$81</f>
        <v>49780</v>
      </c>
      <c r="Q135">
        <f>Q$81</f>
        <v>50145</v>
      </c>
      <c r="R135">
        <f>R$81</f>
        <v>50510</v>
      </c>
    </row>
    <row r="136" spans="11:18" x14ac:dyDescent="0.2">
      <c r="K136">
        <f>-SeriesB!$G$18</f>
        <v>-12000000</v>
      </c>
      <c r="L136">
        <f>-SeriesB!$G$18</f>
        <v>-12000000</v>
      </c>
      <c r="M136">
        <f>-SeriesB!$G$18</f>
        <v>-12000000</v>
      </c>
      <c r="N136">
        <f>-SeriesB!$G$18</f>
        <v>-12000000</v>
      </c>
      <c r="O136">
        <f>-SeriesB!$G$18</f>
        <v>-12000000</v>
      </c>
      <c r="P136">
        <f>-SeriesB!$G$18</f>
        <v>-12000000</v>
      </c>
      <c r="Q136">
        <f>-SeriesB!$G$18</f>
        <v>-12000000</v>
      </c>
      <c r="R136">
        <f>-SeriesB!$G$18</f>
        <v>-12000000</v>
      </c>
    </row>
    <row r="137" spans="11:18" x14ac:dyDescent="0.2">
      <c r="K137">
        <f>-SeriesB!$L$18</f>
        <v>-9000000</v>
      </c>
      <c r="L137">
        <f>-SeriesB!$L$18</f>
        <v>-9000000</v>
      </c>
      <c r="M137">
        <f>-SeriesB!$L$18</f>
        <v>-9000000</v>
      </c>
      <c r="N137">
        <f>-SeriesB!$L$18</f>
        <v>-9000000</v>
      </c>
      <c r="O137">
        <f>-SeriesB!$L$18</f>
        <v>-9000000</v>
      </c>
      <c r="P137">
        <f>-SeriesB!$L$18</f>
        <v>-9000000</v>
      </c>
      <c r="Q137">
        <f>-SeriesB!$L$18</f>
        <v>-9000000</v>
      </c>
      <c r="R137">
        <f>-SeriesB!$L$18</f>
        <v>-9000000</v>
      </c>
    </row>
    <row r="138" spans="11:18" x14ac:dyDescent="0.2">
      <c r="K138">
        <f ca="1">IF((($J$89*$F$12*0.985)/SeriesB!$Q$21)&gt;=SeriesB!$M$23,(($J$89*$F$12*0.985)/SeriesB!$Q$21)*(SeriesB!$H$18+SeriesB!$M$18),IF(((($J$89*$F$12*0.985)-SeriesB!$L$21)/(SeriesB!$Q$21-SeriesB!$M$21))&gt;=SeriesB!$H$23,((($J$89*$F$12*0.985)-SeriesB!$L$21)/(SeriesB!$Q$21-SeriesB!$M$21))*SeriesB!$H$18+SeriesB!$L$18,SeriesB!$G$18+SeriesB!$L$18))</f>
        <v>102080465.97291113</v>
      </c>
      <c r="L138">
        <f ca="1">IF((($J$89*$F$12*0.985)/SeriesB!$Q$21)&gt;=SeriesB!$M$23,(($J$89*$F$12*0.985)/SeriesB!$Q$21)*(SeriesB!$H$18+SeriesB!$M$18),IF(((($J$89*$F$12*0.985)-SeriesB!$L$21)/(SeriesB!$Q$21-SeriesB!$M$21))&gt;=SeriesB!$H$23,((($J$89*$F$12*0.985)-SeriesB!$L$21)/(SeriesB!$Q$21-SeriesB!$M$21))*SeriesB!$H$18+SeriesB!$L$18,SeriesB!$G$18+SeriesB!$L$18))</f>
        <v>102080465.97291113</v>
      </c>
      <c r="M138">
        <f ca="1">IF((($J$89*$F$12*0.985)/SeriesB!$Q$21)&gt;=SeriesB!$M$23,(($J$89*$F$12*0.985)/SeriesB!$Q$21)*(SeriesB!$H$18+SeriesB!$M$18),IF(((($J$89*$F$12*0.985)-SeriesB!$L$21)/(SeriesB!$Q$21-SeriesB!$M$21))&gt;=SeriesB!$H$23,((($J$89*$F$12*0.985)-SeriesB!$L$21)/(SeriesB!$Q$21-SeriesB!$M$21))*SeriesB!$H$18+SeriesB!$L$18,SeriesB!$G$18+SeriesB!$L$18))</f>
        <v>102080465.97291113</v>
      </c>
      <c r="N138">
        <f ca="1">IF((($J$89*$F$12*0.985)/SeriesB!$Q$21)&gt;=SeriesB!$M$23,(($J$89*$F$12*0.985)/SeriesB!$Q$21)*(SeriesB!$H$18+SeriesB!$M$18),IF(((($J$89*$F$12*0.985)-SeriesB!$L$21)/(SeriesB!$Q$21-SeriesB!$M$21))&gt;=SeriesB!$H$23,((($J$89*$F$12*0.985)-SeriesB!$L$21)/(SeriesB!$Q$21-SeriesB!$M$21))*SeriesB!$H$18+SeriesB!$L$18,SeriesB!$G$18+SeriesB!$L$18))</f>
        <v>102080465.97291113</v>
      </c>
      <c r="O138">
        <f ca="1">IF((($J$89*$F$12*0.985)/SeriesB!$Q$21)&gt;=SeriesB!$M$23,(($J$89*$F$12*0.985)/SeriesB!$Q$21)*(SeriesB!$H$18+SeriesB!$M$18),IF(((($J$89*$F$12*0.985)-SeriesB!$L$21)/(SeriesB!$Q$21-SeriesB!$M$21))&gt;=SeriesB!$H$23,((($J$89*$F$12*0.985)-SeriesB!$L$21)/(SeriesB!$Q$21-SeriesB!$M$21))*SeriesB!$H$18+SeriesB!$L$18,SeriesB!$G$18+SeriesB!$L$18))</f>
        <v>102080465.97291113</v>
      </c>
      <c r="P138">
        <f ca="1">IF((($J$89*$F$12*0.985)/SeriesB!$Q$21)&gt;=SeriesB!$M$23,(($J$89*$F$12*0.985)/SeriesB!$Q$21)*(SeriesB!$H$18+SeriesB!$M$18),IF(((($J$89*$F$12*0.985)-SeriesB!$L$21)/(SeriesB!$Q$21-SeriesB!$M$21))&gt;=SeriesB!$H$23,((($J$89*$F$12*0.985)-SeriesB!$L$21)/(SeriesB!$Q$21-SeriesB!$M$21))*SeriesB!$H$18+SeriesB!$L$18,SeriesB!$G$18+SeriesB!$L$18))</f>
        <v>102080465.97291113</v>
      </c>
      <c r="Q138">
        <f ca="1">IF((($J$89*$F$12*0.985)/SeriesB!$Q$21)&gt;=SeriesB!$M$23,(($J$89*$F$12*0.985)/SeriesB!$Q$21)*(SeriesB!$H$18+SeriesB!$M$18),IF(((($J$89*$F$12*0.985)-SeriesB!$L$21)/(SeriesB!$Q$21-SeriesB!$M$21))&gt;=SeriesB!$H$23,((($J$89*$F$12*0.985)-SeriesB!$L$21)/(SeriesB!$Q$21-SeriesB!$M$21))*SeriesB!$H$18+SeriesB!$L$18,SeriesB!$G$18+SeriesB!$L$18))</f>
        <v>102080465.97291113</v>
      </c>
      <c r="R138">
        <f ca="1">IF((($J$89*$F$12*0.985)/SeriesB!$Q$21)&gt;=SeriesB!$M$23,(($J$89*$F$12*0.985)/SeriesB!$Q$21)*(SeriesB!$H$18+SeriesB!$M$18),IF(((($J$89*$F$12*0.985)-SeriesB!$L$21)/(SeriesB!$Q$21-SeriesB!$M$21))&gt;=SeriesB!$H$23,((($J$89*$F$12*0.985)-SeriesB!$L$21)/(SeriesB!$Q$21-SeriesB!$M$21))*SeriesB!$H$18+SeriesB!$L$18,SeriesB!$G$18+SeriesB!$L$18))</f>
        <v>102080465.97291113</v>
      </c>
    </row>
    <row r="139" spans="11:18" x14ac:dyDescent="0.2">
      <c r="K139">
        <f>$E$86</f>
        <v>46127</v>
      </c>
      <c r="L139">
        <f>$E$86</f>
        <v>46127</v>
      </c>
      <c r="M139">
        <f>$E$86</f>
        <v>46127</v>
      </c>
      <c r="N139">
        <f>$E$86</f>
        <v>46127</v>
      </c>
      <c r="O139">
        <f>$E$86</f>
        <v>46127</v>
      </c>
      <c r="P139">
        <f>$E$86</f>
        <v>46127</v>
      </c>
      <c r="Q139">
        <f>$E$86</f>
        <v>46127</v>
      </c>
      <c r="R139">
        <f>$E$86</f>
        <v>46127</v>
      </c>
    </row>
    <row r="140" spans="11:18" x14ac:dyDescent="0.2">
      <c r="K140">
        <f>$E$87</f>
        <v>46858</v>
      </c>
      <c r="L140">
        <f>$E$87</f>
        <v>46858</v>
      </c>
      <c r="M140">
        <f>$E$87</f>
        <v>46858</v>
      </c>
      <c r="N140">
        <f>$E$87</f>
        <v>46858</v>
      </c>
      <c r="O140">
        <f>$E$87</f>
        <v>46858</v>
      </c>
      <c r="P140">
        <f>$E$87</f>
        <v>46858</v>
      </c>
      <c r="Q140">
        <f>$E$87</f>
        <v>46858</v>
      </c>
      <c r="R140">
        <f>$E$87</f>
        <v>46858</v>
      </c>
    </row>
    <row r="141" spans="11:18" x14ac:dyDescent="0.2">
      <c r="K141">
        <f>K$81</f>
        <v>47953</v>
      </c>
      <c r="L141">
        <f>L$81</f>
        <v>48319</v>
      </c>
      <c r="M141">
        <f>M$81</f>
        <v>48684</v>
      </c>
      <c r="N141">
        <f>N$81</f>
        <v>49049</v>
      </c>
      <c r="O141">
        <f>O$81</f>
        <v>49414</v>
      </c>
      <c r="P141">
        <f>P$81</f>
        <v>49780</v>
      </c>
      <c r="Q141">
        <f>Q$81</f>
        <v>50145</v>
      </c>
      <c r="R141">
        <f>R$81</f>
        <v>50510</v>
      </c>
    </row>
    <row r="142" spans="11:18" x14ac:dyDescent="0.2">
      <c r="K142">
        <f>-SeriesB!$G$18</f>
        <v>-12000000</v>
      </c>
      <c r="L142">
        <f>-SeriesB!$G$18</f>
        <v>-12000000</v>
      </c>
      <c r="M142">
        <f>-SeriesB!$G$18</f>
        <v>-12000000</v>
      </c>
      <c r="N142">
        <f>-SeriesB!$G$18</f>
        <v>-12000000</v>
      </c>
      <c r="O142">
        <f>-SeriesB!$G$18</f>
        <v>-12000000</v>
      </c>
      <c r="P142">
        <f>-SeriesB!$G$18</f>
        <v>-12000000</v>
      </c>
      <c r="Q142">
        <f>-SeriesB!$G$18</f>
        <v>-12000000</v>
      </c>
      <c r="R142">
        <f>-SeriesB!$G$18</f>
        <v>-12000000</v>
      </c>
    </row>
    <row r="143" spans="11:18" x14ac:dyDescent="0.2">
      <c r="K143">
        <f>-SeriesB!$L$18</f>
        <v>-9000000</v>
      </c>
      <c r="L143">
        <f>-SeriesB!$L$18</f>
        <v>-9000000</v>
      </c>
      <c r="M143">
        <f>-SeriesB!$L$18</f>
        <v>-9000000</v>
      </c>
      <c r="N143">
        <f>-SeriesB!$L$18</f>
        <v>-9000000</v>
      </c>
      <c r="O143">
        <f>-SeriesB!$L$18</f>
        <v>-9000000</v>
      </c>
      <c r="P143">
        <f>-SeriesB!$L$18</f>
        <v>-9000000</v>
      </c>
      <c r="Q143">
        <f>-SeriesB!$L$18</f>
        <v>-9000000</v>
      </c>
      <c r="R143">
        <f>-SeriesB!$L$18</f>
        <v>-9000000</v>
      </c>
    </row>
    <row r="144" spans="11:18" x14ac:dyDescent="0.2">
      <c r="K144">
        <f ca="1">IF((($J$90*$F$12*0.985)/SeriesB!$Q$21)&gt;=SeriesB!$M$23,(($J$90*$F$12*0.985)/SeriesB!$Q$21)*(SeriesB!$H$18+SeriesB!$M$18),IF(((($J$90*$F$12*0.985)-SeriesB!$L$21)/(SeriesB!$Q$21-SeriesB!$M$21))&gt;=SeriesB!$H$23,((($J$90*$F$12*0.985)-SeriesB!$L$21)/(SeriesB!$Q$21-SeriesB!$M$21))*SeriesB!$H$18+SeriesB!$L$18,SeriesB!$G$18+SeriesB!$L$18))</f>
        <v>116663389.68332702</v>
      </c>
      <c r="L144">
        <f ca="1">IF((($J$90*$F$12*0.985)/SeriesB!$Q$21)&gt;=SeriesB!$M$23,(($J$90*$F$12*0.985)/SeriesB!$Q$21)*(SeriesB!$H$18+SeriesB!$M$18),IF(((($J$90*$F$12*0.985)-SeriesB!$L$21)/(SeriesB!$Q$21-SeriesB!$M$21))&gt;=SeriesB!$H$23,((($J$90*$F$12*0.985)-SeriesB!$L$21)/(SeriesB!$Q$21-SeriesB!$M$21))*SeriesB!$H$18+SeriesB!$L$18,SeriesB!$G$18+SeriesB!$L$18))</f>
        <v>116663389.68332702</v>
      </c>
      <c r="M144">
        <f ca="1">IF((($J$90*$F$12*0.985)/SeriesB!$Q$21)&gt;=SeriesB!$M$23,(($J$90*$F$12*0.985)/SeriesB!$Q$21)*(SeriesB!$H$18+SeriesB!$M$18),IF(((($J$90*$F$12*0.985)-SeriesB!$L$21)/(SeriesB!$Q$21-SeriesB!$M$21))&gt;=SeriesB!$H$23,((($J$90*$F$12*0.985)-SeriesB!$L$21)/(SeriesB!$Q$21-SeriesB!$M$21))*SeriesB!$H$18+SeriesB!$L$18,SeriesB!$G$18+SeriesB!$L$18))</f>
        <v>116663389.68332702</v>
      </c>
      <c r="N144">
        <f ca="1">IF((($J$90*$F$12*0.985)/SeriesB!$Q$21)&gt;=SeriesB!$M$23,(($J$90*$F$12*0.985)/SeriesB!$Q$21)*(SeriesB!$H$18+SeriesB!$M$18),IF(((($J$90*$F$12*0.985)-SeriesB!$L$21)/(SeriesB!$Q$21-SeriesB!$M$21))&gt;=SeriesB!$H$23,((($J$90*$F$12*0.985)-SeriesB!$L$21)/(SeriesB!$Q$21-SeriesB!$M$21))*SeriesB!$H$18+SeriesB!$L$18,SeriesB!$G$18+SeriesB!$L$18))</f>
        <v>116663389.68332702</v>
      </c>
      <c r="O144">
        <f ca="1">IF((($J$90*$F$12*0.985)/SeriesB!$Q$21)&gt;=SeriesB!$M$23,(($J$90*$F$12*0.985)/SeriesB!$Q$21)*(SeriesB!$H$18+SeriesB!$M$18),IF(((($J$90*$F$12*0.985)-SeriesB!$L$21)/(SeriesB!$Q$21-SeriesB!$M$21))&gt;=SeriesB!$H$23,((($J$90*$F$12*0.985)-SeriesB!$L$21)/(SeriesB!$Q$21-SeriesB!$M$21))*SeriesB!$H$18+SeriesB!$L$18,SeriesB!$G$18+SeriesB!$L$18))</f>
        <v>116663389.68332702</v>
      </c>
      <c r="P144">
        <f ca="1">IF((($J$90*$F$12*0.985)/SeriesB!$Q$21)&gt;=SeriesB!$M$23,(($J$90*$F$12*0.985)/SeriesB!$Q$21)*(SeriesB!$H$18+SeriesB!$M$18),IF(((($J$90*$F$12*0.985)-SeriesB!$L$21)/(SeriesB!$Q$21-SeriesB!$M$21))&gt;=SeriesB!$H$23,((($J$90*$F$12*0.985)-SeriesB!$L$21)/(SeriesB!$Q$21-SeriesB!$M$21))*SeriesB!$H$18+SeriesB!$L$18,SeriesB!$G$18+SeriesB!$L$18))</f>
        <v>116663389.68332702</v>
      </c>
      <c r="Q144">
        <f ca="1">IF((($J$90*$F$12*0.985)/SeriesB!$Q$21)&gt;=SeriesB!$M$23,(($J$90*$F$12*0.985)/SeriesB!$Q$21)*(SeriesB!$H$18+SeriesB!$M$18),IF(((($J$90*$F$12*0.985)-SeriesB!$L$21)/(SeriesB!$Q$21-SeriesB!$M$21))&gt;=SeriesB!$H$23,((($J$90*$F$12*0.985)-SeriesB!$L$21)/(SeriesB!$Q$21-SeriesB!$M$21))*SeriesB!$H$18+SeriesB!$L$18,SeriesB!$G$18+SeriesB!$L$18))</f>
        <v>116663389.68332702</v>
      </c>
      <c r="R144">
        <f ca="1">IF((($J$90*$F$12*0.985)/SeriesB!$Q$21)&gt;=SeriesB!$M$23,(($J$90*$F$12*0.985)/SeriesB!$Q$21)*(SeriesB!$H$18+SeriesB!$M$18),IF(((($J$90*$F$12*0.985)-SeriesB!$L$21)/(SeriesB!$Q$21-SeriesB!$M$21))&gt;=SeriesB!$H$23,((($J$90*$F$12*0.985)-SeriesB!$L$21)/(SeriesB!$Q$21-SeriesB!$M$21))*SeriesB!$H$18+SeriesB!$L$18,SeriesB!$G$18+SeriesB!$L$18))</f>
        <v>116663389.68332702</v>
      </c>
    </row>
    <row r="145" spans="11:18" x14ac:dyDescent="0.2">
      <c r="K145">
        <f>$E$86</f>
        <v>46127</v>
      </c>
      <c r="L145">
        <f>$E$86</f>
        <v>46127</v>
      </c>
      <c r="M145">
        <f>$E$86</f>
        <v>46127</v>
      </c>
      <c r="N145">
        <f>$E$86</f>
        <v>46127</v>
      </c>
      <c r="O145">
        <f>$E$86</f>
        <v>46127</v>
      </c>
      <c r="P145">
        <f>$E$86</f>
        <v>46127</v>
      </c>
      <c r="Q145">
        <f>$E$86</f>
        <v>46127</v>
      </c>
      <c r="R145">
        <f>$E$86</f>
        <v>46127</v>
      </c>
    </row>
    <row r="146" spans="11:18" x14ac:dyDescent="0.2">
      <c r="K146">
        <f>$E$87</f>
        <v>46858</v>
      </c>
      <c r="L146">
        <f>$E$87</f>
        <v>46858</v>
      </c>
      <c r="M146">
        <f>$E$87</f>
        <v>46858</v>
      </c>
      <c r="N146">
        <f>$E$87</f>
        <v>46858</v>
      </c>
      <c r="O146">
        <f>$E$87</f>
        <v>46858</v>
      </c>
      <c r="P146">
        <f>$E$87</f>
        <v>46858</v>
      </c>
      <c r="Q146">
        <f>$E$87</f>
        <v>46858</v>
      </c>
      <c r="R146">
        <f>$E$87</f>
        <v>46858</v>
      </c>
    </row>
    <row r="147" spans="11:18" x14ac:dyDescent="0.2">
      <c r="K147">
        <f>K$81</f>
        <v>47953</v>
      </c>
      <c r="L147">
        <f>L$81</f>
        <v>48319</v>
      </c>
      <c r="M147">
        <f>M$81</f>
        <v>48684</v>
      </c>
      <c r="N147">
        <f>N$81</f>
        <v>49049</v>
      </c>
      <c r="O147">
        <f>O$81</f>
        <v>49414</v>
      </c>
      <c r="P147">
        <f>P$81</f>
        <v>49780</v>
      </c>
      <c r="Q147">
        <f>Q$81</f>
        <v>50145</v>
      </c>
      <c r="R147">
        <f>R$81</f>
        <v>50510</v>
      </c>
    </row>
    <row r="148" spans="11:18" x14ac:dyDescent="0.2">
      <c r="K148">
        <f>-SeriesB!$G$18</f>
        <v>-12000000</v>
      </c>
      <c r="L148">
        <f>-SeriesB!$G$18</f>
        <v>-12000000</v>
      </c>
      <c r="M148">
        <f>-SeriesB!$G$18</f>
        <v>-12000000</v>
      </c>
      <c r="N148">
        <f>-SeriesB!$G$18</f>
        <v>-12000000</v>
      </c>
      <c r="O148">
        <f>-SeriesB!$G$18</f>
        <v>-12000000</v>
      </c>
      <c r="P148">
        <f>-SeriesB!$G$18</f>
        <v>-12000000</v>
      </c>
      <c r="Q148">
        <f>-SeriesB!$G$18</f>
        <v>-12000000</v>
      </c>
      <c r="R148">
        <f>-SeriesB!$G$18</f>
        <v>-12000000</v>
      </c>
    </row>
    <row r="149" spans="11:18" x14ac:dyDescent="0.2">
      <c r="K149">
        <f>-SeriesB!$L$18</f>
        <v>-9000000</v>
      </c>
      <c r="L149">
        <f>-SeriesB!$L$18</f>
        <v>-9000000</v>
      </c>
      <c r="M149">
        <f>-SeriesB!$L$18</f>
        <v>-9000000</v>
      </c>
      <c r="N149">
        <f>-SeriesB!$L$18</f>
        <v>-9000000</v>
      </c>
      <c r="O149">
        <f>-SeriesB!$L$18</f>
        <v>-9000000</v>
      </c>
      <c r="P149">
        <f>-SeriesB!$L$18</f>
        <v>-9000000</v>
      </c>
      <c r="Q149">
        <f>-SeriesB!$L$18</f>
        <v>-9000000</v>
      </c>
      <c r="R149">
        <f>-SeriesB!$L$18</f>
        <v>-9000000</v>
      </c>
    </row>
    <row r="150" spans="11:18" x14ac:dyDescent="0.2">
      <c r="K150">
        <f ca="1">IF((($J$91*$F$12*0.985)/SeriesB!$Q$21)&gt;=SeriesB!$M$23,(($J$91*$F$12*0.985)/SeriesB!$Q$21)*(SeriesB!$H$18+SeriesB!$M$18),IF(((($J$91*$F$12*0.985)-SeriesB!$L$21)/(SeriesB!$Q$21-SeriesB!$M$21))&gt;=SeriesB!$H$23,((($J$91*$F$12*0.985)-SeriesB!$L$21)/(SeriesB!$Q$21-SeriesB!$M$21))*SeriesB!$H$18+SeriesB!$L$18,SeriesB!$G$18+SeriesB!$L$18))</f>
        <v>131246313.39374287</v>
      </c>
      <c r="L150">
        <f ca="1">IF((($J$91*$F$12*0.985)/SeriesB!$Q$21)&gt;=SeriesB!$M$23,(($J$91*$F$12*0.985)/SeriesB!$Q$21)*(SeriesB!$H$18+SeriesB!$M$18),IF(((($J$91*$F$12*0.985)-SeriesB!$L$21)/(SeriesB!$Q$21-SeriesB!$M$21))&gt;=SeriesB!$H$23,((($J$91*$F$12*0.985)-SeriesB!$L$21)/(SeriesB!$Q$21-SeriesB!$M$21))*SeriesB!$H$18+SeriesB!$L$18,SeriesB!$G$18+SeriesB!$L$18))</f>
        <v>131246313.39374287</v>
      </c>
      <c r="M150">
        <f ca="1">IF((($J$91*$F$12*0.985)/SeriesB!$Q$21)&gt;=SeriesB!$M$23,(($J$91*$F$12*0.985)/SeriesB!$Q$21)*(SeriesB!$H$18+SeriesB!$M$18),IF(((($J$91*$F$12*0.985)-SeriesB!$L$21)/(SeriesB!$Q$21-SeriesB!$M$21))&gt;=SeriesB!$H$23,((($J$91*$F$12*0.985)-SeriesB!$L$21)/(SeriesB!$Q$21-SeriesB!$M$21))*SeriesB!$H$18+SeriesB!$L$18,SeriesB!$G$18+SeriesB!$L$18))</f>
        <v>131246313.39374287</v>
      </c>
      <c r="N150">
        <f ca="1">IF((($J$91*$F$12*0.985)/SeriesB!$Q$21)&gt;=SeriesB!$M$23,(($J$91*$F$12*0.985)/SeriesB!$Q$21)*(SeriesB!$H$18+SeriesB!$M$18),IF(((($J$91*$F$12*0.985)-SeriesB!$L$21)/(SeriesB!$Q$21-SeriesB!$M$21))&gt;=SeriesB!$H$23,((($J$91*$F$12*0.985)-SeriesB!$L$21)/(SeriesB!$Q$21-SeriesB!$M$21))*SeriesB!$H$18+SeriesB!$L$18,SeriesB!$G$18+SeriesB!$L$18))</f>
        <v>131246313.39374287</v>
      </c>
      <c r="O150">
        <f ca="1">IF((($J$91*$F$12*0.985)/SeriesB!$Q$21)&gt;=SeriesB!$M$23,(($J$91*$F$12*0.985)/SeriesB!$Q$21)*(SeriesB!$H$18+SeriesB!$M$18),IF(((($J$91*$F$12*0.985)-SeriesB!$L$21)/(SeriesB!$Q$21-SeriesB!$M$21))&gt;=SeriesB!$H$23,((($J$91*$F$12*0.985)-SeriesB!$L$21)/(SeriesB!$Q$21-SeriesB!$M$21))*SeriesB!$H$18+SeriesB!$L$18,SeriesB!$G$18+SeriesB!$L$18))</f>
        <v>131246313.39374287</v>
      </c>
      <c r="P150">
        <f ca="1">IF((($J$91*$F$12*0.985)/SeriesB!$Q$21)&gt;=SeriesB!$M$23,(($J$91*$F$12*0.985)/SeriesB!$Q$21)*(SeriesB!$H$18+SeriesB!$M$18),IF(((($J$91*$F$12*0.985)-SeriesB!$L$21)/(SeriesB!$Q$21-SeriesB!$M$21))&gt;=SeriesB!$H$23,((($J$91*$F$12*0.985)-SeriesB!$L$21)/(SeriesB!$Q$21-SeriesB!$M$21))*SeriesB!$H$18+SeriesB!$L$18,SeriesB!$G$18+SeriesB!$L$18))</f>
        <v>131246313.39374287</v>
      </c>
      <c r="Q150">
        <f ca="1">IF((($J$91*$F$12*0.985)/SeriesB!$Q$21)&gt;=SeriesB!$M$23,(($J$91*$F$12*0.985)/SeriesB!$Q$21)*(SeriesB!$H$18+SeriesB!$M$18),IF(((($J$91*$F$12*0.985)-SeriesB!$L$21)/(SeriesB!$Q$21-SeriesB!$M$21))&gt;=SeriesB!$H$23,((($J$91*$F$12*0.985)-SeriesB!$L$21)/(SeriesB!$Q$21-SeriesB!$M$21))*SeriesB!$H$18+SeriesB!$L$18,SeriesB!$G$18+SeriesB!$L$18))</f>
        <v>131246313.39374287</v>
      </c>
      <c r="R150">
        <f ca="1">IF((($J$91*$F$12*0.985)/SeriesB!$Q$21)&gt;=SeriesB!$M$23,(($J$91*$F$12*0.985)/SeriesB!$Q$21)*(SeriesB!$H$18+SeriesB!$M$18),IF(((($J$91*$F$12*0.985)-SeriesB!$L$21)/(SeriesB!$Q$21-SeriesB!$M$21))&gt;=SeriesB!$H$23,((($J$91*$F$12*0.985)-SeriesB!$L$21)/(SeriesB!$Q$21-SeriesB!$M$21))*SeriesB!$H$18+SeriesB!$L$18,SeriesB!$G$18+SeriesB!$L$18))</f>
        <v>131246313.39374287</v>
      </c>
    </row>
    <row r="151" spans="11:18" x14ac:dyDescent="0.2">
      <c r="K151">
        <f>$E$86</f>
        <v>46127</v>
      </c>
      <c r="L151">
        <f>$E$86</f>
        <v>46127</v>
      </c>
      <c r="M151">
        <f>$E$86</f>
        <v>46127</v>
      </c>
      <c r="N151">
        <f>$E$86</f>
        <v>46127</v>
      </c>
      <c r="O151">
        <f>$E$86</f>
        <v>46127</v>
      </c>
      <c r="P151">
        <f>$E$86</f>
        <v>46127</v>
      </c>
      <c r="Q151">
        <f>$E$86</f>
        <v>46127</v>
      </c>
      <c r="R151">
        <f>$E$86</f>
        <v>46127</v>
      </c>
    </row>
    <row r="152" spans="11:18" x14ac:dyDescent="0.2">
      <c r="K152">
        <f>$E$87</f>
        <v>46858</v>
      </c>
      <c r="L152">
        <f>$E$87</f>
        <v>46858</v>
      </c>
      <c r="M152">
        <f>$E$87</f>
        <v>46858</v>
      </c>
      <c r="N152">
        <f>$E$87</f>
        <v>46858</v>
      </c>
      <c r="O152">
        <f>$E$87</f>
        <v>46858</v>
      </c>
      <c r="P152">
        <f>$E$87</f>
        <v>46858</v>
      </c>
      <c r="Q152">
        <f>$E$87</f>
        <v>46858</v>
      </c>
      <c r="R152">
        <f>$E$87</f>
        <v>46858</v>
      </c>
    </row>
    <row r="153" spans="11:18" x14ac:dyDescent="0.2">
      <c r="K153">
        <f>K$81</f>
        <v>47953</v>
      </c>
      <c r="L153">
        <f>L$81</f>
        <v>48319</v>
      </c>
      <c r="M153">
        <f>M$81</f>
        <v>48684</v>
      </c>
      <c r="N153">
        <f>N$81</f>
        <v>49049</v>
      </c>
      <c r="O153">
        <f>O$81</f>
        <v>49414</v>
      </c>
      <c r="P153">
        <f>P$81</f>
        <v>49780</v>
      </c>
      <c r="Q153">
        <f>Q$81</f>
        <v>50145</v>
      </c>
      <c r="R153">
        <f>R$81</f>
        <v>50510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Sheet9</vt:lpstr>
      <vt:lpstr>Detailed Cap Table</vt:lpstr>
      <vt:lpstr>SAFE Investments</vt:lpstr>
      <vt:lpstr>SeriesA</vt:lpstr>
      <vt:lpstr>PostA Returns</vt:lpstr>
      <vt:lpstr>SeriesB</vt:lpstr>
      <vt:lpstr>PostB 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Sidarth Subramanian</cp:lastModifiedBy>
  <dcterms:modified xsi:type="dcterms:W3CDTF">2026-04-15T20:34:54Z</dcterms:modified>
</cp:coreProperties>
</file>