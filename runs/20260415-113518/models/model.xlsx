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var/folders/pk/d3fxz1r57v334zbrzvw1g9pw0000gn/T/"/>
    </mc:Choice>
  </mc:AlternateContent>
  <xr:revisionPtr revIDLastSave="0" documentId="8_{196E76CA-41BA-5845-AA64-CB249FA28441}" xr6:coauthVersionLast="47" xr6:coauthVersionMax="47" xr10:uidLastSave="{00000000-0000-0000-0000-000000000000}"/>
  <bookViews>
    <workbookView xWindow="0" yWindow="760" windowWidth="29400" windowHeight="17180" activeTab="3" xr2:uid="{00000000-000D-0000-FFFF-FFFF00000000}"/>
  </bookViews>
  <sheets>
    <sheet name="__temp__" sheetId="186" r:id="rId1"/>
    <sheet name="Detailed Cap Table" sheetId="187" r:id="rId2"/>
    <sheet name="SAFE Investments" sheetId="188" r:id="rId3"/>
    <sheet name="SeriesA" sheetId="191" r:id="rId4"/>
    <sheet name="SeriesB" sheetId="192" r:id="rId5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192" l="1"/>
  <c r="C29" i="192"/>
  <c r="J25" i="192"/>
  <c r="E25" i="192"/>
  <c r="O24" i="192"/>
  <c r="J24" i="192"/>
  <c r="E24" i="192"/>
  <c r="E23" i="192"/>
  <c r="N21" i="192"/>
  <c r="L21" i="192"/>
  <c r="I21" i="192"/>
  <c r="E21" i="192"/>
  <c r="D21" i="192"/>
  <c r="C21" i="192"/>
  <c r="I19" i="192"/>
  <c r="I18" i="192"/>
  <c r="S17" i="192"/>
  <c r="E17" i="192"/>
  <c r="D17" i="192"/>
  <c r="I16" i="192"/>
  <c r="E16" i="192"/>
  <c r="D16" i="192"/>
  <c r="O14" i="192"/>
  <c r="N14" i="192"/>
  <c r="L14" i="192"/>
  <c r="J14" i="192"/>
  <c r="I14" i="192"/>
  <c r="E14" i="192"/>
  <c r="D14" i="192"/>
  <c r="C14" i="192"/>
  <c r="C12" i="192"/>
  <c r="C11" i="192"/>
  <c r="S10" i="192"/>
  <c r="C10" i="192"/>
  <c r="S9" i="192"/>
  <c r="C9" i="192"/>
  <c r="S8" i="192"/>
  <c r="C8" i="192"/>
  <c r="H25" i="191"/>
  <c r="E25" i="191"/>
  <c r="E24" i="191"/>
  <c r="E18" i="191" s="1"/>
  <c r="L18" i="191" s="1"/>
  <c r="G22" i="191"/>
  <c r="D22" i="191"/>
  <c r="C22" i="191"/>
  <c r="D18" i="191"/>
  <c r="E17" i="191"/>
  <c r="D17" i="191"/>
  <c r="H15" i="191"/>
  <c r="G15" i="191"/>
  <c r="E15" i="191"/>
  <c r="D15" i="191"/>
  <c r="C15" i="191"/>
  <c r="C14" i="191"/>
  <c r="L13" i="191"/>
  <c r="C13" i="191"/>
  <c r="L12" i="191"/>
  <c r="C12" i="191"/>
  <c r="L11" i="191"/>
  <c r="C11" i="191"/>
  <c r="L10" i="191"/>
  <c r="C10" i="191"/>
  <c r="C27" i="188"/>
  <c r="G23" i="187"/>
  <c r="H11" i="187" s="1"/>
  <c r="F23" i="187"/>
  <c r="E23" i="187"/>
  <c r="D23" i="187"/>
  <c r="C23" i="187"/>
  <c r="H4" i="187"/>
  <c r="H5" i="187"/>
  <c r="H6" i="187"/>
  <c r="H7" i="187"/>
  <c r="H8" i="187"/>
  <c r="H9" i="187"/>
  <c r="H10" i="187"/>
  <c r="H14" i="187"/>
  <c r="H15" i="187"/>
  <c r="H16" i="187"/>
  <c r="H17" i="187"/>
  <c r="H18" i="187"/>
  <c r="H19" i="187"/>
  <c r="H20" i="187"/>
  <c r="G4" i="187"/>
  <c r="G5" i="187"/>
  <c r="G6" i="187"/>
  <c r="G7" i="187"/>
  <c r="G8" i="187"/>
  <c r="G9" i="187"/>
  <c r="G10" i="187"/>
  <c r="G11" i="187"/>
  <c r="G12" i="187"/>
  <c r="G13" i="187"/>
  <c r="G14" i="187"/>
  <c r="G15" i="187"/>
  <c r="G16" i="187"/>
  <c r="G17" i="187"/>
  <c r="G18" i="187"/>
  <c r="G19" i="187"/>
  <c r="G20" i="187"/>
  <c r="G21" i="187"/>
  <c r="E22" i="191" l="1"/>
  <c r="H12" i="187"/>
  <c r="H13" i="187"/>
  <c r="H21" i="187"/>
  <c r="S11" i="192" l="1"/>
  <c r="M10" i="191"/>
  <c r="M11" i="191"/>
  <c r="M12" i="191"/>
  <c r="M13" i="191"/>
  <c r="J14" i="191"/>
  <c r="L14" i="191"/>
  <c r="M14" i="191"/>
  <c r="J15" i="191"/>
  <c r="L15" i="191"/>
  <c r="M15" i="191"/>
  <c r="H17" i="191"/>
  <c r="L17" i="191"/>
  <c r="M17" i="191"/>
  <c r="M18" i="191"/>
  <c r="H19" i="191"/>
  <c r="L19" i="191"/>
  <c r="M19" i="191"/>
  <c r="H20" i="191"/>
  <c r="L20" i="191"/>
  <c r="M20" i="191"/>
  <c r="H22" i="191"/>
  <c r="J22" i="191"/>
  <c r="L22" i="191"/>
  <c r="M22" i="191"/>
  <c r="H24" i="191"/>
  <c r="T8" i="192"/>
  <c r="T9" i="192"/>
  <c r="T10" i="192"/>
  <c r="T11" i="192"/>
  <c r="G12" i="192"/>
  <c r="Q12" i="192"/>
  <c r="S12" i="192"/>
  <c r="T12" i="192"/>
  <c r="V13" i="192"/>
  <c r="G14" i="192"/>
  <c r="Q14" i="192"/>
  <c r="S14" i="192"/>
  <c r="T14" i="192"/>
  <c r="J16" i="192"/>
  <c r="O16" i="192"/>
  <c r="S16" i="192"/>
  <c r="T16" i="192"/>
  <c r="T17" i="192"/>
  <c r="J18" i="192"/>
  <c r="O18" i="192"/>
  <c r="S18" i="192"/>
  <c r="T18" i="192"/>
  <c r="J19" i="192"/>
  <c r="O19" i="192"/>
  <c r="S19" i="192"/>
  <c r="T19" i="192"/>
  <c r="O20" i="192"/>
  <c r="S20" i="192"/>
  <c r="T20" i="192"/>
  <c r="G21" i="192"/>
  <c r="J21" i="192"/>
  <c r="O21" i="192"/>
  <c r="Q21" i="192"/>
  <c r="S21" i="192"/>
  <c r="T21" i="192"/>
  <c r="J23" i="192"/>
  <c r="O23" i="192"/>
</calcChain>
</file>

<file path=xl/sharedStrings.xml><?xml version="1.0" encoding="utf-8"?>
<sst xmlns="http://schemas.openxmlformats.org/spreadsheetml/2006/main" count="159" uniqueCount="92">
  <si>
    <t>Total</t>
  </si>
  <si>
    <t>Current</t>
  </si>
  <si>
    <t>Shareholder</t>
  </si>
  <si>
    <t>Founders CS</t>
  </si>
  <si>
    <t>RSA</t>
  </si>
  <si>
    <t>Options</t>
  </si>
  <si>
    <t>Exercised Options</t>
  </si>
  <si>
    <t>% FDS</t>
  </si>
  <si>
    <t>Brian Hazzard</t>
  </si>
  <si>
    <t>David Wolpoff</t>
  </si>
  <si>
    <t>Ian Lee</t>
  </si>
  <si>
    <t>Kyle Haugsness</t>
  </si>
  <si>
    <t>Paul Riegle</t>
  </si>
  <si>
    <t>Chris Butts</t>
  </si>
  <si>
    <t>Maurice Granfield</t>
  </si>
  <si>
    <t>Pawan Lakshmanan</t>
  </si>
  <si>
    <t>Matthew Howe</t>
  </si>
  <si>
    <t>Andrew Ethan  Boyce-Lewis</t>
  </si>
  <si>
    <t>Eric McIntyre</t>
  </si>
  <si>
    <t>Patrick Heath</t>
  </si>
  <si>
    <t>Chris Lord</t>
  </si>
  <si>
    <t>Eric Freedman</t>
  </si>
  <si>
    <t>Miguel Bollar</t>
  </si>
  <si>
    <t>Bradly Matheson</t>
  </si>
  <si>
    <t>Cole  Proctor</t>
  </si>
  <si>
    <t>Available Options</t>
  </si>
  <si>
    <t>SAFE</t>
  </si>
  <si>
    <t>Notes</t>
  </si>
  <si>
    <t>IRA is actual investor</t>
  </si>
  <si>
    <t>Accomplice Founder Fund, L.P.</t>
  </si>
  <si>
    <t>Accomplice Fund IV, L.P</t>
  </si>
  <si>
    <t>Amir Bagherzadeh</t>
  </si>
  <si>
    <t>Elizabeth A. Donaghey Irrevocable Trust 2016</t>
  </si>
  <si>
    <t>Gunderson Partners</t>
  </si>
  <si>
    <t>Joe Arcadi</t>
  </si>
  <si>
    <t>Kamal Ravikant Capital, LP - E4</t>
  </si>
  <si>
    <t>Navel</t>
  </si>
  <si>
    <t>Maria Cirino</t>
  </si>
  <si>
    <t>Mike Viscuso</t>
  </si>
  <si>
    <t>Mozart Holdings, LLC</t>
  </si>
  <si>
    <t>Orcinus Generational Irrevocable Trust - 2024</t>
  </si>
  <si>
    <t>Owl Rock Capital III, LLC</t>
  </si>
  <si>
    <t>Accomplice</t>
  </si>
  <si>
    <t>Ralph Folz</t>
  </si>
  <si>
    <t>Ravikant Capital, LP - F3</t>
  </si>
  <si>
    <t>Sean Leach</t>
  </si>
  <si>
    <t>The Francis V. Castellucci Trust - 2020</t>
  </si>
  <si>
    <t>The Patrick M. Morley 1999 Trust,</t>
  </si>
  <si>
    <t>Tom Barsi</t>
  </si>
  <si>
    <t>Travis MacInnes</t>
  </si>
  <si>
    <t>UWS West End Family Trust</t>
  </si>
  <si>
    <t>Mark Lotke</t>
  </si>
  <si>
    <t xml:space="preserve">Common </t>
  </si>
  <si>
    <t xml:space="preserve">Option </t>
  </si>
  <si>
    <t>Series A</t>
  </si>
  <si>
    <t>Total Capitalization</t>
  </si>
  <si>
    <t># of</t>
  </si>
  <si>
    <t>$</t>
  </si>
  <si>
    <t>Preferred</t>
  </si>
  <si>
    <t>Pool +</t>
  </si>
  <si>
    <t>Total FD</t>
  </si>
  <si>
    <t>%</t>
  </si>
  <si>
    <t>Shares</t>
  </si>
  <si>
    <t xml:space="preserve"> Invested</t>
  </si>
  <si>
    <t>Pre A</t>
  </si>
  <si>
    <t>FD</t>
  </si>
  <si>
    <t>Common Stock and Options:</t>
  </si>
  <si>
    <t>Total Common</t>
  </si>
  <si>
    <t>Preferred Rounds</t>
  </si>
  <si>
    <t>Totals</t>
  </si>
  <si>
    <t>Pre-Money Valuation</t>
  </si>
  <si>
    <t>Post-Money Valuation</t>
  </si>
  <si>
    <t>Total Raised</t>
  </si>
  <si>
    <t>Series B</t>
  </si>
  <si>
    <t>Pre B</t>
  </si>
  <si>
    <t>Series B Assumptions:</t>
  </si>
  <si>
    <t>% Ownership</t>
  </si>
  <si>
    <t>Pre-Money Valuation Step-up</t>
  </si>
  <si>
    <t>ESOP Issued &amp; Outstanding</t>
  </si>
  <si>
    <t>ESOP Available</t>
  </si>
  <si>
    <t>SERIES A</t>
  </si>
  <si>
    <t>Other Series A</t>
  </si>
  <si>
    <t>Transfer from Owl Rocl Capital II, LLC (Accomplice)</t>
  </si>
  <si>
    <t xml:space="preserve">Price per Share </t>
  </si>
  <si>
    <t>Other Common</t>
  </si>
  <si>
    <t>Post B</t>
  </si>
  <si>
    <t>Other Series B</t>
  </si>
  <si>
    <t>Other Investors</t>
  </si>
  <si>
    <t>SIDEKICK (THINK MORE SECURITY) &amp; TEN ELEVEN (1011)</t>
  </si>
  <si>
    <t>Ten Eleven Ventures (1011)</t>
  </si>
  <si>
    <t>SERIES B</t>
  </si>
  <si>
    <t>(see SeriesA)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</si>
</sst>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"/>
    <numFmt numFmtId="165" formatCode="0.0%"/>
    <numFmt numFmtId="168" formatCode="_-[$$-409]* #,##0_-;_-[$$-409]* \(#,##0\)_-;_-[$$-409]* &quot;-&quot;??;_-@_-"/>
    <numFmt numFmtId="175" formatCode="_-[$$-409]* #,##0.0000_-;_-[$$-409]* \(#,##0.0000\)_-;_-[$$-409]* &quot;-&quot;??;_-@_-"/>
    <numFmt numFmtId="178" formatCode="_(&quot;$&quot;* #,##0_);_(&quot;$&quot;* \(#,##0\);_(&quot;$&quot;* &quot;-&quot;??_);_(@_)"/>
  </numFmts>
  <fonts count="3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Garamond"/>
      <family val="1"/>
    </font>
    <font>
      <sz val="10"/>
      <color rgb="FF0000FF"/>
      <name val="Garamond"/>
      <family val="1"/>
    </font>
    <font>
      <sz val="10"/>
      <color rgb="FF008000"/>
      <name val="Garamond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Garamond"/>
      <family val="1"/>
    </font>
    <font>
      <sz val="10"/>
      <color rgb="FF000000"/>
      <name val="Garamond"/>
      <family val="1"/>
    </font>
    <font>
      <sz val="12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0"/>
      <color rgb="FF000000"/>
      <name val="Garamond"/>
      <family val="1"/>
    </font>
    <font>
      <sz val="9"/>
      <color rgb="FFC0504D"/>
      <name val="Garamond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3">
    <xf numFmtId="0" fontId="0" fillId="0" borderId="0" xfId="0"/>
    <xf numFmtId="0" fontId="18" fillId="0" borderId="0" xfId="0" applyFont="1"/>
    <xf numFmtId="165" fontId="18" fillId="0" borderId="0" xfId="0" applyNumberFormat="1" applyFont="1"/>
    <xf numFmtId="0" fontId="21" fillId="0" borderId="0" xfId="0" applyFont="1" applyAlignment="1">
      <alignment horizontal="center"/>
    </xf>
    <xf numFmtId="164" fontId="21" fillId="0" borderId="0" xfId="0" applyNumberFormat="1" applyFont="1" applyAlignment="1">
      <alignment horizontal="center"/>
    </xf>
    <xf numFmtId="37" fontId="18" fillId="0" borderId="0" xfId="0" applyNumberFormat="1" applyFont="1" applyAlignment="1">
      <alignment horizontal="center"/>
    </xf>
    <xf numFmtId="37" fontId="20" fillId="0" borderId="0" xfId="0" applyNumberFormat="1" applyFont="1" applyAlignment="1">
      <alignment horizontal="center"/>
    </xf>
    <xf numFmtId="0" fontId="25" fillId="0" borderId="0" xfId="0" applyFont="1" applyAlignment="1">
      <alignment horizontal="center"/>
    </xf>
    <xf numFmtId="10" fontId="25" fillId="0" borderId="0" xfId="0" applyNumberFormat="1" applyFont="1" applyAlignment="1">
      <alignment horizontal="center"/>
    </xf>
    <xf numFmtId="164" fontId="22" fillId="0" borderId="0" xfId="0" applyNumberFormat="1" applyFont="1" applyAlignment="1">
      <alignment horizontal="center"/>
    </xf>
    <xf numFmtId="0" fontId="23" fillId="0" borderId="0" xfId="0" applyFont="1" applyAlignment="1">
      <alignment horizontal="centerContinuous"/>
    </xf>
    <xf numFmtId="37" fontId="18" fillId="0" borderId="10" xfId="0" applyNumberFormat="1" applyFont="1" applyBorder="1" applyAlignment="1">
      <alignment horizontal="center"/>
    </xf>
    <xf numFmtId="37" fontId="18" fillId="0" borderId="11" xfId="0" applyNumberFormat="1" applyFont="1" applyBorder="1" applyAlignment="1">
      <alignment horizontal="center"/>
    </xf>
    <xf numFmtId="0" fontId="18" fillId="0" borderId="13" xfId="0" applyFont="1" applyBorder="1"/>
    <xf numFmtId="0" fontId="18" fillId="0" borderId="15" xfId="0" applyFont="1" applyBorder="1"/>
    <xf numFmtId="0" fontId="18" fillId="0" borderId="14" xfId="0" applyFont="1" applyBorder="1"/>
    <xf numFmtId="0" fontId="18" fillId="0" borderId="10" xfId="0" applyFont="1" applyBorder="1"/>
    <xf numFmtId="0" fontId="18" fillId="0" borderId="12" xfId="0" applyFont="1" applyBorder="1"/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3" fontId="26" fillId="0" borderId="0" xfId="0" applyNumberFormat="1" applyFont="1" applyAlignment="1">
      <alignment horizontal="center"/>
    </xf>
    <xf numFmtId="10" fontId="26" fillId="0" borderId="0" xfId="0" applyNumberFormat="1" applyFont="1" applyAlignment="1">
      <alignment horizontal="center"/>
    </xf>
    <xf numFmtId="164" fontId="27" fillId="0" borderId="0" xfId="0" applyNumberFormat="1" applyFont="1" applyAlignment="1">
      <alignment horizontal="center"/>
    </xf>
    <xf numFmtId="164" fontId="26" fillId="0" borderId="0" xfId="0" applyNumberFormat="1" applyFont="1" applyAlignment="1">
      <alignment horizontal="center"/>
    </xf>
    <xf numFmtId="0" fontId="28" fillId="0" borderId="0" xfId="0" applyFont="1"/>
    <xf numFmtId="0" fontId="28" fillId="0" borderId="17" xfId="0" applyFont="1" applyBorder="1" applyAlignment="1">
      <alignment horizontal="center"/>
    </xf>
    <xf numFmtId="0" fontId="28" fillId="0" borderId="19" xfId="0" applyFont="1" applyBorder="1" applyAlignment="1">
      <alignment horizontal="center"/>
    </xf>
    <xf numFmtId="0" fontId="28" fillId="0" borderId="23" xfId="0" applyFont="1" applyBorder="1" applyAlignment="1">
      <alignment horizontal="center"/>
    </xf>
    <xf numFmtId="0" fontId="28" fillId="0" borderId="14" xfId="0" applyFont="1" applyBorder="1" applyAlignment="1">
      <alignment horizontal="center"/>
    </xf>
    <xf numFmtId="0" fontId="28" fillId="0" borderId="16" xfId="0" applyFont="1" applyBorder="1" applyAlignment="1">
      <alignment horizontal="center"/>
    </xf>
    <xf numFmtId="0" fontId="28" fillId="0" borderId="22" xfId="0" applyFont="1" applyBorder="1" applyAlignment="1">
      <alignment horizontal="center"/>
    </xf>
    <xf numFmtId="0" fontId="28" fillId="0" borderId="20" xfId="0" applyFont="1" applyBorder="1" applyAlignment="1">
      <alignment horizontal="center"/>
    </xf>
    <xf numFmtId="0" fontId="28" fillId="0" borderId="21" xfId="0" applyFont="1" applyBorder="1" applyAlignment="1">
      <alignment horizontal="center"/>
    </xf>
    <xf numFmtId="0" fontId="28" fillId="0" borderId="19" xfId="0" applyFont="1" applyBorder="1"/>
    <xf numFmtId="0" fontId="24" fillId="0" borderId="15" xfId="0" applyFont="1" applyBorder="1"/>
    <xf numFmtId="0" fontId="28" fillId="0" borderId="15" xfId="0" applyFont="1" applyBorder="1"/>
    <xf numFmtId="3" fontId="25" fillId="0" borderId="0" xfId="0" applyNumberFormat="1" applyFont="1" applyAlignment="1">
      <alignment horizontal="center"/>
    </xf>
    <xf numFmtId="165" fontId="18" fillId="0" borderId="17" xfId="0" applyNumberFormat="1" applyFont="1" applyBorder="1" applyAlignment="1">
      <alignment horizontal="center"/>
    </xf>
    <xf numFmtId="178" fontId="20" fillId="0" borderId="0" xfId="0" applyNumberFormat="1" applyFont="1"/>
    <xf numFmtId="178" fontId="19" fillId="0" borderId="0" xfId="0" applyNumberFormat="1" applyFont="1"/>
    <xf numFmtId="0" fontId="18" fillId="0" borderId="0" xfId="0" applyFont="1" applyBorder="1"/>
    <xf numFmtId="0" fontId="18" fillId="0" borderId="23" xfId="0" applyFont="1" applyBorder="1"/>
    <xf numFmtId="0" fontId="18" fillId="0" borderId="17" xfId="0" applyFont="1" applyBorder="1"/>
    <xf numFmtId="0" fontId="18" fillId="0" borderId="16" xfId="0" applyFont="1" applyBorder="1"/>
    <xf numFmtId="0" fontId="29" fillId="0" borderId="0" xfId="0" applyFont="1"/>
    <xf numFmtId="178" fontId="18" fillId="0" borderId="0" xfId="0" applyNumberFormat="1" applyFont="1"/>
    <xf numFmtId="168" fontId="19" fillId="0" borderId="13" xfId="0" applyNumberFormat="1" applyFont="1" applyBorder="1"/>
    <xf numFmtId="175" fontId="18" fillId="0" borderId="20" xfId="0" applyNumberFormat="1" applyFont="1" applyBorder="1"/>
    <xf numFmtId="168" fontId="18" fillId="0" borderId="12" xfId="0" applyNumberFormat="1" applyFont="1" applyBorder="1"/>
    <xf numFmtId="165" fontId="18" fillId="0" borderId="18" xfId="0" applyNumberFormat="1" applyFont="1" applyBorder="1" applyAlignment="1">
      <alignment horizontal="center"/>
    </xf>
    <xf numFmtId="168" fontId="20" fillId="0" borderId="13" xfId="0" applyNumberFormat="1" applyFont="1" applyBorder="1"/>
    <xf numFmtId="175" fontId="20" fillId="0" borderId="20" xfId="0" applyNumberFormat="1" applyFont="1" applyBorder="1"/>
    <xf numFmtId="168" fontId="20" fillId="0" borderId="12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" visibility="1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1b2c3d4-e5f6-7890-abcd-ef1234567890}">
  <we:reference id="a1b2c3d4-e5f6-7890-abcd-ef1234567890" version="1.0.0.0" store="developer" storeType="Registry"/>
  <we:alternateReferences/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BCD06-85AC-C042-9F87-1F3C0F818917}">
  <dimension ref="A1"/>
  <sheetViews>
    <sheetView workbookViewId="0"/>
  </sheetViews>
  <sheetFormatPr baseColWidth="10" defaultRowHeight="16" x14ac:dyDescent="0.2"/>
  <sheetData/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E3C1D-6D24-9149-9DDE-39FDAA971BDB}">
  <dimension ref="A1:J23"/>
  <sheetViews>
    <sheetView workbookViewId="0"/>
  </sheetViews>
  <sheetFormatPr baseColWidth="10" defaultRowHeight="16" x14ac:dyDescent="0.2"/>
  <cols>
    <col min="1" max="1" width="11.33203125" customWidth="1"/>
    <col min="2" max="2" width="32.83203125" customWidth="1"/>
    <col min="3" max="3" width="15.5" customWidth="1"/>
    <col min="4" max="4" width="9.5" customWidth="1"/>
    <col min="5" max="5" width="13.6640625" customWidth="1"/>
    <col min="6" max="6" width="22.1640625" customWidth="1"/>
    <col min="7" max="7" width="13.83203125" customWidth="1"/>
    <col min="8" max="8" width="12" customWidth="1"/>
    <col min="9" max="9" width="3.33203125" customWidth="1"/>
  </cols>
  <sheetData>
    <row r="1" spans="1:10" x14ac:dyDescent="0.2">
      <c r="A1" s="7"/>
      <c r="B1" s="7"/>
      <c r="C1" s="7"/>
      <c r="D1" s="7"/>
      <c r="E1" s="7"/>
      <c r="F1" s="7"/>
      <c r="G1" s="7"/>
      <c r="H1" s="7"/>
      <c r="I1" s="7"/>
      <c r="J1" s="7"/>
    </row>
    <row r="2" spans="1:10" x14ac:dyDescent="0.2">
      <c r="A2" s="7"/>
      <c r="B2" s="7"/>
      <c r="C2" s="7"/>
      <c r="D2" s="7"/>
      <c r="E2" s="7"/>
      <c r="F2" s="7"/>
      <c r="G2" s="7"/>
      <c r="H2" s="19" t="s">
        <v>1</v>
      </c>
      <c r="I2" s="7"/>
      <c r="J2" s="7"/>
    </row>
    <row r="3" spans="1:10" x14ac:dyDescent="0.2">
      <c r="A3" s="7"/>
      <c r="B3" s="19" t="s">
        <v>2</v>
      </c>
      <c r="C3" s="19" t="s">
        <v>3</v>
      </c>
      <c r="D3" s="19" t="s">
        <v>4</v>
      </c>
      <c r="E3" s="19" t="s">
        <v>5</v>
      </c>
      <c r="F3" s="19" t="s">
        <v>6</v>
      </c>
      <c r="G3" s="19" t="s">
        <v>0</v>
      </c>
      <c r="H3" s="19" t="s">
        <v>7</v>
      </c>
      <c r="I3" s="7"/>
      <c r="J3" s="7"/>
    </row>
    <row r="4" spans="1:10" x14ac:dyDescent="0.2">
      <c r="A4" s="7"/>
      <c r="B4" s="18" t="s">
        <v>8</v>
      </c>
      <c r="C4" s="20">
        <v>3600000</v>
      </c>
      <c r="D4" s="36"/>
      <c r="E4" s="36"/>
      <c r="F4" s="36"/>
      <c r="G4" s="20">
        <f>SUM(C4:F4)</f>
        <v>3600000</v>
      </c>
      <c r="H4" s="21">
        <f>G4/$G$23</f>
        <v>0.36959987630724139</v>
      </c>
      <c r="I4" s="7"/>
      <c r="J4" s="7"/>
    </row>
    <row r="5" spans="1:10" x14ac:dyDescent="0.2">
      <c r="A5" s="7"/>
      <c r="B5" s="18" t="s">
        <v>9</v>
      </c>
      <c r="C5" s="20">
        <v>3600000</v>
      </c>
      <c r="D5" s="36"/>
      <c r="E5" s="36"/>
      <c r="F5" s="36"/>
      <c r="G5" s="20">
        <f>SUM(C5:F5)</f>
        <v>3600000</v>
      </c>
      <c r="H5" s="21">
        <f>G5/$G$23</f>
        <v>0.36959987630724139</v>
      </c>
      <c r="I5" s="7"/>
      <c r="J5" s="7"/>
    </row>
    <row r="6" spans="1:10" x14ac:dyDescent="0.2">
      <c r="A6" s="7"/>
      <c r="B6" s="18" t="s">
        <v>10</v>
      </c>
      <c r="C6" s="20">
        <v>222187</v>
      </c>
      <c r="D6" s="36"/>
      <c r="E6" s="36"/>
      <c r="F6" s="36"/>
      <c r="G6" s="20">
        <f>SUM(C6:F6)</f>
        <v>222187</v>
      </c>
      <c r="H6" s="21">
        <f>G6/$G$23</f>
        <v>2.28111910325214E-2</v>
      </c>
      <c r="I6" s="7"/>
      <c r="J6" s="7"/>
    </row>
    <row r="7" spans="1:10" x14ac:dyDescent="0.2">
      <c r="A7" s="7"/>
      <c r="B7" s="18" t="s">
        <v>11</v>
      </c>
      <c r="C7" s="20">
        <v>592500</v>
      </c>
      <c r="D7" s="36"/>
      <c r="E7" s="36"/>
      <c r="F7" s="36"/>
      <c r="G7" s="20">
        <f>SUM(C7:F7)</f>
        <v>592500</v>
      </c>
      <c r="H7" s="21">
        <f>G7/$G$23</f>
        <v>6.0829979642233481E-2</v>
      </c>
      <c r="I7" s="7"/>
      <c r="J7" s="7"/>
    </row>
    <row r="8" spans="1:10" x14ac:dyDescent="0.2">
      <c r="A8" s="7"/>
      <c r="B8" s="18" t="s">
        <v>12</v>
      </c>
      <c r="C8" s="20">
        <v>592500</v>
      </c>
      <c r="D8" s="36"/>
      <c r="E8" s="36"/>
      <c r="F8" s="36"/>
      <c r="G8" s="20">
        <f>SUM(C8:F8)</f>
        <v>592500</v>
      </c>
      <c r="H8" s="21">
        <f>G8/$G$23</f>
        <v>6.0829979642233481E-2</v>
      </c>
      <c r="I8" s="7"/>
      <c r="J8" s="7"/>
    </row>
    <row r="9" spans="1:10" x14ac:dyDescent="0.2">
      <c r="A9" s="7"/>
      <c r="B9" s="18" t="s">
        <v>13</v>
      </c>
      <c r="C9" s="20">
        <v>13500</v>
      </c>
      <c r="D9" s="36">
        <v>98900</v>
      </c>
      <c r="E9" s="36"/>
      <c r="F9" s="36"/>
      <c r="G9" s="20">
        <f>SUM(C9:F9)</f>
        <v>112400</v>
      </c>
      <c r="H9" s="21">
        <f>G9/$G$23</f>
        <v>1.1539729471370537E-2</v>
      </c>
      <c r="I9" s="7"/>
      <c r="J9" s="7"/>
    </row>
    <row r="10" spans="1:10" x14ac:dyDescent="0.2">
      <c r="A10" s="7"/>
      <c r="B10" s="18" t="s">
        <v>14</v>
      </c>
      <c r="C10" s="20">
        <v>9000</v>
      </c>
      <c r="D10" s="36"/>
      <c r="E10" s="36"/>
      <c r="F10" s="36"/>
      <c r="G10" s="20">
        <f>SUM(C10:F10)</f>
        <v>9000</v>
      </c>
      <c r="H10" s="21">
        <f>G10/$G$23</f>
        <v>9.2399969076810353E-4</v>
      </c>
      <c r="I10" s="7"/>
      <c r="J10" s="7"/>
    </row>
    <row r="11" spans="1:10" x14ac:dyDescent="0.2">
      <c r="A11" s="7"/>
      <c r="B11" s="18" t="s">
        <v>15</v>
      </c>
      <c r="C11" s="20"/>
      <c r="D11" s="36">
        <v>95000</v>
      </c>
      <c r="E11" s="36"/>
      <c r="F11" s="36"/>
      <c r="G11" s="20">
        <f>SUM(C11:F11)</f>
        <v>95000</v>
      </c>
      <c r="H11" s="21">
        <f>G11/$G$23</f>
        <v>9.7533300692188695E-3</v>
      </c>
      <c r="I11" s="7"/>
      <c r="J11" s="7"/>
    </row>
    <row r="12" spans="1:10" x14ac:dyDescent="0.2">
      <c r="A12" s="7"/>
      <c r="B12" s="18" t="s">
        <v>16</v>
      </c>
      <c r="C12" s="20"/>
      <c r="D12" s="36"/>
      <c r="E12" s="36">
        <v>25000</v>
      </c>
      <c r="F12" s="36"/>
      <c r="G12" s="20">
        <f>SUM(C12:F12)</f>
        <v>25000</v>
      </c>
      <c r="H12" s="21">
        <f>G12/$G$23</f>
        <v>2.5666658076891765E-3</v>
      </c>
      <c r="I12" s="7"/>
      <c r="J12" s="7"/>
    </row>
    <row r="13" spans="1:10" x14ac:dyDescent="0.2">
      <c r="A13" s="7"/>
      <c r="B13" s="18" t="s">
        <v>17</v>
      </c>
      <c r="C13" s="20"/>
      <c r="D13" s="36"/>
      <c r="E13" s="36">
        <v>41562</v>
      </c>
      <c r="F13" s="36"/>
      <c r="G13" s="20">
        <f>SUM(C13:F13)</f>
        <v>41562</v>
      </c>
      <c r="H13" s="21">
        <f>G13/$G$23</f>
        <v>4.2670305719671019E-3</v>
      </c>
      <c r="I13" s="7"/>
      <c r="J13" s="7"/>
    </row>
    <row r="14" spans="1:10" x14ac:dyDescent="0.2">
      <c r="A14" s="7"/>
      <c r="B14" s="18" t="s">
        <v>18</v>
      </c>
      <c r="C14" s="20"/>
      <c r="D14" s="36">
        <v>285000</v>
      </c>
      <c r="E14" s="36"/>
      <c r="F14" s="36"/>
      <c r="G14" s="20">
        <f>SUM(C14:F14)</f>
        <v>285000</v>
      </c>
      <c r="H14" s="21">
        <f>G14/$G$23</f>
        <v>2.925999020765661E-2</v>
      </c>
      <c r="I14" s="7"/>
      <c r="J14" s="7"/>
    </row>
    <row r="15" spans="1:10" x14ac:dyDescent="0.2">
      <c r="A15" s="7"/>
      <c r="B15" s="18" t="s">
        <v>19</v>
      </c>
      <c r="C15" s="20"/>
      <c r="D15" s="36">
        <v>50000</v>
      </c>
      <c r="E15" s="36"/>
      <c r="F15" s="36"/>
      <c r="G15" s="20">
        <f>SUM(C15:F15)</f>
        <v>50000</v>
      </c>
      <c r="H15" s="21">
        <f>G15/$G$23</f>
        <v>5.133331615378353E-3</v>
      </c>
      <c r="I15" s="7"/>
      <c r="J15" s="7"/>
    </row>
    <row r="16" spans="1:10" x14ac:dyDescent="0.2">
      <c r="A16" s="7"/>
      <c r="B16" s="18" t="s">
        <v>20</v>
      </c>
      <c r="C16" s="20"/>
      <c r="D16" s="36">
        <v>285000</v>
      </c>
      <c r="E16" s="36"/>
      <c r="F16" s="36"/>
      <c r="G16" s="20">
        <f>SUM(C16:F16)</f>
        <v>285000</v>
      </c>
      <c r="H16" s="21">
        <f>G16/$G$23</f>
        <v>2.925999020765661E-2</v>
      </c>
      <c r="I16" s="7"/>
      <c r="J16" s="7"/>
    </row>
    <row r="17" spans="1:10" x14ac:dyDescent="0.2">
      <c r="A17" s="7"/>
      <c r="B17" s="18" t="s">
        <v>21</v>
      </c>
      <c r="C17" s="20"/>
      <c r="D17" s="36"/>
      <c r="E17" s="36">
        <v>96186</v>
      </c>
      <c r="F17" s="36"/>
      <c r="G17" s="20">
        <f>SUM(C17:F17)</f>
        <v>96186</v>
      </c>
      <c r="H17" s="21">
        <f>G17/$G$23</f>
        <v>9.8750926951356455E-3</v>
      </c>
      <c r="I17" s="7"/>
      <c r="J17" s="7"/>
    </row>
    <row r="18" spans="1:10" x14ac:dyDescent="0.2">
      <c r="A18" s="7"/>
      <c r="B18" s="18" t="s">
        <v>22</v>
      </c>
      <c r="C18" s="20"/>
      <c r="D18" s="36"/>
      <c r="E18" s="36">
        <v>48095</v>
      </c>
      <c r="F18" s="36"/>
      <c r="G18" s="20">
        <f>SUM(C18:F18)</f>
        <v>48095</v>
      </c>
      <c r="H18" s="21">
        <f>G18/$G$23</f>
        <v>4.9377516808324371E-3</v>
      </c>
      <c r="I18" s="7"/>
      <c r="J18" s="7"/>
    </row>
    <row r="19" spans="1:10" x14ac:dyDescent="0.2">
      <c r="A19" s="7"/>
      <c r="B19" s="18" t="s">
        <v>23</v>
      </c>
      <c r="C19" s="20"/>
      <c r="D19" s="36"/>
      <c r="E19" s="36"/>
      <c r="F19" s="36">
        <v>12395</v>
      </c>
      <c r="G19" s="20">
        <f>SUM(C19:F19)</f>
        <v>12395</v>
      </c>
      <c r="H19" s="21">
        <f>G19/$G$23</f>
        <v>1.2725529074522936E-3</v>
      </c>
      <c r="I19" s="7"/>
      <c r="J19" s="7"/>
    </row>
    <row r="20" spans="1:10" x14ac:dyDescent="0.2">
      <c r="A20" s="7"/>
      <c r="B20" s="18" t="s">
        <v>24</v>
      </c>
      <c r="C20" s="20"/>
      <c r="D20" s="36"/>
      <c r="E20" s="36"/>
      <c r="F20" s="36">
        <v>8333</v>
      </c>
      <c r="G20" s="20">
        <f>SUM(C20:F20)</f>
        <v>8333</v>
      </c>
      <c r="H20" s="21">
        <f>G20/$G$23</f>
        <v>8.5552104701895626E-4</v>
      </c>
      <c r="I20" s="7"/>
      <c r="J20" s="7"/>
    </row>
    <row r="21" spans="1:10" ht="15.75" customHeight="1" x14ac:dyDescent="0.2">
      <c r="A21" s="7"/>
      <c r="B21" s="18" t="s">
        <v>25</v>
      </c>
      <c r="C21" s="20"/>
      <c r="D21" s="36">
        <v>65105</v>
      </c>
      <c r="E21" s="36"/>
      <c r="F21" s="36"/>
      <c r="G21" s="20">
        <f>SUM(C21:F21)</f>
        <v>65105</v>
      </c>
      <c r="H21" s="21">
        <f>G21/$G$23</f>
        <v>6.6841110963841528E-3</v>
      </c>
      <c r="I21" s="7"/>
      <c r="J21" s="7"/>
    </row>
    <row r="22" spans="1:10" ht="15.75" customHeight="1" x14ac:dyDescent="0.2">
      <c r="A22" s="7"/>
      <c r="B22" s="7"/>
      <c r="C22" s="7"/>
      <c r="D22" s="7"/>
      <c r="E22" s="7"/>
      <c r="F22" s="7"/>
      <c r="G22" s="7"/>
      <c r="H22" s="8"/>
      <c r="I22" s="7"/>
      <c r="J22" s="7"/>
    </row>
    <row r="23" spans="1:10" ht="15.75" customHeight="1" x14ac:dyDescent="0.2">
      <c r="A23" s="7"/>
      <c r="B23" s="19" t="s">
        <v>0</v>
      </c>
      <c r="C23" s="20">
        <f>SUM(C4:C21)</f>
        <v>8629687</v>
      </c>
      <c r="D23" s="20">
        <f>SUM(D4:D21)</f>
        <v>879005</v>
      </c>
      <c r="E23" s="20">
        <f>SUM(E4:E21)</f>
        <v>210843</v>
      </c>
      <c r="F23" s="20">
        <f>SUM(F4:F21)</f>
        <v>20728</v>
      </c>
      <c r="G23" s="20">
        <f>SUM(G4:G21)</f>
        <v>9740263</v>
      </c>
      <c r="H23" s="7"/>
      <c r="I23" s="7"/>
      <c r="J23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77EFD-1013-184F-B144-92B350AA6A2A}">
  <dimension ref="A1:K27"/>
  <sheetViews>
    <sheetView workbookViewId="0"/>
  </sheetViews>
  <sheetFormatPr baseColWidth="10" defaultRowHeight="16" x14ac:dyDescent="0.2"/>
  <cols>
    <col min="1" max="1" width="11.33203125" customWidth="1"/>
    <col min="2" max="2" width="51.33203125" customWidth="1"/>
    <col min="3" max="3" width="12.33203125" customWidth="1"/>
    <col min="4" max="4" width="3.33203125" customWidth="1"/>
    <col min="5" max="5" width="60.1640625" customWidth="1"/>
  </cols>
  <sheetData>
    <row r="1" spans="1:1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x14ac:dyDescent="0.2">
      <c r="A2" s="3"/>
      <c r="B2" s="3"/>
      <c r="C2" s="9"/>
      <c r="D2" s="3"/>
      <c r="E2" s="3"/>
      <c r="F2" s="3"/>
      <c r="G2" s="3"/>
      <c r="H2" s="3"/>
      <c r="I2" s="3"/>
      <c r="J2" s="3"/>
      <c r="K2" s="3"/>
    </row>
    <row r="3" spans="1:11" x14ac:dyDescent="0.2">
      <c r="A3" s="3"/>
      <c r="B3" s="19" t="s">
        <v>2</v>
      </c>
      <c r="C3" s="22" t="s">
        <v>26</v>
      </c>
      <c r="D3" s="3"/>
      <c r="E3" s="19" t="s">
        <v>27</v>
      </c>
      <c r="F3" s="3"/>
      <c r="G3" s="3"/>
      <c r="H3" s="3"/>
      <c r="I3" s="3"/>
      <c r="J3" s="3"/>
      <c r="K3" s="3"/>
    </row>
    <row r="4" spans="1:11" x14ac:dyDescent="0.2">
      <c r="A4" s="3"/>
      <c r="B4" s="18" t="s">
        <v>13</v>
      </c>
      <c r="C4" s="23">
        <v>25000</v>
      </c>
      <c r="D4" s="3"/>
      <c r="E4" s="18" t="s">
        <v>28</v>
      </c>
      <c r="F4" s="3"/>
      <c r="G4" s="3"/>
      <c r="H4" s="3"/>
      <c r="I4" s="3"/>
      <c r="J4" s="3"/>
      <c r="K4" s="3"/>
    </row>
    <row r="5" spans="1:11" x14ac:dyDescent="0.2">
      <c r="A5" s="3"/>
      <c r="B5" s="18" t="s">
        <v>14</v>
      </c>
      <c r="C5" s="23">
        <v>25000</v>
      </c>
      <c r="D5" s="3"/>
      <c r="E5" s="3"/>
      <c r="F5" s="3"/>
      <c r="G5" s="3"/>
      <c r="H5" s="3"/>
      <c r="I5" s="3"/>
      <c r="J5" s="3"/>
      <c r="K5" s="3"/>
    </row>
    <row r="6" spans="1:11" ht="15.75" customHeight="1" x14ac:dyDescent="0.2">
      <c r="A6" s="3"/>
      <c r="B6" s="18" t="s">
        <v>29</v>
      </c>
      <c r="C6" s="23">
        <v>137170.75</v>
      </c>
      <c r="D6" s="3"/>
      <c r="E6" s="3"/>
      <c r="F6" s="3"/>
      <c r="G6" s="3"/>
      <c r="H6" s="3"/>
      <c r="I6" s="3"/>
      <c r="J6" s="3"/>
      <c r="K6" s="3"/>
    </row>
    <row r="7" spans="1:11" ht="15.75" customHeight="1" x14ac:dyDescent="0.2">
      <c r="A7" s="3"/>
      <c r="B7" s="18" t="s">
        <v>30</v>
      </c>
      <c r="C7" s="23">
        <v>3846829.25</v>
      </c>
      <c r="D7" s="3"/>
      <c r="E7" s="3"/>
      <c r="F7" s="3"/>
      <c r="G7" s="3"/>
      <c r="H7" s="3"/>
      <c r="I7" s="3"/>
      <c r="J7" s="3"/>
      <c r="K7" s="3"/>
    </row>
    <row r="8" spans="1:11" ht="15.75" customHeight="1" x14ac:dyDescent="0.2">
      <c r="A8" s="3"/>
      <c r="B8" s="18" t="s">
        <v>31</v>
      </c>
      <c r="C8" s="23">
        <v>16566</v>
      </c>
      <c r="D8" s="3"/>
      <c r="E8" s="18" t="s">
        <v>82</v>
      </c>
      <c r="F8" s="3"/>
      <c r="G8" s="3"/>
      <c r="H8" s="3"/>
      <c r="I8" s="3"/>
      <c r="J8" s="3"/>
      <c r="K8" s="3"/>
    </row>
    <row r="9" spans="1:11" ht="15.75" customHeight="1" x14ac:dyDescent="0.2">
      <c r="A9" s="3"/>
      <c r="B9" s="18" t="s">
        <v>32</v>
      </c>
      <c r="C9" s="23">
        <v>250000</v>
      </c>
      <c r="D9" s="3"/>
      <c r="E9" s="3"/>
      <c r="F9" s="3"/>
      <c r="G9" s="3"/>
      <c r="H9" s="3"/>
      <c r="I9" s="3"/>
      <c r="J9" s="3"/>
      <c r="K9" s="3"/>
    </row>
    <row r="10" spans="1:11" ht="15.75" customHeight="1" x14ac:dyDescent="0.2">
      <c r="A10" s="3"/>
      <c r="B10" s="18" t="s">
        <v>33</v>
      </c>
      <c r="C10" s="23">
        <v>100000</v>
      </c>
      <c r="D10" s="3"/>
      <c r="E10" s="3"/>
      <c r="F10" s="3"/>
      <c r="G10" s="3"/>
      <c r="H10" s="3"/>
      <c r="I10" s="3"/>
      <c r="J10" s="3"/>
      <c r="K10" s="3"/>
    </row>
    <row r="11" spans="1:11" ht="15.75" customHeight="1" x14ac:dyDescent="0.2">
      <c r="A11" s="3"/>
      <c r="B11" s="18" t="s">
        <v>34</v>
      </c>
      <c r="C11" s="23">
        <v>300000</v>
      </c>
      <c r="D11" s="3"/>
      <c r="E11" s="18" t="s">
        <v>28</v>
      </c>
      <c r="F11" s="3"/>
      <c r="G11" s="3"/>
      <c r="H11" s="3"/>
      <c r="I11" s="3"/>
      <c r="J11" s="3"/>
      <c r="K11" s="3"/>
    </row>
    <row r="12" spans="1:11" ht="15.75" customHeight="1" x14ac:dyDescent="0.2">
      <c r="A12" s="3"/>
      <c r="B12" s="18" t="s">
        <v>35</v>
      </c>
      <c r="C12" s="23">
        <v>37500</v>
      </c>
      <c r="D12" s="3"/>
      <c r="E12" s="18" t="s">
        <v>36</v>
      </c>
      <c r="F12" s="3"/>
      <c r="G12" s="3"/>
      <c r="H12" s="3"/>
      <c r="I12" s="3"/>
      <c r="J12" s="3"/>
      <c r="K12" s="3"/>
    </row>
    <row r="13" spans="1:11" ht="15.75" customHeight="1" x14ac:dyDescent="0.2">
      <c r="A13" s="3"/>
      <c r="B13" s="18" t="s">
        <v>37</v>
      </c>
      <c r="C13" s="23">
        <v>250000</v>
      </c>
      <c r="D13" s="3"/>
      <c r="E13" s="3"/>
      <c r="F13" s="3"/>
      <c r="G13" s="3"/>
      <c r="H13" s="3"/>
      <c r="I13" s="3"/>
      <c r="J13" s="3"/>
      <c r="K13" s="3"/>
    </row>
    <row r="14" spans="1:11" ht="15.75" customHeight="1" x14ac:dyDescent="0.2">
      <c r="A14" s="3"/>
      <c r="B14" s="18" t="s">
        <v>38</v>
      </c>
      <c r="C14" s="23">
        <v>100000</v>
      </c>
      <c r="D14" s="3"/>
      <c r="E14" s="3"/>
      <c r="F14" s="3"/>
      <c r="G14" s="3"/>
      <c r="H14" s="3"/>
      <c r="I14" s="3"/>
      <c r="J14" s="3"/>
      <c r="K14" s="3"/>
    </row>
    <row r="15" spans="1:11" ht="15.75" customHeight="1" x14ac:dyDescent="0.2">
      <c r="A15" s="3"/>
      <c r="B15" s="18" t="s">
        <v>39</v>
      </c>
      <c r="C15" s="23">
        <v>41164</v>
      </c>
      <c r="D15" s="3"/>
      <c r="E15" s="18" t="s">
        <v>82</v>
      </c>
      <c r="F15" s="3"/>
      <c r="G15" s="3"/>
      <c r="H15" s="3"/>
      <c r="I15" s="3"/>
      <c r="J15" s="3"/>
      <c r="K15" s="3"/>
    </row>
    <row r="16" spans="1:11" ht="15.75" customHeight="1" x14ac:dyDescent="0.2">
      <c r="A16" s="3"/>
      <c r="B16" s="18" t="s">
        <v>40</v>
      </c>
      <c r="C16" s="23">
        <v>2328778</v>
      </c>
      <c r="D16" s="3"/>
      <c r="E16" s="18" t="s">
        <v>82</v>
      </c>
      <c r="F16" s="3"/>
      <c r="G16" s="3"/>
      <c r="H16" s="3"/>
      <c r="I16" s="3"/>
      <c r="J16" s="3"/>
      <c r="K16" s="3"/>
    </row>
    <row r="17" spans="1:11" ht="15.75" customHeight="1" x14ac:dyDescent="0.2">
      <c r="A17" s="3"/>
      <c r="B17" s="18" t="s">
        <v>41</v>
      </c>
      <c r="C17" s="23">
        <v>1506000</v>
      </c>
      <c r="D17" s="3"/>
      <c r="E17" s="18" t="s">
        <v>42</v>
      </c>
      <c r="F17" s="3"/>
      <c r="G17" s="3"/>
      <c r="H17" s="3"/>
      <c r="I17" s="3"/>
      <c r="J17" s="3"/>
      <c r="K17" s="3"/>
    </row>
    <row r="18" spans="1:11" ht="15.75" customHeight="1" x14ac:dyDescent="0.2">
      <c r="A18" s="3"/>
      <c r="B18" s="18" t="s">
        <v>43</v>
      </c>
      <c r="C18" s="23">
        <v>50000</v>
      </c>
      <c r="D18" s="3"/>
      <c r="E18" s="3"/>
      <c r="F18" s="3"/>
      <c r="G18" s="3"/>
      <c r="H18" s="3"/>
      <c r="I18" s="3"/>
      <c r="J18" s="3"/>
      <c r="K18" s="3"/>
    </row>
    <row r="19" spans="1:11" ht="15.75" customHeight="1" x14ac:dyDescent="0.2">
      <c r="A19" s="3"/>
      <c r="B19" s="18" t="s">
        <v>44</v>
      </c>
      <c r="C19" s="23">
        <v>212500</v>
      </c>
      <c r="D19" s="3"/>
      <c r="E19" s="18" t="s">
        <v>36</v>
      </c>
      <c r="F19" s="3"/>
      <c r="G19" s="3"/>
      <c r="H19" s="3"/>
      <c r="I19" s="3"/>
      <c r="J19" s="3"/>
      <c r="K19" s="3"/>
    </row>
    <row r="20" spans="1:11" ht="15.75" customHeight="1" x14ac:dyDescent="0.2">
      <c r="A20" s="3"/>
      <c r="B20" s="18" t="s">
        <v>45</v>
      </c>
      <c r="C20" s="23">
        <v>25000</v>
      </c>
      <c r="D20" s="3"/>
      <c r="E20" s="3"/>
      <c r="F20" s="3"/>
      <c r="G20" s="3"/>
      <c r="H20" s="3"/>
      <c r="I20" s="3"/>
      <c r="J20" s="3"/>
      <c r="K20" s="3"/>
    </row>
    <row r="21" spans="1:11" ht="15.75" customHeight="1" x14ac:dyDescent="0.2">
      <c r="A21" s="3"/>
      <c r="B21" s="18" t="s">
        <v>46</v>
      </c>
      <c r="C21" s="23">
        <v>61746</v>
      </c>
      <c r="D21" s="3"/>
      <c r="E21" s="18" t="s">
        <v>82</v>
      </c>
      <c r="F21" s="3"/>
      <c r="G21" s="3"/>
      <c r="H21" s="3"/>
      <c r="I21" s="3"/>
      <c r="J21" s="3"/>
      <c r="K21" s="3"/>
    </row>
    <row r="22" spans="1:11" ht="15.75" customHeight="1" x14ac:dyDescent="0.2">
      <c r="A22" s="3"/>
      <c r="B22" s="18" t="s">
        <v>47</v>
      </c>
      <c r="C22" s="23">
        <v>100000</v>
      </c>
      <c r="D22" s="3"/>
      <c r="E22" s="3"/>
      <c r="F22" s="3"/>
      <c r="G22" s="3"/>
      <c r="H22" s="3"/>
      <c r="I22" s="3"/>
      <c r="J22" s="3"/>
      <c r="K22" s="3"/>
    </row>
    <row r="23" spans="1:11" ht="15.75" customHeight="1" x14ac:dyDescent="0.2">
      <c r="A23" s="3"/>
      <c r="B23" s="18" t="s">
        <v>48</v>
      </c>
      <c r="C23" s="23">
        <v>100000</v>
      </c>
      <c r="D23" s="3"/>
      <c r="E23" s="3"/>
      <c r="F23" s="3"/>
      <c r="G23" s="3"/>
      <c r="H23" s="3"/>
      <c r="I23" s="3"/>
      <c r="J23" s="3"/>
      <c r="K23" s="3"/>
    </row>
    <row r="24" spans="1:11" ht="15.75" customHeight="1" x14ac:dyDescent="0.2">
      <c r="A24" s="3"/>
      <c r="B24" s="18" t="s">
        <v>49</v>
      </c>
      <c r="C24" s="23">
        <v>61746</v>
      </c>
      <c r="D24" s="3"/>
      <c r="E24" s="18" t="s">
        <v>82</v>
      </c>
      <c r="F24" s="3"/>
      <c r="G24" s="3"/>
      <c r="H24" s="3"/>
      <c r="I24" s="3"/>
      <c r="J24" s="3"/>
      <c r="K24" s="3"/>
    </row>
    <row r="25" spans="1:11" ht="15.75" customHeight="1" x14ac:dyDescent="0.2">
      <c r="A25" s="3"/>
      <c r="B25" s="18" t="s">
        <v>50</v>
      </c>
      <c r="C25" s="23">
        <v>250000</v>
      </c>
      <c r="D25" s="3"/>
      <c r="E25" s="18" t="s">
        <v>51</v>
      </c>
      <c r="F25" s="3"/>
      <c r="G25" s="3"/>
      <c r="H25" s="3"/>
      <c r="I25" s="3"/>
      <c r="J25" s="3"/>
      <c r="K25" s="3"/>
    </row>
    <row r="26" spans="1:11" ht="15.75" customHeight="1" x14ac:dyDescent="0.2">
      <c r="A26" s="3"/>
      <c r="B26" s="3"/>
      <c r="C26" s="4"/>
      <c r="D26" s="3"/>
      <c r="E26" s="3"/>
      <c r="F26" s="3"/>
      <c r="G26" s="3"/>
      <c r="H26" s="3"/>
      <c r="I26" s="3"/>
      <c r="J26" s="3"/>
      <c r="K26" s="3"/>
    </row>
    <row r="27" spans="1:11" ht="15.75" customHeight="1" x14ac:dyDescent="0.2">
      <c r="A27" s="3"/>
      <c r="B27" s="19" t="s">
        <v>0</v>
      </c>
      <c r="C27" s="22">
        <f>SUM(C4:C25)</f>
        <v>9825000</v>
      </c>
      <c r="D27" s="3"/>
      <c r="E27" s="3"/>
      <c r="F27" s="3"/>
      <c r="G27" s="3"/>
      <c r="H27" s="3"/>
      <c r="I27" s="3"/>
      <c r="J27" s="3"/>
      <c r="K27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60709-D7A8-2146-B4E4-C8F693CDE977}">
  <dimension ref="A1:N28"/>
  <sheetViews>
    <sheetView showGridLines="0" tabSelected="1" workbookViewId="0"/>
  </sheetViews>
  <sheetFormatPr baseColWidth="10" defaultRowHeight="16" x14ac:dyDescent="0.2"/>
  <cols>
    <col min="1" max="1" width="6.33203125" customWidth="1"/>
    <col min="2" max="2" width="35.5" customWidth="1"/>
    <col min="3" max="3" width="14.33203125" customWidth="1"/>
    <col min="4" max="4" width="17.6640625" customWidth="1"/>
    <col min="5" max="5" width="16.83203125" customWidth="1"/>
    <col min="6" max="6" width="3.33203125" customWidth="1"/>
    <col min="7" max="7" width="15.5" customWidth="1"/>
    <col min="8" max="8" width="16.83203125" customWidth="1"/>
    <col min="9" max="9" width="3.33203125" customWidth="1"/>
    <col min="10" max="10" width="13.83203125" customWidth="1"/>
    <col min="11" max="11" width="3.33203125" customWidth="1"/>
    <col min="12" max="12" width="14.33203125" customWidth="1"/>
    <col min="13" max="13" width="9.33203125" customWidth="1"/>
  </cols>
  <sheetData>
    <row r="1" spans="1:14" x14ac:dyDescent="0.2">
      <c r="A1" s="1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"/>
    </row>
    <row r="2" spans="1:14" x14ac:dyDescent="0.2">
      <c r="A2" s="1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"/>
    </row>
    <row r="3" spans="1:14" x14ac:dyDescent="0.2">
      <c r="A3" s="1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"/>
    </row>
    <row r="4" spans="1:14" ht="15.5" customHeight="1" x14ac:dyDescent="0.2">
      <c r="A4" s="1"/>
      <c r="B4" s="10" t="s">
        <v>88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"/>
    </row>
    <row r="5" spans="1:14" ht="16.25" customHeight="1" thickBot="1" x14ac:dyDescent="0.25">
      <c r="A5" s="1"/>
      <c r="B5" s="10" t="s">
        <v>80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"/>
    </row>
    <row r="6" spans="1:14" ht="13.75" customHeight="1" thickBot="1" x14ac:dyDescent="0.25">
      <c r="A6" s="1"/>
      <c r="B6" s="1"/>
      <c r="C6" s="26" t="s">
        <v>52</v>
      </c>
      <c r="D6" s="26" t="s">
        <v>26</v>
      </c>
      <c r="E6" s="27"/>
      <c r="F6" s="1"/>
      <c r="G6" s="26" t="s">
        <v>54</v>
      </c>
      <c r="H6" s="27"/>
      <c r="I6" s="1"/>
      <c r="J6" s="31" t="s">
        <v>53</v>
      </c>
      <c r="K6" s="1"/>
      <c r="L6" s="26" t="s">
        <v>55</v>
      </c>
      <c r="M6" s="27"/>
      <c r="N6" s="1"/>
    </row>
    <row r="7" spans="1:14" x14ac:dyDescent="0.2">
      <c r="A7" s="1"/>
      <c r="B7" s="1"/>
      <c r="C7" s="26" t="s">
        <v>56</v>
      </c>
      <c r="D7" s="26" t="s">
        <v>57</v>
      </c>
      <c r="E7" s="27" t="s">
        <v>58</v>
      </c>
      <c r="F7" s="1"/>
      <c r="G7" s="26" t="s">
        <v>57</v>
      </c>
      <c r="H7" s="27" t="s">
        <v>58</v>
      </c>
      <c r="I7" s="1"/>
      <c r="J7" s="30" t="s">
        <v>59</v>
      </c>
      <c r="K7" s="1"/>
      <c r="L7" s="26" t="s">
        <v>60</v>
      </c>
      <c r="M7" s="27" t="s">
        <v>61</v>
      </c>
      <c r="N7" s="1"/>
    </row>
    <row r="8" spans="1:14" ht="13.75" customHeight="1" thickBot="1" x14ac:dyDescent="0.25">
      <c r="A8" s="1"/>
      <c r="B8" s="1"/>
      <c r="C8" s="28" t="s">
        <v>62</v>
      </c>
      <c r="D8" s="28" t="s">
        <v>63</v>
      </c>
      <c r="E8" s="29" t="s">
        <v>62</v>
      </c>
      <c r="F8" s="1"/>
      <c r="G8" s="28" t="s">
        <v>63</v>
      </c>
      <c r="H8" s="29" t="s">
        <v>62</v>
      </c>
      <c r="I8" s="1"/>
      <c r="J8" s="32" t="s">
        <v>64</v>
      </c>
      <c r="K8" s="1"/>
      <c r="L8" s="28" t="s">
        <v>62</v>
      </c>
      <c r="M8" s="25" t="s">
        <v>65</v>
      </c>
      <c r="N8" s="1"/>
    </row>
    <row r="9" spans="1:14" x14ac:dyDescent="0.2">
      <c r="A9" s="1"/>
      <c r="B9" s="33" t="s">
        <v>66</v>
      </c>
      <c r="C9" s="40"/>
      <c r="D9" s="40"/>
      <c r="E9" s="40"/>
      <c r="F9" s="17"/>
      <c r="G9" s="40"/>
      <c r="H9" s="40"/>
      <c r="I9" s="17"/>
      <c r="J9" s="40"/>
      <c r="K9" s="17"/>
      <c r="L9" s="40"/>
      <c r="M9" s="41"/>
      <c r="N9" s="1"/>
    </row>
    <row r="10" spans="1:14" x14ac:dyDescent="0.2">
      <c r="A10" s="1"/>
      <c r="B10" s="34" t="s">
        <v>8</v>
      </c>
      <c r="C10" s="6">
        <f>'Detailed Cap Table'!G4</f>
        <v>3600000</v>
      </c>
      <c r="D10" s="1"/>
      <c r="E10" s="5"/>
      <c r="F10" s="1"/>
      <c r="G10" s="1"/>
      <c r="H10" s="5"/>
      <c r="I10" s="1"/>
      <c r="J10" s="5"/>
      <c r="K10" s="1"/>
      <c r="L10" s="5">
        <f>C10+E10+H10+J10</f>
        <v>3600000</v>
      </c>
      <c r="M10" s="37">
        <f ca="1">L10/$L$22</f>
        <v>0.19407509228944511</v>
      </c>
      <c r="N10" s="1"/>
    </row>
    <row r="11" spans="1:14" x14ac:dyDescent="0.2">
      <c r="A11" s="1"/>
      <c r="B11" s="34" t="s">
        <v>9</v>
      </c>
      <c r="C11" s="6">
        <f>'Detailed Cap Table'!G5</f>
        <v>3600000</v>
      </c>
      <c r="D11" s="1"/>
      <c r="E11" s="5"/>
      <c r="F11" s="1"/>
      <c r="G11" s="1"/>
      <c r="H11" s="5"/>
      <c r="I11" s="1"/>
      <c r="J11" s="5"/>
      <c r="K11" s="1"/>
      <c r="L11" s="5">
        <f>C11+E11+H11+J11</f>
        <v>3600000</v>
      </c>
      <c r="M11" s="37">
        <f ca="1">L11/$L$22</f>
        <v>0.19407509228944511</v>
      </c>
      <c r="N11" s="1"/>
    </row>
    <row r="12" spans="1:14" ht="14.5" customHeight="1" x14ac:dyDescent="0.2">
      <c r="A12" s="1"/>
      <c r="B12" s="34" t="s">
        <v>84</v>
      </c>
      <c r="C12" s="6">
        <f>'Detailed Cap Table'!C23-'Detailed Cap Table'!C4-'Detailed Cap Table'!C5+'Detailed Cap Table'!D23-'Detailed Cap Table'!D21+'Detailed Cap Table'!F23</f>
        <v>2264315</v>
      </c>
      <c r="D12" s="1"/>
      <c r="E12" s="5"/>
      <c r="F12" s="1"/>
      <c r="G12" s="1"/>
      <c r="H12" s="5"/>
      <c r="I12" s="1"/>
      <c r="J12" s="5"/>
      <c r="K12" s="1"/>
      <c r="L12" s="5">
        <f>C12+E12+H12+J12</f>
        <v>2264315</v>
      </c>
      <c r="M12" s="37">
        <f ca="1">L12/$L$22</f>
        <v>0.12206865072149302</v>
      </c>
      <c r="N12" s="1"/>
    </row>
    <row r="13" spans="1:14" x14ac:dyDescent="0.2">
      <c r="A13" s="1"/>
      <c r="B13" s="34" t="s">
        <v>78</v>
      </c>
      <c r="C13" s="6">
        <f>'Detailed Cap Table'!E23</f>
        <v>210843</v>
      </c>
      <c r="D13" s="1"/>
      <c r="E13" s="5"/>
      <c r="F13" s="1"/>
      <c r="G13" s="1"/>
      <c r="H13" s="5"/>
      <c r="I13" s="1"/>
      <c r="J13" s="5"/>
      <c r="K13" s="1"/>
      <c r="L13" s="5">
        <f>C13+E13+H13+J13</f>
        <v>210843</v>
      </c>
      <c r="M13" s="37">
        <f ca="1">L13/$L$22</f>
        <v>1.1366492967662076E-2</v>
      </c>
      <c r="N13" s="1"/>
    </row>
    <row r="14" spans="1:14" x14ac:dyDescent="0.2">
      <c r="A14" s="1"/>
      <c r="B14" s="34" t="s">
        <v>79</v>
      </c>
      <c r="C14" s="6">
        <f>'Detailed Cap Table'!G21</f>
        <v>65105</v>
      </c>
      <c r="D14" s="1"/>
      <c r="E14" s="5"/>
      <c r="F14" s="1"/>
      <c r="G14" s="1"/>
      <c r="H14" s="5"/>
      <c r="I14" s="1"/>
      <c r="J14" s="5">
        <f ca="1">IFERROR(ROUND(0.1*L22-C14,0),0)</f>
        <v>1789847</v>
      </c>
      <c r="K14" s="1"/>
      <c r="L14" s="5">
        <f ca="1">C14+E14+H14+J14</f>
        <v>1854952</v>
      </c>
      <c r="M14" s="37">
        <f ca="1">L14/$L$22</f>
        <v>9.9999994609025214E-2</v>
      </c>
      <c r="N14" s="1"/>
    </row>
    <row r="15" spans="1:14" x14ac:dyDescent="0.2">
      <c r="A15" s="1"/>
      <c r="B15" s="35" t="s">
        <v>67</v>
      </c>
      <c r="C15" s="11">
        <f>SUM(C10:C14)</f>
        <v>9740263</v>
      </c>
      <c r="D15" s="1">
        <f>SUM(D10:D14)</f>
        <v>0</v>
      </c>
      <c r="E15" s="5">
        <f>SUM(E10:E14)</f>
        <v>0</v>
      </c>
      <c r="F15" s="1"/>
      <c r="G15" s="1">
        <f>SUM(G10:G14)</f>
        <v>0</v>
      </c>
      <c r="H15" s="5">
        <f>SUM(H10:H14)</f>
        <v>0</v>
      </c>
      <c r="I15" s="1"/>
      <c r="J15" s="5">
        <f ca="1">SUM(J10:J14)</f>
        <v>1789847</v>
      </c>
      <c r="K15" s="1"/>
      <c r="L15" s="5">
        <f ca="1">SUM(L10:L14)</f>
        <v>11530110</v>
      </c>
      <c r="M15" s="37">
        <f ca="1">L15/$L$22</f>
        <v>0.62158532287707047</v>
      </c>
      <c r="N15" s="1"/>
    </row>
    <row r="16" spans="1:14" x14ac:dyDescent="0.2">
      <c r="A16" s="1"/>
      <c r="B16" s="35" t="s">
        <v>68</v>
      </c>
      <c r="C16" s="5"/>
      <c r="D16" s="1"/>
      <c r="E16" s="5"/>
      <c r="F16" s="1"/>
      <c r="G16" s="1"/>
      <c r="H16" s="5"/>
      <c r="I16" s="1"/>
      <c r="J16" s="5"/>
      <c r="K16" s="1"/>
      <c r="L16" s="5"/>
      <c r="M16" s="37"/>
      <c r="N16" s="1"/>
    </row>
    <row r="17" spans="1:14" x14ac:dyDescent="0.2">
      <c r="A17" s="1"/>
      <c r="B17" s="34" t="s">
        <v>42</v>
      </c>
      <c r="C17" s="5"/>
      <c r="D17" s="38">
        <f>'SAFE Investments'!C6+'SAFE Investments'!C7+'SAFE Investments'!C8+'SAFE Investments'!C15+'SAFE Investments'!C16+'SAFE Investments'!C17+'SAFE Investments'!C21+'SAFE Investments'!C24</f>
        <v>8000000</v>
      </c>
      <c r="E17" s="5">
        <f>IFERROR(ROUND(D17/$E$24,0),0)</f>
        <v>1939567</v>
      </c>
      <c r="F17" s="1"/>
      <c r="G17" s="39">
        <v>5000000</v>
      </c>
      <c r="H17" s="5">
        <f ca="1">IFERROR(ROUND(G17/$H$24,0),0)</f>
        <v>1159345</v>
      </c>
      <c r="I17" s="1"/>
      <c r="J17" s="5"/>
      <c r="K17" s="1"/>
      <c r="L17" s="5">
        <f ca="1">C17+E17+H17+J17</f>
        <v>3098912</v>
      </c>
      <c r="M17" s="37">
        <f ca="1">L17/$L$22</f>
        <v>0.16706156455468579</v>
      </c>
      <c r="N17" s="1"/>
    </row>
    <row r="18" spans="1:14" x14ac:dyDescent="0.2">
      <c r="A18" s="1"/>
      <c r="B18" s="34" t="s">
        <v>87</v>
      </c>
      <c r="C18" s="5"/>
      <c r="D18" s="38">
        <f>'SAFE Investments'!C27-D17</f>
        <v>1825000</v>
      </c>
      <c r="E18" s="5">
        <f>IFERROR(ROUND(D18/$E$24,0),0)</f>
        <v>442464</v>
      </c>
      <c r="F18" s="1"/>
      <c r="G18" s="45"/>
      <c r="H18" s="5"/>
      <c r="I18" s="1"/>
      <c r="J18" s="5"/>
      <c r="K18" s="1"/>
      <c r="L18" s="5">
        <f>C18+E18+H18+J18</f>
        <v>442464</v>
      </c>
      <c r="M18" s="37">
        <f ca="1">L18/$L$22</f>
        <v>2.3853122676321399E-2</v>
      </c>
      <c r="N18" s="1"/>
    </row>
    <row r="19" spans="1:14" x14ac:dyDescent="0.2">
      <c r="A19" s="1"/>
      <c r="B19" s="34" t="s">
        <v>89</v>
      </c>
      <c r="C19" s="5"/>
      <c r="D19" s="1"/>
      <c r="E19" s="5"/>
      <c r="F19" s="1"/>
      <c r="G19" s="39">
        <v>12000000</v>
      </c>
      <c r="H19" s="5">
        <f ca="1">IFERROR(ROUND(G19/$H$24,0),0)</f>
        <v>2782428</v>
      </c>
      <c r="I19" s="1"/>
      <c r="J19" s="5"/>
      <c r="K19" s="1"/>
      <c r="L19" s="5">
        <f ca="1">C19+E19+H19+J19</f>
        <v>2782428</v>
      </c>
      <c r="M19" s="37">
        <f ca="1">L19/$L$22</f>
        <v>0.14999999191353783</v>
      </c>
      <c r="N19" s="1"/>
    </row>
    <row r="20" spans="1:14" x14ac:dyDescent="0.2">
      <c r="A20" s="1"/>
      <c r="B20" s="34" t="s">
        <v>81</v>
      </c>
      <c r="C20" s="5"/>
      <c r="D20" s="1"/>
      <c r="E20" s="5"/>
      <c r="F20" s="1"/>
      <c r="G20" s="39">
        <v>3000000</v>
      </c>
      <c r="H20" s="5">
        <f ca="1">IFERROR(ROUND(G20/$H$24,0),0)</f>
        <v>695607</v>
      </c>
      <c r="I20" s="1"/>
      <c r="J20" s="5"/>
      <c r="K20" s="1"/>
      <c r="L20" s="5">
        <f ca="1">C20+E20+H20+J20</f>
        <v>695607</v>
      </c>
      <c r="M20" s="37">
        <f ca="1">L20/$L$22</f>
        <v>3.7499997978384457E-2</v>
      </c>
      <c r="N20" s="1"/>
    </row>
    <row r="21" spans="1:14" x14ac:dyDescent="0.2">
      <c r="A21" s="1"/>
      <c r="B21" s="14"/>
      <c r="C21" s="5"/>
      <c r="D21" s="1"/>
      <c r="E21" s="5"/>
      <c r="F21" s="1"/>
      <c r="G21" s="1"/>
      <c r="H21" s="5"/>
      <c r="I21" s="1"/>
      <c r="J21" s="5"/>
      <c r="K21" s="1"/>
      <c r="L21" s="5"/>
      <c r="M21" s="37"/>
      <c r="N21" s="1"/>
    </row>
    <row r="22" spans="1:14" x14ac:dyDescent="0.2">
      <c r="A22" s="1"/>
      <c r="B22" s="35" t="s">
        <v>69</v>
      </c>
      <c r="C22" s="11">
        <f>C15+SUM(C17:C20)</f>
        <v>9740263</v>
      </c>
      <c r="D22" s="16">
        <f>SUM(D10:D20)</f>
        <v>9825000</v>
      </c>
      <c r="E22" s="11">
        <f>SUM(E10:E20)</f>
        <v>2382031</v>
      </c>
      <c r="F22" s="1"/>
      <c r="G22" s="16">
        <f>SUM(G10:G20)</f>
        <v>20000000</v>
      </c>
      <c r="H22" s="11">
        <f ca="1">SUM(H10:H20)</f>
        <v>4637380</v>
      </c>
      <c r="I22" s="1"/>
      <c r="J22" s="11">
        <f ca="1">J14</f>
        <v>1789847</v>
      </c>
      <c r="K22" s="1"/>
      <c r="L22" s="12">
        <f ca="1">SUM(L17:L20)+L15</f>
        <v>18549521</v>
      </c>
      <c r="M22" s="49">
        <f ca="1">SUM(M17:M20)+M15</f>
        <v>0.99999999999999989</v>
      </c>
      <c r="N22" s="1"/>
    </row>
    <row r="23" spans="1:14" ht="13.75" customHeight="1" thickBot="1" x14ac:dyDescent="0.25">
      <c r="A23" s="1"/>
      <c r="B23" s="14"/>
      <c r="C23" s="1"/>
      <c r="D23" s="1"/>
      <c r="E23" s="1"/>
      <c r="F23" s="1"/>
      <c r="G23" s="1"/>
      <c r="H23" s="1"/>
      <c r="I23" s="1"/>
      <c r="J23" s="1"/>
      <c r="K23" s="1"/>
      <c r="L23" s="1"/>
      <c r="M23" s="42"/>
      <c r="N23" s="1"/>
    </row>
    <row r="24" spans="1:14" ht="13.75" customHeight="1" thickBot="1" x14ac:dyDescent="0.25">
      <c r="A24" s="1"/>
      <c r="B24" s="35" t="s">
        <v>83</v>
      </c>
      <c r="C24" s="1"/>
      <c r="D24" s="1"/>
      <c r="E24" s="47">
        <f>(50000000-'SAFE Investments'!C27)/'Detailed Cap Table'!G23</f>
        <v>4.1246319529565065</v>
      </c>
      <c r="F24" s="1"/>
      <c r="G24" s="1"/>
      <c r="H24" s="47">
        <f ca="1">H26/L22</f>
        <v>4.3127798286543353</v>
      </c>
      <c r="I24" s="1"/>
      <c r="J24" s="1"/>
      <c r="K24" s="1"/>
      <c r="L24" s="1"/>
      <c r="M24" s="42"/>
      <c r="N24" s="1"/>
    </row>
    <row r="25" spans="1:14" x14ac:dyDescent="0.2">
      <c r="A25" s="1"/>
      <c r="B25" s="14" t="s">
        <v>70</v>
      </c>
      <c r="C25" s="1"/>
      <c r="D25" s="1"/>
      <c r="E25" s="48">
        <f>E26-D22</f>
        <v>40175000</v>
      </c>
      <c r="F25" s="1"/>
      <c r="G25" s="1"/>
      <c r="H25" s="48">
        <f>H26-G22</f>
        <v>60000000</v>
      </c>
      <c r="I25" s="1"/>
      <c r="J25" s="1"/>
      <c r="K25" s="1"/>
      <c r="L25" s="1"/>
      <c r="M25" s="42"/>
      <c r="N25" s="1"/>
    </row>
    <row r="26" spans="1:14" ht="13.75" customHeight="1" thickBot="1" x14ac:dyDescent="0.25">
      <c r="A26" s="1"/>
      <c r="B26" s="15" t="s">
        <v>71</v>
      </c>
      <c r="C26" s="13"/>
      <c r="D26" s="13"/>
      <c r="E26" s="46">
        <v>50000000</v>
      </c>
      <c r="F26" s="13"/>
      <c r="G26" s="13"/>
      <c r="H26" s="46">
        <v>80000000</v>
      </c>
      <c r="I26" s="13"/>
      <c r="J26" s="13"/>
      <c r="K26" s="13"/>
      <c r="L26" s="13"/>
      <c r="M26" s="43"/>
      <c r="N26" s="1"/>
    </row>
    <row r="27" spans="1:14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E1C34-FB00-1941-98D2-BB5AC36E7A37}">
  <dimension ref="A1:W33"/>
  <sheetViews>
    <sheetView showGridLines="0" workbookViewId="0"/>
  </sheetViews>
  <sheetFormatPr baseColWidth="10" defaultRowHeight="16" x14ac:dyDescent="0.2"/>
  <cols>
    <col min="1" max="1" width="6.33203125" customWidth="1"/>
    <col min="2" max="2" width="35.5" customWidth="1"/>
    <col min="3" max="3" width="16.83203125" customWidth="1"/>
    <col min="4" max="4" width="17.6640625" customWidth="1"/>
    <col min="5" max="5" width="16.83203125" customWidth="1"/>
    <col min="6" max="6" width="3.33203125" customWidth="1"/>
    <col min="7" max="7" width="13.83203125" customWidth="1"/>
    <col min="8" max="8" width="3.33203125" customWidth="1"/>
    <col min="9" max="9" width="15.5" customWidth="1"/>
    <col min="10" max="10" width="16.83203125" customWidth="1"/>
    <col min="11" max="11" width="3.33203125" customWidth="1"/>
    <col min="12" max="12" width="13.83203125" customWidth="1"/>
    <col min="13" max="13" width="3.33203125" customWidth="1"/>
    <col min="14" max="14" width="15.5" customWidth="1"/>
    <col min="15" max="15" width="16.83203125" customWidth="1"/>
    <col min="16" max="16" width="3.33203125" customWidth="1"/>
    <col min="17" max="17" width="13.83203125" customWidth="1"/>
    <col min="18" max="18" width="3.33203125" customWidth="1"/>
    <col min="19" max="19" width="15.5" customWidth="1"/>
    <col min="20" max="20" width="9.33203125" customWidth="1"/>
    <col min="21" max="21" width="6.83203125" customWidth="1"/>
    <col min="22" max="22" width="15.5" customWidth="1"/>
    <col min="23" max="23" width="13" customWidth="1"/>
  </cols>
  <sheetData>
    <row r="1" spans="1:23" x14ac:dyDescent="0.2">
      <c r="A1" s="1"/>
      <c r="B1" s="10" t="s">
        <v>88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"/>
      <c r="V1" s="1"/>
      <c r="W1" s="1"/>
    </row>
    <row r="2" spans="1:23" ht="15.5" customHeight="1" x14ac:dyDescent="0.2">
      <c r="A2" s="1"/>
      <c r="B2" s="10" t="s">
        <v>90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"/>
      <c r="V2" s="1"/>
      <c r="W2" s="1"/>
    </row>
    <row r="3" spans="1:23" ht="16.25" customHeight="1" thickBot="1" x14ac:dyDescent="0.25">
      <c r="A3" s="1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"/>
      <c r="V3" s="1"/>
      <c r="W3" s="1"/>
    </row>
    <row r="4" spans="1:23" ht="13.75" customHeight="1" thickBot="1" x14ac:dyDescent="0.25">
      <c r="A4" s="1"/>
      <c r="B4" s="1"/>
      <c r="C4" s="26" t="s">
        <v>52</v>
      </c>
      <c r="D4" s="26" t="s">
        <v>26</v>
      </c>
      <c r="E4" s="31"/>
      <c r="F4" s="1"/>
      <c r="G4" s="31" t="s">
        <v>53</v>
      </c>
      <c r="H4" s="1"/>
      <c r="I4" s="26" t="s">
        <v>54</v>
      </c>
      <c r="J4" s="27"/>
      <c r="K4" s="1"/>
      <c r="L4" s="31" t="s">
        <v>53</v>
      </c>
      <c r="M4" s="1"/>
      <c r="N4" s="26" t="s">
        <v>73</v>
      </c>
      <c r="O4" s="27"/>
      <c r="P4" s="1"/>
      <c r="Q4" s="31" t="s">
        <v>53</v>
      </c>
      <c r="R4" s="1"/>
      <c r="S4" s="26" t="s">
        <v>55</v>
      </c>
      <c r="T4" s="27"/>
      <c r="U4" s="1"/>
      <c r="V4" s="1"/>
      <c r="W4" s="1"/>
    </row>
    <row r="5" spans="1:23" x14ac:dyDescent="0.2">
      <c r="A5" s="1"/>
      <c r="B5" s="1"/>
      <c r="C5" s="26" t="s">
        <v>56</v>
      </c>
      <c r="D5" s="26" t="s">
        <v>57</v>
      </c>
      <c r="E5" s="31" t="s">
        <v>58</v>
      </c>
      <c r="F5" s="1"/>
      <c r="G5" s="30" t="s">
        <v>59</v>
      </c>
      <c r="H5" s="1"/>
      <c r="I5" s="26" t="s">
        <v>57</v>
      </c>
      <c r="J5" s="27" t="s">
        <v>58</v>
      </c>
      <c r="K5" s="1"/>
      <c r="L5" s="30" t="s">
        <v>59</v>
      </c>
      <c r="M5" s="1"/>
      <c r="N5" s="26" t="s">
        <v>57</v>
      </c>
      <c r="O5" s="27" t="s">
        <v>58</v>
      </c>
      <c r="P5" s="1"/>
      <c r="Q5" s="30" t="s">
        <v>59</v>
      </c>
      <c r="R5" s="1"/>
      <c r="S5" s="26" t="s">
        <v>60</v>
      </c>
      <c r="T5" s="27" t="s">
        <v>61</v>
      </c>
      <c r="U5" s="1"/>
      <c r="V5" s="1"/>
      <c r="W5" s="1"/>
    </row>
    <row r="6" spans="1:23" ht="13.75" customHeight="1" thickBot="1" x14ac:dyDescent="0.25">
      <c r="A6" s="1"/>
      <c r="B6" s="44" t="s">
        <v>91</v>
      </c>
      <c r="C6" s="28" t="s">
        <v>62</v>
      </c>
      <c r="D6" s="28" t="s">
        <v>63</v>
      </c>
      <c r="E6" s="32" t="s">
        <v>62</v>
      </c>
      <c r="F6" s="1"/>
      <c r="G6" s="32" t="s">
        <v>64</v>
      </c>
      <c r="H6" s="1"/>
      <c r="I6" s="28" t="s">
        <v>63</v>
      </c>
      <c r="J6" s="29" t="s">
        <v>62</v>
      </c>
      <c r="K6" s="1"/>
      <c r="L6" s="32" t="s">
        <v>74</v>
      </c>
      <c r="M6" s="1"/>
      <c r="N6" s="28" t="s">
        <v>63</v>
      </c>
      <c r="O6" s="29" t="s">
        <v>62</v>
      </c>
      <c r="P6" s="1"/>
      <c r="Q6" s="32" t="s">
        <v>85</v>
      </c>
      <c r="R6" s="1"/>
      <c r="S6" s="28" t="s">
        <v>62</v>
      </c>
      <c r="T6" s="29" t="s">
        <v>65</v>
      </c>
      <c r="U6" s="1"/>
      <c r="V6" s="1"/>
      <c r="W6" s="1"/>
    </row>
    <row r="7" spans="1:23" x14ac:dyDescent="0.2">
      <c r="A7" s="1"/>
      <c r="B7" s="33" t="s">
        <v>66</v>
      </c>
      <c r="C7" s="40"/>
      <c r="D7" s="40"/>
      <c r="E7" s="40"/>
      <c r="F7" s="17"/>
      <c r="G7" s="40"/>
      <c r="H7" s="17"/>
      <c r="I7" s="40"/>
      <c r="J7" s="40"/>
      <c r="K7" s="17"/>
      <c r="L7" s="40"/>
      <c r="M7" s="17"/>
      <c r="N7" s="40"/>
      <c r="O7" s="40"/>
      <c r="P7" s="17"/>
      <c r="Q7" s="40"/>
      <c r="R7" s="17"/>
      <c r="S7" s="40"/>
      <c r="T7" s="42"/>
      <c r="U7" s="1"/>
      <c r="V7" s="1"/>
      <c r="W7" s="1"/>
    </row>
    <row r="8" spans="1:23" x14ac:dyDescent="0.2">
      <c r="A8" s="1"/>
      <c r="B8" s="34" t="s">
        <v>8</v>
      </c>
      <c r="C8" s="6">
        <f>SeriesA!C10</f>
        <v>3600000</v>
      </c>
      <c r="D8" s="1"/>
      <c r="E8" s="5"/>
      <c r="F8" s="1"/>
      <c r="G8" s="5"/>
      <c r="H8" s="1"/>
      <c r="I8" s="1"/>
      <c r="J8" s="5"/>
      <c r="K8" s="1"/>
      <c r="L8" s="5"/>
      <c r="M8" s="1"/>
      <c r="N8" s="1"/>
      <c r="O8" s="5"/>
      <c r="P8" s="1"/>
      <c r="Q8" s="5"/>
      <c r="R8" s="1"/>
      <c r="S8" s="5">
        <f>C8+E8+G8+J8+L8+O8+Q8</f>
        <v>3600000</v>
      </c>
      <c r="T8" s="37">
        <f ca="1">S8/$S$21</f>
        <v>0.14814398426579203</v>
      </c>
      <c r="U8" s="1"/>
      <c r="V8" s="1"/>
      <c r="W8" s="1"/>
    </row>
    <row r="9" spans="1:23" x14ac:dyDescent="0.2">
      <c r="A9" s="1"/>
      <c r="B9" s="34" t="s">
        <v>9</v>
      </c>
      <c r="C9" s="6">
        <f>SeriesA!C11</f>
        <v>3600000</v>
      </c>
      <c r="D9" s="1"/>
      <c r="E9" s="5"/>
      <c r="F9" s="1"/>
      <c r="G9" s="5"/>
      <c r="H9" s="1"/>
      <c r="I9" s="1"/>
      <c r="J9" s="5"/>
      <c r="K9" s="1"/>
      <c r="L9" s="5"/>
      <c r="M9" s="1"/>
      <c r="N9" s="1"/>
      <c r="O9" s="5"/>
      <c r="P9" s="1"/>
      <c r="Q9" s="5"/>
      <c r="R9" s="1"/>
      <c r="S9" s="5">
        <f>C9+E9+G9+J9+L9+O9+Q9</f>
        <v>3600000</v>
      </c>
      <c r="T9" s="37">
        <f ca="1">S9/$S$21</f>
        <v>0.14814398426579203</v>
      </c>
      <c r="U9" s="1"/>
      <c r="V9" s="1"/>
      <c r="W9" s="1"/>
    </row>
    <row r="10" spans="1:23" x14ac:dyDescent="0.2">
      <c r="A10" s="1"/>
      <c r="B10" s="34" t="s">
        <v>84</v>
      </c>
      <c r="C10" s="6">
        <f>SeriesA!C12</f>
        <v>2264315</v>
      </c>
      <c r="D10" s="1"/>
      <c r="E10" s="5"/>
      <c r="F10" s="1"/>
      <c r="G10" s="5"/>
      <c r="H10" s="1"/>
      <c r="I10" s="1"/>
      <c r="J10" s="5"/>
      <c r="K10" s="1"/>
      <c r="L10" s="5"/>
      <c r="M10" s="1"/>
      <c r="N10" s="1"/>
      <c r="O10" s="5"/>
      <c r="P10" s="1"/>
      <c r="Q10" s="5"/>
      <c r="R10" s="1"/>
      <c r="S10" s="5">
        <f>C10+E10+G10+J10+L10+O10+Q10</f>
        <v>2264315</v>
      </c>
      <c r="T10" s="37">
        <f ca="1">S10/$S$21</f>
        <v>9.3179068259110251E-2</v>
      </c>
      <c r="U10" s="1"/>
      <c r="V10" s="1"/>
      <c r="W10" s="1"/>
    </row>
    <row r="11" spans="1:23" x14ac:dyDescent="0.2">
      <c r="A11" s="1"/>
      <c r="B11" s="34" t="s">
        <v>78</v>
      </c>
      <c r="C11" s="6">
        <f>SeriesA!C13</f>
        <v>210843</v>
      </c>
      <c r="D11" s="1"/>
      <c r="E11" s="5"/>
      <c r="F11" s="1"/>
      <c r="G11" s="5"/>
      <c r="H11" s="1"/>
      <c r="I11" s="1"/>
      <c r="J11" s="5"/>
      <c r="K11" s="1"/>
      <c r="L11" s="5"/>
      <c r="M11" s="1"/>
      <c r="N11" s="1"/>
      <c r="O11" s="5"/>
      <c r="P11" s="1"/>
      <c r="Q11" s="5"/>
      <c r="R11" s="1"/>
      <c r="S11" s="5">
        <f>C11+E11+G11+J11+L11+O11+Q11</f>
        <v>210843</v>
      </c>
      <c r="T11" s="37">
        <f ca="1">S11/$S$21</f>
        <v>8.6764227984867746E-3</v>
      </c>
      <c r="U11" s="1"/>
      <c r="V11" s="1"/>
      <c r="W11" s="1"/>
    </row>
    <row r="12" spans="1:23" x14ac:dyDescent="0.2">
      <c r="A12" s="1"/>
      <c r="B12" s="34" t="s">
        <v>79</v>
      </c>
      <c r="C12" s="6">
        <f>SeriesA!C14</f>
        <v>65105</v>
      </c>
      <c r="D12" s="1"/>
      <c r="E12" s="5"/>
      <c r="F12" s="1"/>
      <c r="G12" s="5">
        <f ca="1">SeriesA!J14</f>
        <v>1789847</v>
      </c>
      <c r="H12" s="1"/>
      <c r="I12" s="1"/>
      <c r="J12" s="5"/>
      <c r="K12" s="1"/>
      <c r="L12" s="5"/>
      <c r="M12" s="1"/>
      <c r="N12" s="1"/>
      <c r="O12" s="5"/>
      <c r="P12" s="1"/>
      <c r="Q12" s="5">
        <f ca="1">IFERROR(ROUND(0.07*S21,0),0)</f>
        <v>1701048</v>
      </c>
      <c r="R12" s="1"/>
      <c r="S12" s="5">
        <f ca="1">C12+E12+G12+J12+L12+O12+Q12</f>
        <v>3556000</v>
      </c>
      <c r="T12" s="37">
        <f ca="1">S12/$S$21</f>
        <v>0.14633333556921013</v>
      </c>
      <c r="U12" s="1"/>
      <c r="V12" s="1"/>
      <c r="W12" s="1"/>
    </row>
    <row r="13" spans="1:23" ht="13.5" customHeight="1" x14ac:dyDescent="0.2">
      <c r="A13" s="1"/>
      <c r="B13" s="34"/>
      <c r="C13" s="5"/>
      <c r="D13" s="1"/>
      <c r="E13" s="5"/>
      <c r="F13" s="1"/>
      <c r="G13" s="5"/>
      <c r="H13" s="1"/>
      <c r="I13" s="1"/>
      <c r="J13" s="5"/>
      <c r="K13" s="1"/>
      <c r="L13" s="5"/>
      <c r="M13" s="1"/>
      <c r="N13" s="1"/>
      <c r="O13" s="5"/>
      <c r="P13" s="1"/>
      <c r="Q13" s="5"/>
      <c r="R13" s="1"/>
      <c r="S13" s="5"/>
      <c r="T13" s="37"/>
      <c r="U13" s="1"/>
      <c r="V13" s="2">
        <f ca="1">Q12/S21</f>
        <v>7.0000007818710283E-2</v>
      </c>
      <c r="W13" s="1"/>
    </row>
    <row r="14" spans="1:23" x14ac:dyDescent="0.2">
      <c r="A14" s="1"/>
      <c r="B14" s="35" t="s">
        <v>67</v>
      </c>
      <c r="C14" s="11">
        <f>SUM(C8:C12)</f>
        <v>9740263</v>
      </c>
      <c r="D14" s="1">
        <f>SUM(D8:D12)</f>
        <v>0</v>
      </c>
      <c r="E14" s="5">
        <f>SUM(E8:E12)</f>
        <v>0</v>
      </c>
      <c r="F14" s="1"/>
      <c r="G14" s="11">
        <f ca="1">SUM(G8:G12)</f>
        <v>1789847</v>
      </c>
      <c r="H14" s="1"/>
      <c r="I14" s="1">
        <f>SUM(I8:I12)</f>
        <v>0</v>
      </c>
      <c r="J14" s="5">
        <f>SUM(J8:J12)</f>
        <v>0</v>
      </c>
      <c r="K14" s="1"/>
      <c r="L14" s="11">
        <f>SUM(L8:L12)</f>
        <v>0</v>
      </c>
      <c r="M14" s="1"/>
      <c r="N14" s="1">
        <f>SUM(N8:N12)</f>
        <v>0</v>
      </c>
      <c r="O14" s="5">
        <f>SUM(O8:O12)</f>
        <v>0</v>
      </c>
      <c r="P14" s="1"/>
      <c r="Q14" s="11">
        <f ca="1">SUM(Q8:Q12)</f>
        <v>1701048</v>
      </c>
      <c r="R14" s="1"/>
      <c r="S14" s="5">
        <f ca="1">SUM(S8:S12)</f>
        <v>13231158</v>
      </c>
      <c r="T14" s="37">
        <f ca="1">S14/$S$21</f>
        <v>0.5444767951583912</v>
      </c>
      <c r="U14" s="1"/>
      <c r="V14" s="1"/>
      <c r="W14" s="1"/>
    </row>
    <row r="15" spans="1:23" x14ac:dyDescent="0.2">
      <c r="A15" s="1"/>
      <c r="B15" s="35" t="s">
        <v>68</v>
      </c>
      <c r="C15" s="5"/>
      <c r="D15" s="1"/>
      <c r="E15" s="5"/>
      <c r="F15" s="1"/>
      <c r="G15" s="5"/>
      <c r="H15" s="1"/>
      <c r="I15" s="1"/>
      <c r="J15" s="5"/>
      <c r="K15" s="1"/>
      <c r="L15" s="5"/>
      <c r="M15" s="1"/>
      <c r="N15" s="1"/>
      <c r="O15" s="5"/>
      <c r="P15" s="1"/>
      <c r="Q15" s="5"/>
      <c r="R15" s="1"/>
      <c r="S15" s="5"/>
      <c r="T15" s="37"/>
      <c r="U15" s="1"/>
      <c r="V15" s="1"/>
      <c r="W15" s="1"/>
    </row>
    <row r="16" spans="1:23" x14ac:dyDescent="0.2">
      <c r="A16" s="1"/>
      <c r="B16" s="34" t="s">
        <v>42</v>
      </c>
      <c r="C16" s="5"/>
      <c r="D16" s="38">
        <f>SeriesA!D17</f>
        <v>8000000</v>
      </c>
      <c r="E16" s="6">
        <f>SeriesA!E17</f>
        <v>1939567</v>
      </c>
      <c r="F16" s="1"/>
      <c r="G16" s="5"/>
      <c r="H16" s="1"/>
      <c r="I16" s="38">
        <f>SeriesA!G17</f>
        <v>5000000</v>
      </c>
      <c r="J16" s="6">
        <f ca="1">SeriesA!H17</f>
        <v>1159345</v>
      </c>
      <c r="K16" s="1"/>
      <c r="L16" s="5"/>
      <c r="M16" s="1"/>
      <c r="N16" s="39">
        <v>3750000</v>
      </c>
      <c r="O16" s="5">
        <f ca="1">IFERROR(ROUND(N16/$O$23,0),0)</f>
        <v>506264</v>
      </c>
      <c r="P16" s="1"/>
      <c r="Q16" s="5"/>
      <c r="R16" s="1"/>
      <c r="S16" s="5">
        <f ca="1">E16+C16+J16+O16</f>
        <v>3605176</v>
      </c>
      <c r="T16" s="37">
        <f ca="1">S16/$S$21</f>
        <v>0.14835698239428086</v>
      </c>
      <c r="U16" s="1"/>
      <c r="V16" s="1"/>
      <c r="W16" s="1"/>
    </row>
    <row r="17" spans="1:23" x14ac:dyDescent="0.2">
      <c r="A17" s="1"/>
      <c r="B17" s="34" t="s">
        <v>87</v>
      </c>
      <c r="C17" s="5"/>
      <c r="D17" s="38">
        <f>SeriesA!D18</f>
        <v>1825000</v>
      </c>
      <c r="E17" s="6">
        <f>SeriesA!E18</f>
        <v>442464</v>
      </c>
      <c r="F17" s="1"/>
      <c r="G17" s="5"/>
      <c r="H17" s="1"/>
      <c r="I17" s="45"/>
      <c r="J17" s="5"/>
      <c r="K17" s="1"/>
      <c r="L17" s="5"/>
      <c r="M17" s="1"/>
      <c r="N17" s="45"/>
      <c r="O17" s="5"/>
      <c r="P17" s="1"/>
      <c r="Q17" s="5"/>
      <c r="R17" s="1"/>
      <c r="S17" s="5">
        <f>E17+C17+J17+O17</f>
        <v>442464</v>
      </c>
      <c r="T17" s="37">
        <f ca="1">S17/$S$21</f>
        <v>1.8207883292827614E-2</v>
      </c>
      <c r="U17" s="1"/>
      <c r="V17" s="1"/>
      <c r="W17" s="1"/>
    </row>
    <row r="18" spans="1:23" x14ac:dyDescent="0.2">
      <c r="A18" s="1"/>
      <c r="B18" s="34" t="s">
        <v>89</v>
      </c>
      <c r="C18" s="5"/>
      <c r="D18" s="1"/>
      <c r="E18" s="5"/>
      <c r="F18" s="1"/>
      <c r="G18" s="5"/>
      <c r="H18" s="1"/>
      <c r="I18" s="38">
        <f>SeriesA!G19</f>
        <v>12000000</v>
      </c>
      <c r="J18" s="6">
        <f ca="1">SeriesA!H19</f>
        <v>2782428</v>
      </c>
      <c r="K18" s="1"/>
      <c r="L18" s="5"/>
      <c r="M18" s="1"/>
      <c r="N18" s="39">
        <v>9000000</v>
      </c>
      <c r="O18" s="5">
        <f ca="1">IFERROR(ROUND(N18/$O$23,0),0)</f>
        <v>1215034</v>
      </c>
      <c r="P18" s="1"/>
      <c r="Q18" s="5"/>
      <c r="R18" s="1"/>
      <c r="S18" s="5">
        <f ca="1">E18+C18+J18+O18</f>
        <v>3997462</v>
      </c>
      <c r="T18" s="37">
        <f ca="1">S18/$S$21</f>
        <v>0.16449998545308378</v>
      </c>
      <c r="U18" s="1"/>
      <c r="V18" s="1"/>
      <c r="W18" s="1"/>
    </row>
    <row r="19" spans="1:23" x14ac:dyDescent="0.2">
      <c r="A19" s="1"/>
      <c r="B19" s="34" t="s">
        <v>81</v>
      </c>
      <c r="C19" s="5"/>
      <c r="D19" s="1"/>
      <c r="E19" s="5"/>
      <c r="F19" s="1"/>
      <c r="G19" s="5"/>
      <c r="H19" s="1"/>
      <c r="I19" s="38">
        <f>SeriesA!G20</f>
        <v>3000000</v>
      </c>
      <c r="J19" s="6">
        <f ca="1">SeriesA!H20</f>
        <v>695607</v>
      </c>
      <c r="K19" s="1"/>
      <c r="L19" s="5"/>
      <c r="M19" s="1"/>
      <c r="N19" s="39">
        <v>2250000</v>
      </c>
      <c r="O19" s="5">
        <f ca="1">IFERROR(ROUND(N19/$O$23,0),0)</f>
        <v>303759</v>
      </c>
      <c r="P19" s="1"/>
      <c r="Q19" s="5"/>
      <c r="R19" s="1"/>
      <c r="S19" s="5">
        <f ca="1">E19+C19+J19+O19</f>
        <v>999366</v>
      </c>
      <c r="T19" s="37">
        <f ca="1">S19/$S$21</f>
        <v>4.112501693882431E-2</v>
      </c>
      <c r="U19" s="1"/>
      <c r="V19" s="1"/>
      <c r="W19" s="1"/>
    </row>
    <row r="20" spans="1:23" x14ac:dyDescent="0.2">
      <c r="A20" s="1"/>
      <c r="B20" s="34" t="s">
        <v>86</v>
      </c>
      <c r="C20" s="5"/>
      <c r="D20" s="1"/>
      <c r="E20" s="5"/>
      <c r="F20" s="1"/>
      <c r="G20" s="5"/>
      <c r="H20" s="1"/>
      <c r="I20" s="1"/>
      <c r="J20" s="5"/>
      <c r="K20" s="1"/>
      <c r="L20" s="5"/>
      <c r="M20" s="1"/>
      <c r="N20" s="39">
        <v>15000000</v>
      </c>
      <c r="O20" s="5">
        <f ca="1">IFERROR(ROUND(N20/$O$23,0),0)</f>
        <v>2025057</v>
      </c>
      <c r="P20" s="1"/>
      <c r="Q20" s="5"/>
      <c r="R20" s="1"/>
      <c r="S20" s="5">
        <f ca="1">E20+C20+J20+O20</f>
        <v>2025057</v>
      </c>
      <c r="T20" s="37">
        <f ca="1">S20/$S$21</f>
        <v>8.3333336762592233E-2</v>
      </c>
      <c r="U20" s="1"/>
      <c r="V20" s="1"/>
      <c r="W20" s="1"/>
    </row>
    <row r="21" spans="1:23" x14ac:dyDescent="0.2">
      <c r="A21" s="1"/>
      <c r="B21" s="35" t="s">
        <v>69</v>
      </c>
      <c r="C21" s="11">
        <f>C14+SUM(C16:C20)</f>
        <v>9740263</v>
      </c>
      <c r="D21" s="16">
        <f>SUM(D8:D20)</f>
        <v>9825000</v>
      </c>
      <c r="E21" s="11">
        <f>SUM(E8:E20)</f>
        <v>2382031</v>
      </c>
      <c r="F21" s="1"/>
      <c r="G21" s="11">
        <f ca="1">G12</f>
        <v>1789847</v>
      </c>
      <c r="H21" s="1"/>
      <c r="I21" s="16">
        <f>SUM(I16:I20)</f>
        <v>20000000</v>
      </c>
      <c r="J21" s="11">
        <f ca="1">SUM(J16:J20)</f>
        <v>4637380</v>
      </c>
      <c r="K21" s="1"/>
      <c r="L21" s="11">
        <f>L12</f>
        <v>0</v>
      </c>
      <c r="M21" s="1"/>
      <c r="N21" s="16">
        <f>SUM(N16:N20)</f>
        <v>30000000</v>
      </c>
      <c r="O21" s="11">
        <f ca="1">SUM(O16:O20)</f>
        <v>4050114</v>
      </c>
      <c r="P21" s="1"/>
      <c r="Q21" s="11">
        <f ca="1">Q12</f>
        <v>1701048</v>
      </c>
      <c r="R21" s="1"/>
      <c r="S21" s="12">
        <f ca="1">SUM(S16:S20)+S14</f>
        <v>24300683</v>
      </c>
      <c r="T21" s="49">
        <f ca="1">SUM(T16:T20)+T14</f>
        <v>1</v>
      </c>
      <c r="U21" s="1"/>
      <c r="V21" s="1"/>
      <c r="W21" s="1"/>
    </row>
    <row r="22" spans="1:23" ht="13.75" customHeight="1" thickBot="1" x14ac:dyDescent="0.25">
      <c r="A22" s="1"/>
      <c r="B22" s="14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42"/>
      <c r="U22" s="1"/>
      <c r="V22" s="1"/>
      <c r="W22" s="1"/>
    </row>
    <row r="23" spans="1:23" ht="13.75" customHeight="1" thickBot="1" x14ac:dyDescent="0.25">
      <c r="A23" s="1"/>
      <c r="B23" s="35" t="s">
        <v>83</v>
      </c>
      <c r="C23" s="1"/>
      <c r="D23" s="1"/>
      <c r="E23" s="51">
        <f>SeriesA!E24</f>
        <v>4.1246319529565065</v>
      </c>
      <c r="F23" s="1"/>
      <c r="G23" s="1"/>
      <c r="H23" s="1"/>
      <c r="I23" s="1"/>
      <c r="J23" s="51">
        <f ca="1">SeriesA!H24</f>
        <v>4.3127798286543353</v>
      </c>
      <c r="K23" s="1"/>
      <c r="L23" s="1"/>
      <c r="M23" s="1"/>
      <c r="N23" s="1"/>
      <c r="O23" s="47">
        <f ca="1">O25/S21</f>
        <v>7.4071992132896014</v>
      </c>
      <c r="P23" s="1"/>
      <c r="Q23" s="1"/>
      <c r="R23" s="1"/>
      <c r="S23" s="1"/>
      <c r="T23" s="42"/>
      <c r="U23" s="1"/>
      <c r="V23" s="1"/>
      <c r="W23" s="1"/>
    </row>
    <row r="24" spans="1:23" x14ac:dyDescent="0.2">
      <c r="A24" s="1"/>
      <c r="B24" s="14" t="s">
        <v>70</v>
      </c>
      <c r="C24" s="1"/>
      <c r="D24" s="1"/>
      <c r="E24" s="52">
        <f>SeriesA!E25</f>
        <v>40175000</v>
      </c>
      <c r="F24" s="1"/>
      <c r="G24" s="1"/>
      <c r="H24" s="1"/>
      <c r="I24" s="1"/>
      <c r="J24" s="52">
        <f>SeriesA!H25</f>
        <v>60000000</v>
      </c>
      <c r="K24" s="1"/>
      <c r="L24" s="1"/>
      <c r="M24" s="1"/>
      <c r="N24" s="1"/>
      <c r="O24" s="48">
        <f>O25-N21</f>
        <v>150000000</v>
      </c>
      <c r="P24" s="1"/>
      <c r="Q24" s="1"/>
      <c r="R24" s="1"/>
      <c r="S24" s="1"/>
      <c r="T24" s="42"/>
      <c r="U24" s="1"/>
      <c r="V24" s="1"/>
      <c r="W24" s="1"/>
    </row>
    <row r="25" spans="1:23" ht="13.75" customHeight="1" thickBot="1" x14ac:dyDescent="0.25">
      <c r="A25" s="1"/>
      <c r="B25" s="15" t="s">
        <v>71</v>
      </c>
      <c r="C25" s="13"/>
      <c r="D25" s="13"/>
      <c r="E25" s="50">
        <f>SeriesA!E26</f>
        <v>50000000</v>
      </c>
      <c r="F25" s="13"/>
      <c r="G25" s="13"/>
      <c r="H25" s="13"/>
      <c r="I25" s="13"/>
      <c r="J25" s="50">
        <f>SeriesA!H26</f>
        <v>80000000</v>
      </c>
      <c r="K25" s="13"/>
      <c r="L25" s="13"/>
      <c r="M25" s="13"/>
      <c r="N25" s="13"/>
      <c r="O25" s="46">
        <v>180000000</v>
      </c>
      <c r="P25" s="13"/>
      <c r="Q25" s="13"/>
      <c r="R25" s="13"/>
      <c r="S25" s="13"/>
      <c r="T25" s="43"/>
      <c r="U25" s="1"/>
      <c r="V25" s="1"/>
      <c r="W25" s="1"/>
    </row>
    <row r="26" spans="1:23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2">
      <c r="A27" s="1"/>
      <c r="B27" s="24" t="s">
        <v>75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2">
      <c r="A29" s="1"/>
      <c r="B29" s="1" t="s">
        <v>77</v>
      </c>
      <c r="C29" s="2">
        <f>O24/J25-1</f>
        <v>0.875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2">
      <c r="A30" s="1"/>
      <c r="B30" s="1" t="s">
        <v>72</v>
      </c>
      <c r="C30" s="45">
        <v>30000000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2">
      <c r="A31" s="1"/>
      <c r="B31" s="1" t="s">
        <v>76</v>
      </c>
      <c r="C31" s="2">
        <f>C30/O25</f>
        <v>0.16666666666666666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__temp__</vt:lpstr>
      <vt:lpstr>Detailed Cap Table</vt:lpstr>
      <vt:lpstr>SAFE Investments</vt:lpstr>
      <vt:lpstr>SeriesA</vt:lpstr>
      <vt:lpstr>SeriesB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Sidarth Subramanian</cp:lastModifiedBy>
  <dcterms:modified xsi:type="dcterms:W3CDTF">2026-04-15T21:43:11Z</dcterms:modified>
</cp:coreProperties>
</file>