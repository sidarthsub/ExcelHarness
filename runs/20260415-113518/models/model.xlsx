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37DC56A9-0371-EC4F-B72C-209902B9C153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Sheet9" sheetId="168" r:id="rId1"/>
    <sheet name="Detailed Cap Table" sheetId="169" r:id="rId2"/>
    <sheet name="SAFE Investments" sheetId="170" r:id="rId3"/>
    <sheet name="SeriesA" sheetId="172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72" l="1"/>
  <c r="C29" i="172"/>
  <c r="E25" i="172"/>
  <c r="H24" i="172"/>
  <c r="E24" i="172"/>
  <c r="E23" i="172"/>
  <c r="D21" i="172"/>
  <c r="C21" i="172"/>
  <c r="L12" i="172"/>
  <c r="L11" i="172"/>
  <c r="L10" i="172"/>
  <c r="G19" i="172"/>
  <c r="E17" i="172"/>
  <c r="D17" i="172"/>
  <c r="E16" i="172"/>
  <c r="E21" i="172" s="1"/>
  <c r="D16" i="172"/>
  <c r="C14" i="172"/>
  <c r="C13" i="172"/>
  <c r="C12" i="172"/>
  <c r="C11" i="172"/>
  <c r="C10" i="172"/>
  <c r="C27" i="170"/>
  <c r="C23" i="169"/>
  <c r="D23" i="169"/>
  <c r="E23" i="169"/>
  <c r="F23" i="169"/>
  <c r="G23" i="169"/>
  <c r="H8" i="169" s="1"/>
  <c r="H21" i="169"/>
  <c r="G21" i="169"/>
  <c r="H20" i="169"/>
  <c r="G20" i="169"/>
  <c r="H19" i="169"/>
  <c r="G19" i="169"/>
  <c r="G18" i="169"/>
  <c r="G17" i="169"/>
  <c r="H16" i="169"/>
  <c r="G16" i="169"/>
  <c r="H15" i="169"/>
  <c r="G15" i="169"/>
  <c r="H14" i="169"/>
  <c r="G14" i="169"/>
  <c r="G13" i="169"/>
  <c r="G12" i="169"/>
  <c r="H11" i="169"/>
  <c r="G11" i="169"/>
  <c r="H10" i="169"/>
  <c r="G10" i="169"/>
  <c r="H9" i="169"/>
  <c r="G9" i="169"/>
  <c r="G8" i="169"/>
  <c r="G7" i="169"/>
  <c r="H6" i="169"/>
  <c r="G6" i="169"/>
  <c r="H5" i="169"/>
  <c r="G5" i="169"/>
  <c r="H4" i="169"/>
  <c r="G4" i="169"/>
  <c r="L16" i="172" l="1"/>
  <c r="H17" i="169"/>
  <c r="H12" i="169"/>
  <c r="H13" i="169"/>
  <c r="H18" i="169"/>
  <c r="H7" i="169"/>
  <c r="M10" i="172" l="1"/>
  <c r="M11" i="172"/>
  <c r="M12" i="172"/>
  <c r="J13" i="172"/>
  <c r="L13" i="172"/>
  <c r="M13" i="172"/>
  <c r="L14" i="172"/>
  <c r="M14" i="172"/>
  <c r="M16" i="172"/>
  <c r="H17" i="172"/>
  <c r="L17" i="172"/>
  <c r="M17" i="172"/>
  <c r="H18" i="172"/>
  <c r="L18" i="172"/>
  <c r="M18" i="172"/>
  <c r="H19" i="172"/>
  <c r="L19" i="172"/>
  <c r="M19" i="172"/>
  <c r="H21" i="172"/>
  <c r="J21" i="172"/>
  <c r="L21" i="172"/>
  <c r="M21" i="172"/>
  <c r="H23" i="172"/>
</calcChain>
</file>

<file path=xl/sharedStrings.xml><?xml version="1.0" encoding="utf-8"?>
<sst xmlns="http://schemas.openxmlformats.org/spreadsheetml/2006/main" count="106" uniqueCount="85">
  <si>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</si>
  <si>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</si>
  <si>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</si>
  <si>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</si>
  <si>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</si>
  <si>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</si>
  <si>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</si>
  <si>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</si>
  <si>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</si>
  <si>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</si>
  <si>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</si>
  <si>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</si>
  <si>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</si>
  <si>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</si>
  <si>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</si>
  <si>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</si>
  <si>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</si>
  <si>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</si>
  <si>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</si>
  <si>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</si>
  <si>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</si>
  <si>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</si>
  <si>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</si>
  <si>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</si>
  <si>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</si>
  <si>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</si>
  <si>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</si>
  <si>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</si>
  <si>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</si>
  <si>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</si>
  <si>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</si>
  <si>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</si>
  <si>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</si>
  <si>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</si>
  <si>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</si>
  <si>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</si>
  <si>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</si>
  <si>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</si>
  <si>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</si>
  <si>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</si>
  <si>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</si>
  <si>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</si>
  <si>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</si>
  <si>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</si>
  <si>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</si>
  <si>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</si>
  <si>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</si>
  <si>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</si>
  <si>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</si>
  <si>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</si>
  <si>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</si>
  <si>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</si>
  <si>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</si>
  <si>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</si>
  <si>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</si>
  <si>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</si>
  <si>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</si>
  <si>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</si>
  <si>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</si>
  <si>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</si>
  <si>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</si>
  <si>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</si>
  <si>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</si>
  <si>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</si>
  <si>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FD</t>
  </si>
  <si>
    <t>Common Stock and Options:</t>
  </si>
  <si>
    <t>Total Common</t>
  </si>
  <si>
    <t>Preferred Rounds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</si>
  <si>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</si>
  <si>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</si>
  <si>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</si>
  <si>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</si>
  <si>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</si>
  <si>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</si>
  <si>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% Ownership</t>
  </si>
  <si>
    <t>Pre-Money Valuation Step-up</t>
  </si>
  <si>
    <t>ESOP Available</t>
  </si>
  <si>
    <t>Other Series A</t>
  </si>
  <si>
    <t>Pre-A</t>
  </si>
  <si>
    <t>Transfer from Owl Rocl Capital II, LLC (Accomplice)</t>
  </si>
  <si>
    <t>Other Common</t>
  </si>
  <si>
    <t>Other Investors</t>
  </si>
  <si>
    <t>THINK MORE SECURITY &amp; TEN ELEVEN (1011)</t>
  </si>
  <si>
    <t>SERIES A CAP TABLE</t>
  </si>
  <si>
    <t>Option Pool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</si>
</sst>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%"/>
    <numFmt numFmtId="168" formatCode="_-[$$-409]* #,##0_-;_-[$$-409]* \(#,##0\)_-;_-[$$-409]* &quot;-&quot;??;_-@_-"/>
    <numFmt numFmtId="175" formatCode="_-[$$-409]* #,##0.0000_-;_-[$$-409]* \(#,##0.0000\)_-;_-[$$-409]* &quot;-&quot;??;_-@_-"/>
  </numFmts>
  <fonts count="3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b/>
      <sz val="10"/>
      <color rgb="FF0000FF"/>
      <name val="Garamond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  <font>
      <sz val="10"/>
      <color rgb="FFC0504D"/>
      <name val="Garamond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18" fillId="0" borderId="0" xfId="0" applyFont="1"/>
    <xf numFmtId="0" fontId="19" fillId="0" borderId="0" xfId="0" applyFont="1"/>
    <xf numFmtId="165" fontId="18" fillId="0" borderId="0" xfId="0" applyNumberFormat="1" applyFont="1"/>
    <xf numFmtId="165" fontId="20" fillId="33" borderId="0" xfId="0" applyNumberFormat="1" applyFont="1" applyFill="1"/>
    <xf numFmtId="0" fontId="18" fillId="0" borderId="0" xfId="0" applyFont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center"/>
    </xf>
    <xf numFmtId="164" fontId="22" fillId="0" borderId="0" xfId="0" applyNumberFormat="1" applyFont="1" applyAlignment="1">
      <alignment horizontal="center"/>
    </xf>
    <xf numFmtId="37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37" fontId="21" fillId="0" borderId="0" xfId="0" applyNumberFormat="1" applyFont="1" applyAlignment="1">
      <alignment horizontal="center"/>
    </xf>
    <xf numFmtId="168" fontId="21" fillId="0" borderId="0" xfId="0" applyNumberFormat="1" applyFont="1" applyAlignment="1">
      <alignment horizontal="center"/>
    </xf>
    <xf numFmtId="168" fontId="20" fillId="33" borderId="0" xfId="0" applyNumberFormat="1" applyFont="1" applyFill="1" applyAlignment="1">
      <alignment horizontal="center"/>
    </xf>
    <xf numFmtId="0" fontId="27" fillId="0" borderId="0" xfId="0" applyFont="1"/>
    <xf numFmtId="0" fontId="27" fillId="0" borderId="0" xfId="0" applyFont="1" applyAlignment="1">
      <alignment horizontal="center"/>
    </xf>
    <xf numFmtId="10" fontId="27" fillId="0" borderId="0" xfId="0" applyNumberFormat="1" applyFont="1" applyAlignment="1">
      <alignment horizontal="center"/>
    </xf>
    <xf numFmtId="164" fontId="23" fillId="0" borderId="0" xfId="0" applyNumberFormat="1" applyFont="1" applyAlignment="1">
      <alignment horizontal="center"/>
    </xf>
    <xf numFmtId="0" fontId="24" fillId="0" borderId="0" xfId="0" applyFont="1" applyAlignment="1">
      <alignment horizontal="centerContinuous"/>
    </xf>
    <xf numFmtId="0" fontId="18" fillId="0" borderId="13" xfId="0" applyFont="1" applyBorder="1"/>
    <xf numFmtId="0" fontId="18" fillId="0" borderId="15" xfId="0" applyFont="1" applyBorder="1"/>
    <xf numFmtId="0" fontId="18" fillId="0" borderId="14" xfId="0" applyFont="1" applyBorder="1"/>
    <xf numFmtId="175" fontId="18" fillId="0" borderId="0" xfId="0" applyNumberFormat="1" applyFont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10" xfId="0" applyFont="1" applyBorder="1"/>
    <xf numFmtId="0" fontId="18" fillId="0" borderId="12" xfId="0" applyFont="1" applyBorder="1"/>
    <xf numFmtId="0" fontId="18" fillId="0" borderId="17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168" fontId="18" fillId="0" borderId="13" xfId="0" applyNumberFormat="1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3" fontId="28" fillId="0" borderId="0" xfId="0" applyNumberFormat="1" applyFont="1" applyAlignment="1">
      <alignment horizontal="center"/>
    </xf>
    <xf numFmtId="10" fontId="28" fillId="0" borderId="0" xfId="0" applyNumberFormat="1" applyFont="1" applyAlignment="1">
      <alignment horizontal="center"/>
    </xf>
    <xf numFmtId="164" fontId="29" fillId="0" borderId="0" xfId="0" applyNumberFormat="1" applyFont="1" applyAlignment="1">
      <alignment horizontal="center"/>
    </xf>
    <xf numFmtId="164" fontId="28" fillId="0" borderId="0" xfId="0" applyNumberFormat="1" applyFont="1" applyAlignment="1">
      <alignment horizontal="center"/>
    </xf>
    <xf numFmtId="0" fontId="30" fillId="0" borderId="0" xfId="0" applyFont="1"/>
    <xf numFmtId="0" fontId="30" fillId="0" borderId="0" xfId="0" applyFont="1" applyAlignment="1">
      <alignment horizontal="center"/>
    </xf>
    <xf numFmtId="37" fontId="25" fillId="0" borderId="0" xfId="0" applyNumberFormat="1" applyFont="1" applyAlignment="1">
      <alignment horizontal="center"/>
    </xf>
    <xf numFmtId="0" fontId="30" fillId="0" borderId="19" xfId="0" applyFont="1" applyBorder="1" applyAlignment="1">
      <alignment horizontal="center"/>
    </xf>
    <xf numFmtId="0" fontId="30" fillId="0" borderId="23" xfId="0" applyFont="1" applyBorder="1" applyAlignment="1">
      <alignment horizontal="center"/>
    </xf>
    <xf numFmtId="0" fontId="30" fillId="0" borderId="14" xfId="0" applyFont="1" applyBorder="1" applyAlignment="1">
      <alignment horizontal="center"/>
    </xf>
    <xf numFmtId="0" fontId="30" fillId="0" borderId="16" xfId="0" applyFont="1" applyBorder="1" applyAlignment="1">
      <alignment horizontal="center"/>
    </xf>
    <xf numFmtId="0" fontId="30" fillId="0" borderId="22" xfId="0" applyFont="1" applyBorder="1" applyAlignment="1">
      <alignment horizontal="center"/>
    </xf>
    <xf numFmtId="0" fontId="30" fillId="0" borderId="20" xfId="0" applyFont="1" applyBorder="1" applyAlignment="1">
      <alignment horizontal="center"/>
    </xf>
    <xf numFmtId="0" fontId="30" fillId="0" borderId="21" xfId="0" applyFont="1" applyBorder="1" applyAlignment="1">
      <alignment horizontal="center"/>
    </xf>
    <xf numFmtId="0" fontId="30" fillId="0" borderId="19" xfId="0" applyFont="1" applyBorder="1"/>
    <xf numFmtId="0" fontId="25" fillId="0" borderId="15" xfId="0" applyFont="1" applyBorder="1"/>
    <xf numFmtId="0" fontId="30" fillId="0" borderId="15" xfId="0" applyFont="1" applyBorder="1"/>
    <xf numFmtId="3" fontId="27" fillId="0" borderId="0" xfId="0" applyNumberFormat="1" applyFont="1" applyAlignment="1">
      <alignment horizontal="center"/>
    </xf>
    <xf numFmtId="165" fontId="18" fillId="0" borderId="17" xfId="0" applyNumberFormat="1" applyFont="1" applyBorder="1" applyAlignment="1">
      <alignment horizontal="center"/>
    </xf>
    <xf numFmtId="0" fontId="19" fillId="0" borderId="0" xfId="0" applyFont="1" applyAlignment="1">
      <alignment horizontal="centerContinuous"/>
    </xf>
    <xf numFmtId="165" fontId="19" fillId="0" borderId="18" xfId="0" applyNumberFormat="1" applyFont="1" applyBorder="1" applyAlignment="1">
      <alignment horizontal="center"/>
    </xf>
    <xf numFmtId="37" fontId="19" fillId="0" borderId="10" xfId="0" applyNumberFormat="1" applyFont="1" applyBorder="1" applyAlignment="1">
      <alignment horizontal="center"/>
    </xf>
    <xf numFmtId="37" fontId="19" fillId="0" borderId="11" xfId="0" applyNumberFormat="1" applyFont="1" applyBorder="1" applyAlignment="1">
      <alignment horizontal="center"/>
    </xf>
    <xf numFmtId="168" fontId="19" fillId="0" borderId="11" xfId="0" applyNumberFormat="1" applyFont="1" applyBorder="1" applyAlignment="1">
      <alignment horizontal="center"/>
    </xf>
    <xf numFmtId="175" fontId="21" fillId="0" borderId="0" xfId="0" applyNumberFormat="1" applyFont="1" applyAlignment="1">
      <alignment horizontal="center"/>
    </xf>
    <xf numFmtId="3" fontId="29" fillId="0" borderId="0" xfId="0" applyNumberFormat="1" applyFont="1" applyAlignment="1">
      <alignment horizontal="center"/>
    </xf>
    <xf numFmtId="0" fontId="18" fillId="0" borderId="0" xfId="0" applyFont="1" applyBorder="1"/>
    <xf numFmtId="0" fontId="18" fillId="0" borderId="17" xfId="0" applyFont="1" applyBorder="1"/>
    <xf numFmtId="39" fontId="30" fillId="0" borderId="19" xfId="0" applyNumberFormat="1" applyFont="1" applyBorder="1" applyAlignment="1">
      <alignment horizontal="center"/>
    </xf>
    <xf numFmtId="0" fontId="18" fillId="0" borderId="20" xfId="0" applyFont="1" applyBorder="1"/>
    <xf numFmtId="0" fontId="31" fillId="0" borderId="0" xfId="0" applyFont="1"/>
    <xf numFmtId="37" fontId="20" fillId="33" borderId="0" xfId="0" applyNumberFormat="1" applyFont="1" applyFill="1"/>
    <xf numFmtId="168" fontId="20" fillId="33" borderId="13" xfId="0" applyNumberFormat="1" applyFont="1" applyFill="1" applyBorder="1" applyAlignment="1">
      <alignment horizontal="center"/>
    </xf>
    <xf numFmtId="168" fontId="26" fillId="0" borderId="11" xfId="0" applyNumberFormat="1" applyFont="1" applyBorder="1" applyAlignment="1">
      <alignment horizontal="center"/>
    </xf>
    <xf numFmtId="0" fontId="18" fillId="0" borderId="18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247F2-A572-0A4C-B29B-4D304022B0D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F8D5-D6D4-0646-BBA6-F4A148925CB1}">
  <dimension ref="A1:J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x14ac:dyDescent="0.2">
      <c r="A2" s="15"/>
      <c r="B2" s="15"/>
      <c r="C2" s="15"/>
      <c r="D2" s="15"/>
      <c r="E2" s="15"/>
      <c r="F2" s="15"/>
      <c r="G2" s="15"/>
      <c r="H2" s="31" t="s">
        <v>1</v>
      </c>
      <c r="I2" s="15"/>
      <c r="J2" s="15"/>
    </row>
    <row r="3" spans="1:10" x14ac:dyDescent="0.2">
      <c r="A3" s="15"/>
      <c r="B3" s="31" t="s">
        <v>2</v>
      </c>
      <c r="C3" s="31" t="s">
        <v>3</v>
      </c>
      <c r="D3" s="31" t="s">
        <v>4</v>
      </c>
      <c r="E3" s="31" t="s">
        <v>5</v>
      </c>
      <c r="F3" s="31" t="s">
        <v>6</v>
      </c>
      <c r="G3" s="31" t="s">
        <v>0</v>
      </c>
      <c r="H3" s="31" t="s">
        <v>7</v>
      </c>
      <c r="I3" s="15"/>
      <c r="J3" s="15"/>
    </row>
    <row r="4" spans="1:10" x14ac:dyDescent="0.2">
      <c r="A4" s="15"/>
      <c r="B4" s="30" t="s">
        <v>8</v>
      </c>
      <c r="C4" s="32">
        <v>3600000</v>
      </c>
      <c r="D4" s="49"/>
      <c r="E4" s="14"/>
      <c r="F4" s="14"/>
      <c r="G4" s="32">
        <f>SUM(C4:F4)</f>
        <v>3600000</v>
      </c>
      <c r="H4" s="33">
        <f>G4/$G$23</f>
        <v>0.36959987630724139</v>
      </c>
      <c r="I4" s="16"/>
      <c r="J4" s="15"/>
    </row>
    <row r="5" spans="1:10" x14ac:dyDescent="0.2">
      <c r="A5" s="15"/>
      <c r="B5" s="30" t="s">
        <v>9</v>
      </c>
      <c r="C5" s="32">
        <v>3600000</v>
      </c>
      <c r="D5" s="49"/>
      <c r="E5" s="14"/>
      <c r="F5" s="14"/>
      <c r="G5" s="32">
        <f>SUM(C5:F5)</f>
        <v>3600000</v>
      </c>
      <c r="H5" s="33">
        <f>G5/$G$23</f>
        <v>0.36959987630724139</v>
      </c>
      <c r="I5" s="16"/>
      <c r="J5" s="15"/>
    </row>
    <row r="6" spans="1:10" x14ac:dyDescent="0.2">
      <c r="A6" s="15"/>
      <c r="B6" s="30" t="s">
        <v>10</v>
      </c>
      <c r="C6" s="32">
        <v>222187</v>
      </c>
      <c r="D6" s="49"/>
      <c r="E6" s="14"/>
      <c r="F6" s="14"/>
      <c r="G6" s="32">
        <f>SUM(C6:F6)</f>
        <v>222187</v>
      </c>
      <c r="H6" s="33">
        <f>G6/$G$23</f>
        <v>2.28111910325214E-2</v>
      </c>
      <c r="I6" s="16"/>
      <c r="J6" s="15"/>
    </row>
    <row r="7" spans="1:10" x14ac:dyDescent="0.2">
      <c r="A7" s="15"/>
      <c r="B7" s="30" t="s">
        <v>11</v>
      </c>
      <c r="C7" s="32">
        <v>592500</v>
      </c>
      <c r="D7" s="49"/>
      <c r="E7" s="14"/>
      <c r="F7" s="14"/>
      <c r="G7" s="32">
        <f>SUM(C7:F7)</f>
        <v>592500</v>
      </c>
      <c r="H7" s="33">
        <f>G7/$G$23</f>
        <v>6.0829979642233481E-2</v>
      </c>
      <c r="I7" s="16"/>
      <c r="J7" s="15"/>
    </row>
    <row r="8" spans="1:10" x14ac:dyDescent="0.2">
      <c r="A8" s="15"/>
      <c r="B8" s="30" t="s">
        <v>12</v>
      </c>
      <c r="C8" s="32">
        <v>592500</v>
      </c>
      <c r="D8" s="49"/>
      <c r="E8" s="14"/>
      <c r="F8" s="14"/>
      <c r="G8" s="32">
        <f>SUM(C8:F8)</f>
        <v>592500</v>
      </c>
      <c r="H8" s="33">
        <f>G8/$G$23</f>
        <v>6.0829979642233481E-2</v>
      </c>
      <c r="I8" s="16"/>
      <c r="J8" s="15"/>
    </row>
    <row r="9" spans="1:10" x14ac:dyDescent="0.2">
      <c r="A9" s="15"/>
      <c r="B9" s="30" t="s">
        <v>13</v>
      </c>
      <c r="C9" s="32">
        <v>13500</v>
      </c>
      <c r="D9" s="32">
        <v>98900</v>
      </c>
      <c r="E9" s="49"/>
      <c r="F9" s="14"/>
      <c r="G9" s="32">
        <f>SUM(C9:F9)</f>
        <v>112400</v>
      </c>
      <c r="H9" s="33">
        <f>G9/$G$23</f>
        <v>1.1539729471370537E-2</v>
      </c>
      <c r="I9" s="16"/>
      <c r="J9" s="15"/>
    </row>
    <row r="10" spans="1:10" x14ac:dyDescent="0.2">
      <c r="A10" s="15"/>
      <c r="B10" s="30" t="s">
        <v>14</v>
      </c>
      <c r="C10" s="32">
        <v>9000</v>
      </c>
      <c r="D10" s="49"/>
      <c r="E10" s="49"/>
      <c r="F10" s="14"/>
      <c r="G10" s="32">
        <f>SUM(C10:F10)</f>
        <v>9000</v>
      </c>
      <c r="H10" s="33">
        <f>G10/$G$23</f>
        <v>9.2399969076810353E-4</v>
      </c>
      <c r="I10" s="16"/>
      <c r="J10" s="15"/>
    </row>
    <row r="11" spans="1:10" x14ac:dyDescent="0.2">
      <c r="A11" s="15"/>
      <c r="B11" s="30" t="s">
        <v>15</v>
      </c>
      <c r="C11" s="49"/>
      <c r="D11" s="32">
        <v>95000</v>
      </c>
      <c r="E11" s="49"/>
      <c r="F11" s="14"/>
      <c r="G11" s="32">
        <f>SUM(C11:F11)</f>
        <v>95000</v>
      </c>
      <c r="H11" s="33">
        <f>G11/$G$23</f>
        <v>9.7533300692188695E-3</v>
      </c>
      <c r="I11" s="16"/>
      <c r="J11" s="15"/>
    </row>
    <row r="12" spans="1:10" x14ac:dyDescent="0.2">
      <c r="A12" s="15"/>
      <c r="B12" s="30" t="s">
        <v>16</v>
      </c>
      <c r="C12" s="49"/>
      <c r="D12" s="49"/>
      <c r="E12" s="32">
        <v>25000</v>
      </c>
      <c r="F12" s="49"/>
      <c r="G12" s="32">
        <f>SUM(C12:F12)</f>
        <v>25000</v>
      </c>
      <c r="H12" s="33">
        <f>G12/$G$23</f>
        <v>2.5666658076891765E-3</v>
      </c>
      <c r="I12" s="16"/>
      <c r="J12" s="15"/>
    </row>
    <row r="13" spans="1:10" x14ac:dyDescent="0.2">
      <c r="A13" s="15"/>
      <c r="B13" s="30" t="s">
        <v>17</v>
      </c>
      <c r="C13" s="49"/>
      <c r="D13" s="49"/>
      <c r="E13" s="32">
        <v>41562</v>
      </c>
      <c r="F13" s="49"/>
      <c r="G13" s="32">
        <f>SUM(C13:F13)</f>
        <v>41562</v>
      </c>
      <c r="H13" s="33">
        <f>G13/$G$23</f>
        <v>4.2670305719671019E-3</v>
      </c>
      <c r="I13" s="16"/>
      <c r="J13" s="15"/>
    </row>
    <row r="14" spans="1:10" x14ac:dyDescent="0.2">
      <c r="A14" s="15"/>
      <c r="B14" s="30" t="s">
        <v>18</v>
      </c>
      <c r="C14" s="49"/>
      <c r="D14" s="32">
        <v>285000</v>
      </c>
      <c r="E14" s="49"/>
      <c r="F14" s="49"/>
      <c r="G14" s="32">
        <f>SUM(C14:F14)</f>
        <v>285000</v>
      </c>
      <c r="H14" s="33">
        <f>G14/$G$23</f>
        <v>2.925999020765661E-2</v>
      </c>
      <c r="I14" s="16"/>
      <c r="J14" s="15"/>
    </row>
    <row r="15" spans="1:10" x14ac:dyDescent="0.2">
      <c r="A15" s="15"/>
      <c r="B15" s="30" t="s">
        <v>19</v>
      </c>
      <c r="C15" s="49"/>
      <c r="D15" s="32">
        <v>50000</v>
      </c>
      <c r="E15" s="49"/>
      <c r="F15" s="49"/>
      <c r="G15" s="32">
        <f>SUM(C15:F15)</f>
        <v>50000</v>
      </c>
      <c r="H15" s="33">
        <f>G15/$G$23</f>
        <v>5.133331615378353E-3</v>
      </c>
      <c r="I15" s="16"/>
      <c r="J15" s="15"/>
    </row>
    <row r="16" spans="1:10" x14ac:dyDescent="0.2">
      <c r="A16" s="15"/>
      <c r="B16" s="30" t="s">
        <v>20</v>
      </c>
      <c r="C16" s="49"/>
      <c r="D16" s="32">
        <v>285000</v>
      </c>
      <c r="E16" s="49"/>
      <c r="F16" s="49"/>
      <c r="G16" s="32">
        <f>SUM(C16:F16)</f>
        <v>285000</v>
      </c>
      <c r="H16" s="33">
        <f>G16/$G$23</f>
        <v>2.925999020765661E-2</v>
      </c>
      <c r="I16" s="16"/>
      <c r="J16" s="15"/>
    </row>
    <row r="17" spans="1:10" x14ac:dyDescent="0.2">
      <c r="A17" s="15"/>
      <c r="B17" s="30" t="s">
        <v>21</v>
      </c>
      <c r="C17" s="49"/>
      <c r="D17" s="49"/>
      <c r="E17" s="32">
        <v>96186</v>
      </c>
      <c r="F17" s="49"/>
      <c r="G17" s="32">
        <f>SUM(C17:F17)</f>
        <v>96186</v>
      </c>
      <c r="H17" s="33">
        <f>G17/$G$23</f>
        <v>9.8750926951356455E-3</v>
      </c>
      <c r="I17" s="16"/>
      <c r="J17" s="15"/>
    </row>
    <row r="18" spans="1:10" x14ac:dyDescent="0.2">
      <c r="A18" s="15"/>
      <c r="B18" s="30" t="s">
        <v>22</v>
      </c>
      <c r="C18" s="49"/>
      <c r="D18" s="49"/>
      <c r="E18" s="32">
        <v>48095</v>
      </c>
      <c r="F18" s="49"/>
      <c r="G18" s="32">
        <f>SUM(C18:F18)</f>
        <v>48095</v>
      </c>
      <c r="H18" s="33">
        <f>G18/$G$23</f>
        <v>4.9377516808324371E-3</v>
      </c>
      <c r="I18" s="16"/>
      <c r="J18" s="15"/>
    </row>
    <row r="19" spans="1:10" x14ac:dyDescent="0.2">
      <c r="A19" s="15"/>
      <c r="B19" s="30" t="s">
        <v>23</v>
      </c>
      <c r="C19" s="49"/>
      <c r="D19" s="49"/>
      <c r="E19" s="49"/>
      <c r="F19" s="32">
        <v>12395</v>
      </c>
      <c r="G19" s="32">
        <f>SUM(C19:F19)</f>
        <v>12395</v>
      </c>
      <c r="H19" s="33">
        <f>G19/$G$23</f>
        <v>1.2725529074522936E-3</v>
      </c>
      <c r="I19" s="16"/>
      <c r="J19" s="15"/>
    </row>
    <row r="20" spans="1:10" x14ac:dyDescent="0.2">
      <c r="A20" s="15"/>
      <c r="B20" s="30" t="s">
        <v>24</v>
      </c>
      <c r="C20" s="49"/>
      <c r="D20" s="49"/>
      <c r="E20" s="49"/>
      <c r="F20" s="32">
        <v>8333</v>
      </c>
      <c r="G20" s="32">
        <f>SUM(C20:F20)</f>
        <v>8333</v>
      </c>
      <c r="H20" s="33">
        <f>G20/$G$23</f>
        <v>8.5552104701895626E-4</v>
      </c>
      <c r="I20" s="16"/>
      <c r="J20" s="15"/>
    </row>
    <row r="21" spans="1:10" ht="15.75" customHeight="1" x14ac:dyDescent="0.2">
      <c r="A21" s="15"/>
      <c r="B21" s="30" t="s">
        <v>25</v>
      </c>
      <c r="C21" s="49"/>
      <c r="D21" s="32">
        <v>65105</v>
      </c>
      <c r="E21" s="49"/>
      <c r="F21" s="49"/>
      <c r="G21" s="32">
        <f>SUM(C21:F21)</f>
        <v>65105</v>
      </c>
      <c r="H21" s="33">
        <f>G21/$G$23</f>
        <v>6.6841110963841528E-3</v>
      </c>
      <c r="I21" s="16"/>
      <c r="J21" s="15"/>
    </row>
    <row r="22" spans="1:10" ht="15.75" customHeight="1" x14ac:dyDescent="0.2">
      <c r="A22" s="15"/>
      <c r="B22" s="15"/>
      <c r="C22" s="15"/>
      <c r="D22" s="15"/>
      <c r="E22" s="15"/>
      <c r="F22" s="15"/>
      <c r="G22" s="49"/>
      <c r="H22" s="16"/>
      <c r="I22" s="16"/>
      <c r="J22" s="15"/>
    </row>
    <row r="23" spans="1:10" ht="15.75" customHeight="1" x14ac:dyDescent="0.2">
      <c r="A23" s="15"/>
      <c r="B23" s="31" t="s">
        <v>0</v>
      </c>
      <c r="C23" s="57">
        <f>SUM(C4:C21)</f>
        <v>8629687</v>
      </c>
      <c r="D23" s="57">
        <f>SUM(D4:D21)</f>
        <v>879005</v>
      </c>
      <c r="E23" s="57">
        <f>SUM(E4:E21)</f>
        <v>210843</v>
      </c>
      <c r="F23" s="57">
        <f>SUM(F4:F21)</f>
        <v>20728</v>
      </c>
      <c r="G23" s="57">
        <f>SUM(G4:G21)</f>
        <v>9740263</v>
      </c>
      <c r="H23" s="49"/>
      <c r="I23" s="49"/>
      <c r="J23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99B4-134A-FB41-B826-C99A5893907A}">
  <dimension ref="A1:K27"/>
  <sheetViews>
    <sheetView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11" x14ac:dyDescent="0.2">
      <c r="A1" s="7"/>
      <c r="B1" s="7"/>
      <c r="C1" s="8"/>
      <c r="D1" s="7"/>
      <c r="E1" s="7"/>
      <c r="F1" s="7"/>
      <c r="G1" s="7"/>
      <c r="H1" s="7"/>
      <c r="I1" s="7"/>
      <c r="J1" s="7"/>
      <c r="K1" s="7"/>
    </row>
    <row r="2" spans="1:11" x14ac:dyDescent="0.2">
      <c r="A2" s="7"/>
      <c r="B2" s="7"/>
      <c r="C2" s="17"/>
      <c r="D2" s="7"/>
      <c r="E2" s="7"/>
      <c r="F2" s="7"/>
      <c r="G2" s="7"/>
      <c r="H2" s="7"/>
      <c r="I2" s="7"/>
      <c r="J2" s="7"/>
      <c r="K2" s="7"/>
    </row>
    <row r="3" spans="1:11" x14ac:dyDescent="0.2">
      <c r="A3" s="7"/>
      <c r="B3" s="31" t="s">
        <v>2</v>
      </c>
      <c r="C3" s="34" t="s">
        <v>26</v>
      </c>
      <c r="D3" s="7"/>
      <c r="E3" s="31" t="s">
        <v>27</v>
      </c>
      <c r="F3" s="7"/>
      <c r="G3" s="7"/>
      <c r="H3" s="7"/>
      <c r="I3" s="7"/>
      <c r="J3" s="7"/>
      <c r="K3" s="7"/>
    </row>
    <row r="4" spans="1:11" x14ac:dyDescent="0.2">
      <c r="A4" s="7"/>
      <c r="B4" s="30" t="s">
        <v>13</v>
      </c>
      <c r="C4" s="35">
        <v>25000</v>
      </c>
      <c r="D4" s="7"/>
      <c r="E4" s="30" t="s">
        <v>28</v>
      </c>
      <c r="F4" s="7"/>
      <c r="G4" s="7"/>
      <c r="H4" s="7"/>
      <c r="I4" s="7"/>
      <c r="J4" s="7"/>
      <c r="K4" s="7"/>
    </row>
    <row r="5" spans="1:11" x14ac:dyDescent="0.2">
      <c r="A5" s="7"/>
      <c r="B5" s="30" t="s">
        <v>14</v>
      </c>
      <c r="C5" s="35">
        <v>25000</v>
      </c>
      <c r="D5" s="7"/>
      <c r="E5" s="7"/>
      <c r="F5" s="7"/>
      <c r="G5" s="7"/>
      <c r="H5" s="7"/>
      <c r="I5" s="7"/>
      <c r="J5" s="7"/>
      <c r="K5" s="7"/>
    </row>
    <row r="6" spans="1:11" ht="15.75" customHeight="1" x14ac:dyDescent="0.2">
      <c r="A6" s="7"/>
      <c r="B6" s="30" t="s">
        <v>29</v>
      </c>
      <c r="C6" s="35">
        <v>137170.75</v>
      </c>
      <c r="D6" s="7"/>
      <c r="E6" s="7"/>
      <c r="F6" s="7"/>
      <c r="G6" s="7"/>
      <c r="H6" s="7"/>
      <c r="I6" s="7"/>
      <c r="J6" s="7"/>
      <c r="K6" s="7"/>
    </row>
    <row r="7" spans="1:11" ht="15.75" customHeight="1" x14ac:dyDescent="0.2">
      <c r="A7" s="7"/>
      <c r="B7" s="30" t="s">
        <v>30</v>
      </c>
      <c r="C7" s="35">
        <v>3846829.25</v>
      </c>
      <c r="D7" s="7"/>
      <c r="E7" s="7"/>
      <c r="F7" s="7"/>
      <c r="G7" s="7"/>
      <c r="H7" s="7"/>
      <c r="I7" s="7"/>
      <c r="J7" s="7"/>
      <c r="K7" s="7"/>
    </row>
    <row r="8" spans="1:11" ht="15.75" customHeight="1" x14ac:dyDescent="0.2">
      <c r="A8" s="7"/>
      <c r="B8" s="30" t="s">
        <v>31</v>
      </c>
      <c r="C8" s="35">
        <v>16566</v>
      </c>
      <c r="D8" s="7"/>
      <c r="E8" s="30" t="s">
        <v>79</v>
      </c>
      <c r="F8" s="7"/>
      <c r="G8" s="7"/>
      <c r="H8" s="7"/>
      <c r="I8" s="7"/>
      <c r="J8" s="7"/>
      <c r="K8" s="7"/>
    </row>
    <row r="9" spans="1:11" ht="15.75" customHeight="1" x14ac:dyDescent="0.2">
      <c r="A9" s="7"/>
      <c r="B9" s="30" t="s">
        <v>32</v>
      </c>
      <c r="C9" s="35">
        <v>250000</v>
      </c>
      <c r="D9" s="7"/>
      <c r="E9" s="7"/>
      <c r="F9" s="7"/>
      <c r="G9" s="7"/>
      <c r="H9" s="7"/>
      <c r="I9" s="7"/>
      <c r="J9" s="7"/>
      <c r="K9" s="7"/>
    </row>
    <row r="10" spans="1:11" ht="15.75" customHeight="1" x14ac:dyDescent="0.2">
      <c r="A10" s="7"/>
      <c r="B10" s="30" t="s">
        <v>33</v>
      </c>
      <c r="C10" s="35">
        <v>100000</v>
      </c>
      <c r="D10" s="7"/>
      <c r="E10" s="7"/>
      <c r="F10" s="7"/>
      <c r="G10" s="7"/>
      <c r="H10" s="7"/>
      <c r="I10" s="7"/>
      <c r="J10" s="7"/>
      <c r="K10" s="7"/>
    </row>
    <row r="11" spans="1:11" ht="15.75" customHeight="1" x14ac:dyDescent="0.2">
      <c r="A11" s="7"/>
      <c r="B11" s="30" t="s">
        <v>34</v>
      </c>
      <c r="C11" s="35">
        <v>300000</v>
      </c>
      <c r="D11" s="7"/>
      <c r="E11" s="30" t="s">
        <v>28</v>
      </c>
      <c r="F11" s="7"/>
      <c r="G11" s="7"/>
      <c r="H11" s="7"/>
      <c r="I11" s="7"/>
      <c r="J11" s="7"/>
      <c r="K11" s="7"/>
    </row>
    <row r="12" spans="1:11" ht="15.75" customHeight="1" x14ac:dyDescent="0.2">
      <c r="A12" s="7"/>
      <c r="B12" s="30" t="s">
        <v>35</v>
      </c>
      <c r="C12" s="35">
        <v>37500</v>
      </c>
      <c r="D12" s="7"/>
      <c r="E12" s="30" t="s">
        <v>36</v>
      </c>
      <c r="F12" s="7"/>
      <c r="G12" s="7"/>
      <c r="H12" s="7"/>
      <c r="I12" s="7"/>
      <c r="J12" s="7"/>
      <c r="K12" s="7"/>
    </row>
    <row r="13" spans="1:11" ht="15.75" customHeight="1" x14ac:dyDescent="0.2">
      <c r="A13" s="7"/>
      <c r="B13" s="30" t="s">
        <v>37</v>
      </c>
      <c r="C13" s="35">
        <v>250000</v>
      </c>
      <c r="D13" s="7"/>
      <c r="E13" s="7"/>
      <c r="F13" s="7"/>
      <c r="G13" s="7"/>
      <c r="H13" s="7"/>
      <c r="I13" s="7"/>
      <c r="J13" s="7"/>
      <c r="K13" s="7"/>
    </row>
    <row r="14" spans="1:11" ht="15.75" customHeight="1" x14ac:dyDescent="0.2">
      <c r="A14" s="7"/>
      <c r="B14" s="30" t="s">
        <v>38</v>
      </c>
      <c r="C14" s="35">
        <v>100000</v>
      </c>
      <c r="D14" s="7"/>
      <c r="E14" s="7"/>
      <c r="F14" s="7"/>
      <c r="G14" s="7"/>
      <c r="H14" s="7"/>
      <c r="I14" s="7"/>
      <c r="J14" s="7"/>
      <c r="K14" s="7"/>
    </row>
    <row r="15" spans="1:11" ht="15.75" customHeight="1" x14ac:dyDescent="0.2">
      <c r="A15" s="7"/>
      <c r="B15" s="30" t="s">
        <v>39</v>
      </c>
      <c r="C15" s="35">
        <v>41164</v>
      </c>
      <c r="D15" s="7"/>
      <c r="E15" s="30" t="s">
        <v>79</v>
      </c>
      <c r="F15" s="7"/>
      <c r="G15" s="7"/>
      <c r="H15" s="7"/>
      <c r="I15" s="7"/>
      <c r="J15" s="7"/>
      <c r="K15" s="7"/>
    </row>
    <row r="16" spans="1:11" ht="15.75" customHeight="1" x14ac:dyDescent="0.2">
      <c r="A16" s="7"/>
      <c r="B16" s="30" t="s">
        <v>40</v>
      </c>
      <c r="C16" s="35">
        <v>2328778</v>
      </c>
      <c r="D16" s="7"/>
      <c r="E16" s="30" t="s">
        <v>79</v>
      </c>
      <c r="F16" s="7"/>
      <c r="G16" s="7"/>
      <c r="H16" s="7"/>
      <c r="I16" s="7"/>
      <c r="J16" s="7"/>
      <c r="K16" s="7"/>
    </row>
    <row r="17" spans="1:11" ht="15.75" customHeight="1" x14ac:dyDescent="0.2">
      <c r="A17" s="7"/>
      <c r="B17" s="30" t="s">
        <v>41</v>
      </c>
      <c r="C17" s="35">
        <v>1506000</v>
      </c>
      <c r="D17" s="7"/>
      <c r="E17" s="30" t="s">
        <v>42</v>
      </c>
      <c r="F17" s="7"/>
      <c r="G17" s="7"/>
      <c r="H17" s="7"/>
      <c r="I17" s="7"/>
      <c r="J17" s="7"/>
      <c r="K17" s="7"/>
    </row>
    <row r="18" spans="1:11" ht="15.75" customHeight="1" x14ac:dyDescent="0.2">
      <c r="A18" s="7"/>
      <c r="B18" s="30" t="s">
        <v>43</v>
      </c>
      <c r="C18" s="35">
        <v>50000</v>
      </c>
      <c r="D18" s="7"/>
      <c r="E18" s="7"/>
      <c r="F18" s="7"/>
      <c r="G18" s="7"/>
      <c r="H18" s="7"/>
      <c r="I18" s="7"/>
      <c r="J18" s="7"/>
      <c r="K18" s="7"/>
    </row>
    <row r="19" spans="1:11" ht="15.75" customHeight="1" x14ac:dyDescent="0.2">
      <c r="A19" s="7"/>
      <c r="B19" s="30" t="s">
        <v>44</v>
      </c>
      <c r="C19" s="35">
        <v>212500</v>
      </c>
      <c r="D19" s="7"/>
      <c r="E19" s="30" t="s">
        <v>36</v>
      </c>
      <c r="F19" s="7"/>
      <c r="G19" s="7"/>
      <c r="H19" s="7"/>
      <c r="I19" s="7"/>
      <c r="J19" s="7"/>
      <c r="K19" s="7"/>
    </row>
    <row r="20" spans="1:11" ht="15.75" customHeight="1" x14ac:dyDescent="0.2">
      <c r="A20" s="7"/>
      <c r="B20" s="30" t="s">
        <v>45</v>
      </c>
      <c r="C20" s="35">
        <v>25000</v>
      </c>
      <c r="D20" s="7"/>
      <c r="E20" s="7"/>
      <c r="F20" s="7"/>
      <c r="G20" s="7"/>
      <c r="H20" s="7"/>
      <c r="I20" s="7"/>
      <c r="J20" s="7"/>
      <c r="K20" s="7"/>
    </row>
    <row r="21" spans="1:11" ht="15.75" customHeight="1" x14ac:dyDescent="0.2">
      <c r="A21" s="7"/>
      <c r="B21" s="30" t="s">
        <v>46</v>
      </c>
      <c r="C21" s="35">
        <v>61746</v>
      </c>
      <c r="D21" s="7"/>
      <c r="E21" s="30" t="s">
        <v>79</v>
      </c>
      <c r="F21" s="7"/>
      <c r="G21" s="7"/>
      <c r="H21" s="7"/>
      <c r="I21" s="7"/>
      <c r="J21" s="7"/>
      <c r="K21" s="7"/>
    </row>
    <row r="22" spans="1:11" ht="15.75" customHeight="1" x14ac:dyDescent="0.2">
      <c r="A22" s="7"/>
      <c r="B22" s="30" t="s">
        <v>47</v>
      </c>
      <c r="C22" s="35">
        <v>100000</v>
      </c>
      <c r="D22" s="7"/>
      <c r="E22" s="7"/>
      <c r="F22" s="7"/>
      <c r="G22" s="7"/>
      <c r="H22" s="7"/>
      <c r="I22" s="7"/>
      <c r="J22" s="7"/>
      <c r="K22" s="7"/>
    </row>
    <row r="23" spans="1:11" ht="15.75" customHeight="1" x14ac:dyDescent="0.2">
      <c r="A23" s="7"/>
      <c r="B23" s="30" t="s">
        <v>48</v>
      </c>
      <c r="C23" s="35">
        <v>100000</v>
      </c>
      <c r="D23" s="7"/>
      <c r="E23" s="7"/>
      <c r="F23" s="7"/>
      <c r="G23" s="7"/>
      <c r="H23" s="7"/>
      <c r="I23" s="7"/>
      <c r="J23" s="7"/>
      <c r="K23" s="7"/>
    </row>
    <row r="24" spans="1:11" ht="15.75" customHeight="1" x14ac:dyDescent="0.2">
      <c r="A24" s="7"/>
      <c r="B24" s="30" t="s">
        <v>49</v>
      </c>
      <c r="C24" s="35">
        <v>61746</v>
      </c>
      <c r="D24" s="7"/>
      <c r="E24" s="30" t="s">
        <v>79</v>
      </c>
      <c r="F24" s="7"/>
      <c r="G24" s="7"/>
      <c r="H24" s="7"/>
      <c r="I24" s="7"/>
      <c r="J24" s="7"/>
      <c r="K24" s="7"/>
    </row>
    <row r="25" spans="1:11" ht="15.75" customHeight="1" x14ac:dyDescent="0.2">
      <c r="A25" s="7"/>
      <c r="B25" s="30" t="s">
        <v>50</v>
      </c>
      <c r="C25" s="35">
        <v>250000</v>
      </c>
      <c r="D25" s="7"/>
      <c r="E25" s="30" t="s">
        <v>51</v>
      </c>
      <c r="F25" s="7"/>
      <c r="G25" s="7"/>
      <c r="H25" s="7"/>
      <c r="I25" s="7"/>
      <c r="J25" s="7"/>
      <c r="K25" s="7"/>
    </row>
    <row r="26" spans="1:11" ht="15.75" customHeight="1" x14ac:dyDescent="0.2">
      <c r="A26" s="7"/>
      <c r="B26" s="7"/>
      <c r="C26" s="8"/>
      <c r="D26" s="7"/>
      <c r="E26" s="6"/>
      <c r="F26" s="7"/>
      <c r="G26" s="7"/>
      <c r="H26" s="7"/>
      <c r="I26" s="7"/>
      <c r="J26" s="7"/>
      <c r="K26" s="7"/>
    </row>
    <row r="27" spans="1:11" ht="15.75" customHeight="1" x14ac:dyDescent="0.2">
      <c r="A27" s="7"/>
      <c r="B27" s="30" t="s">
        <v>0</v>
      </c>
      <c r="C27" s="34">
        <f>SUM(C4:C25)</f>
        <v>9825000</v>
      </c>
      <c r="D27" s="7"/>
      <c r="E27" s="6"/>
      <c r="F27" s="7"/>
      <c r="G27" s="7"/>
      <c r="H27" s="7"/>
      <c r="I27" s="7"/>
      <c r="J27" s="7"/>
      <c r="K27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0C51-3F91-784D-9BD0-3358D82BBEA4}">
  <dimension ref="A1:N33"/>
  <sheetViews>
    <sheetView showGridLines="0" tabSelected="1" workbookViewId="0">
      <selection activeCell="H31" sqref="H31"/>
    </sheetView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16.83203125" customWidth="1"/>
    <col min="6" max="6" width="3.1640625" customWidth="1"/>
    <col min="7" max="7" width="17.6640625" customWidth="1"/>
    <col min="8" max="8" width="16.83203125" customWidth="1"/>
    <col min="9" max="9" width="3.1640625" customWidth="1"/>
    <col min="10" max="10" width="13.83203125" customWidth="1"/>
    <col min="11" max="11" width="3.1640625" customWidth="1"/>
    <col min="12" max="12" width="14.33203125" customWidth="1"/>
    <col min="13" max="13" width="9.33203125" customWidth="1"/>
  </cols>
  <sheetData>
    <row r="1" spans="1:14" x14ac:dyDescent="0.2">
      <c r="A1" s="1"/>
      <c r="B1" s="18" t="s">
        <v>82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</row>
    <row r="2" spans="1:14" x14ac:dyDescent="0.2">
      <c r="A2" s="1"/>
      <c r="B2" s="18" t="s">
        <v>83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</row>
    <row r="3" spans="1:14" x14ac:dyDescent="0.2">
      <c r="A3" s="1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</row>
    <row r="4" spans="1:14" ht="15.5" customHeight="1" x14ac:dyDescent="0.2">
      <c r="A4" s="1"/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</row>
    <row r="5" spans="1:14" ht="16.25" customHeight="1" thickBot="1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4" ht="13.75" customHeight="1" thickBot="1" x14ac:dyDescent="0.25">
      <c r="A6" s="1"/>
      <c r="B6" s="1"/>
      <c r="C6" s="39" t="s">
        <v>52</v>
      </c>
      <c r="D6" s="39" t="s">
        <v>26</v>
      </c>
      <c r="E6" s="61"/>
      <c r="F6" s="1"/>
      <c r="G6" s="39" t="s">
        <v>54</v>
      </c>
      <c r="H6" s="61"/>
      <c r="I6" s="1"/>
      <c r="J6" s="44" t="s">
        <v>53</v>
      </c>
      <c r="K6" s="37"/>
      <c r="L6" s="39" t="s">
        <v>55</v>
      </c>
      <c r="M6" s="40"/>
      <c r="N6" s="37"/>
    </row>
    <row r="7" spans="1:14" x14ac:dyDescent="0.2">
      <c r="A7" s="1"/>
      <c r="B7" s="1"/>
      <c r="C7" s="60" t="s">
        <v>56</v>
      </c>
      <c r="D7" s="39" t="s">
        <v>57</v>
      </c>
      <c r="E7" s="44" t="s">
        <v>58</v>
      </c>
      <c r="F7" s="1"/>
      <c r="G7" s="39" t="s">
        <v>57</v>
      </c>
      <c r="H7" s="44" t="s">
        <v>58</v>
      </c>
      <c r="I7" s="1"/>
      <c r="J7" s="43" t="s">
        <v>59</v>
      </c>
      <c r="K7" s="37"/>
      <c r="L7" s="39" t="s">
        <v>60</v>
      </c>
      <c r="M7" s="40" t="s">
        <v>61</v>
      </c>
      <c r="N7" s="37"/>
    </row>
    <row r="8" spans="1:14" ht="13.75" customHeight="1" thickBot="1" x14ac:dyDescent="0.25">
      <c r="A8" s="1"/>
      <c r="B8" s="62"/>
      <c r="C8" s="41" t="s">
        <v>62</v>
      </c>
      <c r="D8" s="41" t="s">
        <v>63</v>
      </c>
      <c r="E8" s="42" t="s">
        <v>62</v>
      </c>
      <c r="F8" s="1"/>
      <c r="G8" s="41" t="s">
        <v>63</v>
      </c>
      <c r="H8" s="42" t="s">
        <v>62</v>
      </c>
      <c r="I8" s="1"/>
      <c r="J8" s="45" t="s">
        <v>78</v>
      </c>
      <c r="K8" s="37"/>
      <c r="L8" s="41" t="s">
        <v>62</v>
      </c>
      <c r="M8" s="42" t="s">
        <v>64</v>
      </c>
      <c r="N8" s="37"/>
    </row>
    <row r="9" spans="1:14" x14ac:dyDescent="0.2">
      <c r="A9" s="1"/>
      <c r="B9" s="46" t="s">
        <v>65</v>
      </c>
      <c r="C9" s="58"/>
      <c r="D9" s="58"/>
      <c r="E9" s="58"/>
      <c r="F9" s="25"/>
      <c r="G9" s="58"/>
      <c r="H9" s="58"/>
      <c r="I9" s="25"/>
      <c r="J9" s="58"/>
      <c r="K9" s="25"/>
      <c r="L9" s="58"/>
      <c r="M9" s="59"/>
    </row>
    <row r="10" spans="1:14" x14ac:dyDescent="0.2">
      <c r="A10" s="1"/>
      <c r="B10" s="47" t="s">
        <v>8</v>
      </c>
      <c r="C10" s="11">
        <f>'Detailed Cap Table'!G4</f>
        <v>3600000</v>
      </c>
      <c r="D10" s="5"/>
      <c r="E10" s="5"/>
      <c r="F10" s="1"/>
      <c r="G10" s="5"/>
      <c r="H10" s="5"/>
      <c r="I10" s="1"/>
      <c r="J10" s="5"/>
      <c r="K10" s="1"/>
      <c r="L10" s="9">
        <f>C10+E10+H10+J10</f>
        <v>3600000</v>
      </c>
      <c r="M10" s="50">
        <f ca="1">L10/$L$21</f>
        <v>0.19407509228944511</v>
      </c>
    </row>
    <row r="11" spans="1:14" x14ac:dyDescent="0.2">
      <c r="A11" s="1"/>
      <c r="B11" s="47" t="s">
        <v>9</v>
      </c>
      <c r="C11" s="11">
        <f>'Detailed Cap Table'!G5</f>
        <v>3600000</v>
      </c>
      <c r="D11" s="5"/>
      <c r="E11" s="5"/>
      <c r="F11" s="1"/>
      <c r="G11" s="5"/>
      <c r="H11" s="5"/>
      <c r="I11" s="1"/>
      <c r="J11" s="5"/>
      <c r="K11" s="1"/>
      <c r="L11" s="9">
        <f>C11+E11+H11+J11</f>
        <v>3600000</v>
      </c>
      <c r="M11" s="50">
        <f ca="1">L11/$L$21</f>
        <v>0.19407509228944511</v>
      </c>
    </row>
    <row r="12" spans="1:14" ht="14.5" customHeight="1" x14ac:dyDescent="0.2">
      <c r="A12" s="1"/>
      <c r="B12" s="47" t="s">
        <v>80</v>
      </c>
      <c r="C12" s="11">
        <f>'Detailed Cap Table'!G23-'Detailed Cap Table'!G4-'Detailed Cap Table'!G5-'Detailed Cap Table'!G21</f>
        <v>2475158</v>
      </c>
      <c r="D12" s="5"/>
      <c r="E12" s="5"/>
      <c r="F12" s="1"/>
      <c r="G12" s="5"/>
      <c r="H12" s="5"/>
      <c r="I12" s="1"/>
      <c r="J12" s="5"/>
      <c r="K12" s="1"/>
      <c r="L12" s="9">
        <f>C12+E12+H12+J12</f>
        <v>2475158</v>
      </c>
      <c r="M12" s="50">
        <f ca="1">L12/$L$21</f>
        <v>0.1334351436891551</v>
      </c>
    </row>
    <row r="13" spans="1:14" x14ac:dyDescent="0.2">
      <c r="A13" s="1"/>
      <c r="B13" s="47" t="s">
        <v>76</v>
      </c>
      <c r="C13" s="11">
        <f>'Detailed Cap Table'!G21</f>
        <v>65105</v>
      </c>
      <c r="D13" s="5"/>
      <c r="E13" s="5"/>
      <c r="F13" s="1"/>
      <c r="G13" s="5"/>
      <c r="H13" s="5"/>
      <c r="I13" s="1"/>
      <c r="J13" s="38">
        <f ca="1">ROUND(0.1*L21-C13,0)</f>
        <v>1789847</v>
      </c>
      <c r="K13" s="1"/>
      <c r="L13" s="9">
        <f ca="1">C13+E13+H13+J13</f>
        <v>1854952</v>
      </c>
      <c r="M13" s="50">
        <f ca="1">L13/$L$21</f>
        <v>9.9999994609025214E-2</v>
      </c>
    </row>
    <row r="14" spans="1:14" x14ac:dyDescent="0.2">
      <c r="A14" s="1"/>
      <c r="B14" s="48" t="s">
        <v>66</v>
      </c>
      <c r="C14" s="53">
        <f>SUM(C10:C13)</f>
        <v>9740263</v>
      </c>
      <c r="D14" s="5"/>
      <c r="E14" s="5"/>
      <c r="F14" s="1"/>
      <c r="G14" s="5"/>
      <c r="H14" s="5"/>
      <c r="I14" s="1"/>
      <c r="J14" s="23"/>
      <c r="K14" s="1"/>
      <c r="L14" s="53">
        <f ca="1">SUM(L10:L13)</f>
        <v>11530110</v>
      </c>
      <c r="M14" s="52">
        <f ca="1">L14/$L$21</f>
        <v>0.62158532287707047</v>
      </c>
    </row>
    <row r="15" spans="1:14" x14ac:dyDescent="0.2">
      <c r="A15" s="1"/>
      <c r="B15" s="48" t="s">
        <v>67</v>
      </c>
      <c r="C15" s="5"/>
      <c r="D15" s="5"/>
      <c r="E15" s="5"/>
      <c r="F15" s="1"/>
      <c r="G15" s="5"/>
      <c r="H15" s="5"/>
      <c r="I15" s="1"/>
      <c r="J15" s="5"/>
      <c r="K15" s="1"/>
      <c r="L15" s="5"/>
      <c r="M15" s="26"/>
    </row>
    <row r="16" spans="1:14" x14ac:dyDescent="0.2">
      <c r="A16" s="1"/>
      <c r="B16" s="47" t="s">
        <v>81</v>
      </c>
      <c r="C16" s="5"/>
      <c r="D16" s="12">
        <f>'SAFE Investments'!C27-('SAFE Investments'!C6+'SAFE Investments'!C7+'SAFE Investments'!C8+'SAFE Investments'!C15+'SAFE Investments'!C16+'SAFE Investments'!C17+'SAFE Investments'!C21+'SAFE Investments'!C24)</f>
        <v>1825000</v>
      </c>
      <c r="E16" s="9">
        <f>IFERROR(ROUND(D16/$E$23,0),0)</f>
        <v>442464</v>
      </c>
      <c r="F16" s="1"/>
      <c r="G16" s="5"/>
      <c r="H16" s="5"/>
      <c r="I16" s="1"/>
      <c r="J16" s="5"/>
      <c r="K16" s="1"/>
      <c r="L16" s="9">
        <f>C16+E16+H16+J16</f>
        <v>442464</v>
      </c>
      <c r="M16" s="50">
        <f ca="1">L16/$L$21</f>
        <v>2.3853122676321399E-2</v>
      </c>
    </row>
    <row r="17" spans="1:13" x14ac:dyDescent="0.2">
      <c r="A17" s="1"/>
      <c r="B17" s="47" t="s">
        <v>42</v>
      </c>
      <c r="C17" s="5"/>
      <c r="D17" s="12">
        <f>'SAFE Investments'!C6+'SAFE Investments'!C7+'SAFE Investments'!C8+'SAFE Investments'!C15+'SAFE Investments'!C16+'SAFE Investments'!C17+'SAFE Investments'!C21+'SAFE Investments'!C24</f>
        <v>8000000</v>
      </c>
      <c r="E17" s="9">
        <f>IFERROR(ROUND(D17/$E$23,0),0)</f>
        <v>1939567</v>
      </c>
      <c r="F17" s="1"/>
      <c r="G17" s="13">
        <v>5000000</v>
      </c>
      <c r="H17" s="9">
        <f ca="1">IFERROR(ROUND(G17/$H$23,0),0)</f>
        <v>1159345</v>
      </c>
      <c r="I17" s="1"/>
      <c r="J17" s="5"/>
      <c r="K17" s="1"/>
      <c r="L17" s="9">
        <f ca="1">C17+E17+H17+J17</f>
        <v>3098912</v>
      </c>
      <c r="M17" s="50">
        <f ca="1">L17/$L$21</f>
        <v>0.16706156455468579</v>
      </c>
    </row>
    <row r="18" spans="1:13" x14ac:dyDescent="0.2">
      <c r="A18" s="1"/>
      <c r="B18" s="47">
        <v>1011</v>
      </c>
      <c r="C18" s="5"/>
      <c r="D18" s="5"/>
      <c r="E18" s="5"/>
      <c r="F18" s="1"/>
      <c r="G18" s="13">
        <v>12000000</v>
      </c>
      <c r="H18" s="9">
        <f ca="1">IFERROR(ROUND(G18/$H$23,0),0)</f>
        <v>2782428</v>
      </c>
      <c r="I18" s="1"/>
      <c r="J18" s="5"/>
      <c r="K18" s="1"/>
      <c r="L18" s="9">
        <f ca="1">C18+E18+H18+J18</f>
        <v>2782428</v>
      </c>
      <c r="M18" s="50">
        <f ca="1">L18/$L$21</f>
        <v>0.14999999191353783</v>
      </c>
    </row>
    <row r="19" spans="1:13" x14ac:dyDescent="0.2">
      <c r="A19" s="1"/>
      <c r="B19" s="47" t="s">
        <v>77</v>
      </c>
      <c r="C19" s="5"/>
      <c r="D19" s="5"/>
      <c r="E19" s="5"/>
      <c r="F19" s="1"/>
      <c r="G19" s="10">
        <f>$G$21-SUM(G17:G18)</f>
        <v>3000000</v>
      </c>
      <c r="H19" s="9">
        <f ca="1">IFERROR(ROUND(G19/$H$23,0),0)</f>
        <v>695607</v>
      </c>
      <c r="I19" s="1"/>
      <c r="J19" s="5"/>
      <c r="K19" s="1"/>
      <c r="L19" s="9">
        <f ca="1">C19+E19+H19+J19</f>
        <v>695607</v>
      </c>
      <c r="M19" s="50">
        <f ca="1">L19/$L$21</f>
        <v>3.7499997978384457E-2</v>
      </c>
    </row>
    <row r="20" spans="1:13" x14ac:dyDescent="0.2">
      <c r="A20" s="1"/>
      <c r="B20" s="20"/>
      <c r="C20" s="5"/>
      <c r="D20" s="5"/>
      <c r="E20" s="5"/>
      <c r="F20" s="1"/>
      <c r="G20" s="5"/>
      <c r="H20" s="5"/>
      <c r="I20" s="1"/>
      <c r="J20" s="5"/>
      <c r="K20" s="1"/>
      <c r="L20" s="5"/>
      <c r="M20" s="26"/>
    </row>
    <row r="21" spans="1:13" x14ac:dyDescent="0.2">
      <c r="A21" s="1"/>
      <c r="B21" s="48" t="s">
        <v>68</v>
      </c>
      <c r="C21" s="53">
        <f>C14+SUM(C16:C19)</f>
        <v>9740263</v>
      </c>
      <c r="D21" s="55">
        <f>SUM(D10:D19)</f>
        <v>9825000</v>
      </c>
      <c r="E21" s="54">
        <f>SUM(E10:E19)</f>
        <v>2382031</v>
      </c>
      <c r="F21" s="1"/>
      <c r="G21" s="65">
        <v>20000000</v>
      </c>
      <c r="H21" s="54">
        <f ca="1">SUM(H10:H19)</f>
        <v>4637380</v>
      </c>
      <c r="I21" s="1"/>
      <c r="J21" s="53">
        <f ca="1">J13</f>
        <v>1789847</v>
      </c>
      <c r="K21" s="1"/>
      <c r="L21" s="53">
        <f ca="1">SUM(L16:L20)+L14</f>
        <v>18549521</v>
      </c>
      <c r="M21" s="52">
        <f ca="1">SUM(M16:M19)+M14</f>
        <v>0.99999999999999989</v>
      </c>
    </row>
    <row r="22" spans="1:13" ht="13.75" customHeight="1" x14ac:dyDescent="0.2">
      <c r="A22" s="1"/>
      <c r="B22" s="20"/>
      <c r="C22" s="24"/>
      <c r="D22" s="1"/>
      <c r="E22" s="1"/>
      <c r="F22" s="1"/>
      <c r="G22" s="1"/>
      <c r="H22" s="1"/>
      <c r="I22" s="1"/>
      <c r="J22" s="24"/>
      <c r="K22" s="1"/>
      <c r="L22" s="24"/>
      <c r="M22" s="66"/>
    </row>
    <row r="23" spans="1:13" ht="13.75" customHeight="1" x14ac:dyDescent="0.2">
      <c r="A23" s="1"/>
      <c r="B23" s="20" t="s">
        <v>69</v>
      </c>
      <c r="C23" s="5"/>
      <c r="D23" s="5"/>
      <c r="E23" s="56">
        <f>(50000000-'SAFE Investments'!C27)/'Detailed Cap Table'!G23</f>
        <v>4.1246319529565065</v>
      </c>
      <c r="F23" s="1"/>
      <c r="G23" s="5"/>
      <c r="H23" s="22">
        <f ca="1">H25/L21</f>
        <v>4.3127798286543353</v>
      </c>
      <c r="I23" s="1"/>
      <c r="J23" s="5"/>
      <c r="K23" s="1"/>
      <c r="L23" s="5"/>
      <c r="M23" s="26"/>
    </row>
    <row r="24" spans="1:13" x14ac:dyDescent="0.2">
      <c r="A24" s="1"/>
      <c r="B24" s="20" t="s">
        <v>70</v>
      </c>
      <c r="C24" s="5"/>
      <c r="D24" s="5"/>
      <c r="E24" s="10">
        <f>E25-D21</f>
        <v>40175001.175532945</v>
      </c>
      <c r="F24" s="1"/>
      <c r="G24" s="5"/>
      <c r="H24" s="10">
        <f>H25-G21</f>
        <v>60000000</v>
      </c>
      <c r="I24" s="1"/>
      <c r="J24" s="5"/>
      <c r="K24" s="1"/>
      <c r="L24" s="5"/>
      <c r="M24" s="26"/>
    </row>
    <row r="25" spans="1:13" ht="13.75" customHeight="1" thickBot="1" x14ac:dyDescent="0.25">
      <c r="A25" s="1"/>
      <c r="B25" s="21" t="s">
        <v>71</v>
      </c>
      <c r="C25" s="27"/>
      <c r="D25" s="27"/>
      <c r="E25" s="28">
        <f>E23*(C21+E21)</f>
        <v>50000001.175532945</v>
      </c>
      <c r="F25" s="19"/>
      <c r="G25" s="27"/>
      <c r="H25" s="64">
        <v>80000000</v>
      </c>
      <c r="I25" s="19"/>
      <c r="J25" s="27"/>
      <c r="K25" s="19"/>
      <c r="L25" s="27"/>
      <c r="M25" s="29"/>
    </row>
    <row r="26" spans="1:13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x14ac:dyDescent="0.2">
      <c r="A27" s="1"/>
      <c r="B27" s="36" t="s">
        <v>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x14ac:dyDescent="0.2">
      <c r="A29" s="1"/>
      <c r="B29" s="1" t="s">
        <v>75</v>
      </c>
      <c r="C29" s="3">
        <f>H24/E25-1</f>
        <v>0.19999997178721007</v>
      </c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x14ac:dyDescent="0.2">
      <c r="A30" s="1"/>
      <c r="B30" s="1" t="s">
        <v>73</v>
      </c>
      <c r="C30" s="63">
        <v>20000000</v>
      </c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x14ac:dyDescent="0.2">
      <c r="A31" s="1"/>
      <c r="B31" s="1" t="s">
        <v>74</v>
      </c>
      <c r="C31" s="3">
        <f>G21/H25</f>
        <v>0.25</v>
      </c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x14ac:dyDescent="0.2">
      <c r="A32" s="1"/>
      <c r="B32" s="1" t="s">
        <v>84</v>
      </c>
      <c r="C32" s="4">
        <v>0.1</v>
      </c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Sheet9</vt:lpstr>
      <vt:lpstr>Detailed Cap Table</vt:lpstr>
      <vt:lpstr>SAFE Investments</vt:lpstr>
      <vt:lpstr>SeriesA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2026-04-15T16:43:57Z</dcterms:modified>
</cp:coreProperties>
</file>