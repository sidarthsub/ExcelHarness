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8B35AC35-BE02-494C-B309-0C87343110AE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162" r:id="rId1"/>
    <sheet name="Detailed Cap Table" sheetId="163" r:id="rId2"/>
    <sheet name="SAFE Investments" sheetId="164" r:id="rId3"/>
    <sheet name="SeriesA" sheetId="166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66" l="1"/>
  <c r="E24" i="166"/>
  <c r="E18" i="166" s="1"/>
  <c r="L18" i="166" s="1"/>
  <c r="C14" i="166"/>
  <c r="C13" i="166"/>
  <c r="C15" i="166" s="1"/>
  <c r="C22" i="166" s="1"/>
  <c r="C12" i="166"/>
  <c r="C11" i="166"/>
  <c r="C10" i="166"/>
  <c r="H26" i="166"/>
  <c r="H25" i="166"/>
  <c r="G22" i="166"/>
  <c r="D22" i="166"/>
  <c r="D18" i="166"/>
  <c r="D17" i="166"/>
  <c r="H15" i="166"/>
  <c r="G15" i="166"/>
  <c r="E15" i="166"/>
  <c r="D15" i="166"/>
  <c r="L13" i="166"/>
  <c r="L12" i="166"/>
  <c r="L11" i="166"/>
  <c r="L10" i="166"/>
  <c r="C27" i="164"/>
  <c r="G23" i="163"/>
  <c r="H18" i="163" s="1"/>
  <c r="F23" i="163"/>
  <c r="E23" i="163"/>
  <c r="D23" i="163"/>
  <c r="C23" i="163"/>
  <c r="H21" i="163"/>
  <c r="G21" i="163"/>
  <c r="H20" i="163"/>
  <c r="G20" i="163"/>
  <c r="H19" i="163"/>
  <c r="G19" i="163"/>
  <c r="G18" i="163"/>
  <c r="H17" i="163"/>
  <c r="G17" i="163"/>
  <c r="H16" i="163"/>
  <c r="G16" i="163"/>
  <c r="H15" i="163"/>
  <c r="G15" i="163"/>
  <c r="H14" i="163"/>
  <c r="G14" i="163"/>
  <c r="G13" i="163"/>
  <c r="H12" i="163"/>
  <c r="G12" i="163"/>
  <c r="H11" i="163"/>
  <c r="G11" i="163"/>
  <c r="H10" i="163"/>
  <c r="G10" i="163"/>
  <c r="H9" i="163"/>
  <c r="G9" i="163"/>
  <c r="G8" i="163"/>
  <c r="H7" i="163"/>
  <c r="G7" i="163"/>
  <c r="H6" i="163"/>
  <c r="G6" i="163"/>
  <c r="H5" i="163"/>
  <c r="G5" i="163"/>
  <c r="H4" i="163"/>
  <c r="G4" i="163"/>
  <c r="E17" i="166" l="1"/>
  <c r="E22" i="166"/>
  <c r="H8" i="163"/>
  <c r="H13" i="163"/>
  <c r="M10" i="166" l="1"/>
  <c r="M11" i="166"/>
  <c r="M12" i="166"/>
  <c r="M13" i="166"/>
  <c r="J14" i="166"/>
  <c r="L14" i="166"/>
  <c r="M14" i="166"/>
  <c r="J15" i="166"/>
  <c r="L15" i="166"/>
  <c r="M15" i="166"/>
  <c r="H17" i="166"/>
  <c r="L17" i="166"/>
  <c r="M17" i="166"/>
  <c r="M18" i="166"/>
  <c r="H19" i="166"/>
  <c r="L19" i="166"/>
  <c r="M19" i="166"/>
  <c r="H20" i="166"/>
  <c r="L20" i="166"/>
  <c r="M20" i="166"/>
  <c r="H22" i="166"/>
  <c r="J22" i="166"/>
  <c r="L22" i="166"/>
  <c r="M22" i="166"/>
  <c r="H24" i="166"/>
</calcChain>
</file>

<file path=xl/sharedStrings.xml><?xml version="1.0" encoding="utf-8"?>
<sst xmlns="http://schemas.openxmlformats.org/spreadsheetml/2006/main" count="108" uniqueCount="84">
  <si>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</si>
  <si>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</si>
  <si>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</si>
  <si>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</si>
  <si>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</si>
  <si>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</si>
  <si>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</si>
  <si>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</si>
  <si>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</si>
  <si>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</si>
  <si>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</si>
  <si>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</si>
  <si>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</si>
  <si>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</si>
  <si>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</si>
  <si>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</si>
  <si>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</si>
  <si>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</si>
  <si>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</si>
  <si>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</si>
  <si>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</si>
  <si>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</si>
  <si>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</si>
  <si>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</si>
  <si>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</si>
  <si>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</si>
  <si>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</si>
  <si>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</si>
  <si>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</si>
  <si>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</si>
  <si>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</si>
  <si>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</si>
  <si>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</si>
  <si>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</si>
  <si>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</si>
  <si>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</si>
  <si>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</si>
  <si>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</si>
  <si>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</si>
  <si>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</si>
  <si>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</si>
  <si>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</si>
  <si>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</si>
  <si>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</si>
  <si>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</si>
  <si>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</si>
  <si>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</si>
  <si>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</si>
  <si>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</si>
  <si>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</si>
  <si>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</si>
  <si>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</si>
  <si>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</si>
  <si>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</si>
  <si>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</si>
  <si>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</si>
  <si>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</si>
  <si>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</si>
  <si>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</si>
  <si>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</si>
  <si>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</si>
  <si>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</si>
  <si>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</si>
  <si>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</si>
  <si>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</si>
  <si>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</si>
  <si>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</si>
  <si>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</si>
  <si>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</si>
  <si>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Totals</t>
  </si>
  <si>
    <t>Pre-Money Valuation</t>
  </si>
  <si>
    <t>Post-Money Valuation</t>
  </si>
  <si>
    <t>Series A Assumptions:</t>
  </si>
  <si>
    <t>Total Raised</t>
  </si>
  <si>
    <t>ESOP Issued &amp; Outstanding</t>
  </si>
  <si>
    <t>ESOP Available</t>
  </si>
  <si>
    <t>Other Series A</t>
  </si>
  <si>
    <t>Transfer from Owl Rocl Capital II, LLC (Accomplice)</t>
  </si>
  <si>
    <t xml:space="preserve">Price per Share </t>
  </si>
  <si>
    <t>Other Common</t>
  </si>
  <si>
    <t>SAFE Valuation Cap</t>
  </si>
  <si>
    <t>Ten Eleven Ventures</t>
  </si>
  <si>
    <t>SIDEKICK (THINK MORE SECURITY) &amp; TEN ELEVEN SERIES A</t>
  </si>
  <si>
    <t>Other Investors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</si>
</sst>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$&quot;#,##0_);\(&quot;$&quot;#,##0\)"/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  <numFmt numFmtId="178" formatCode="_(&quot;$&quot;* #,##0_);_(&quot;$&quot;* \(#,##0\);_(&quot;$&quot;* &quot;-&quot;??_);_(@_)"/>
  </numFmts>
  <fonts count="3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9"/>
      <color rgb="FFC0504D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7">
    <xf numFmtId="0" fontId="0" fillId="0" borderId="0" xfId="0"/>
    <xf numFmtId="0" fontId="18" fillId="0" borderId="0" xfId="0" applyFont="1"/>
    <xf numFmtId="165" fontId="19" fillId="33" borderId="0" xfId="0" applyNumberFormat="1" applyFont="1" applyFill="1"/>
    <xf numFmtId="0" fontId="18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/>
    </xf>
    <xf numFmtId="164" fontId="21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37" fontId="20" fillId="0" borderId="0" xfId="0" applyNumberFormat="1" applyFont="1" applyAlignment="1">
      <alignment horizontal="center"/>
    </xf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  <xf numFmtId="10" fontId="25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75" fontId="20" fillId="0" borderId="0" xfId="0" applyNumberFormat="1" applyFont="1"/>
    <xf numFmtId="37" fontId="18" fillId="0" borderId="10" xfId="0" applyNumberFormat="1" applyFont="1" applyBorder="1" applyAlignment="1">
      <alignment horizontal="center"/>
    </xf>
    <xf numFmtId="37" fontId="18" fillId="0" borderId="11" xfId="0" applyNumberFormat="1" applyFont="1" applyBorder="1" applyAlignment="1">
      <alignment horizontal="center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2" xfId="0" applyFont="1" applyBorder="1"/>
    <xf numFmtId="0" fontId="18" fillId="0" borderId="0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37" fontId="24" fillId="0" borderId="0" xfId="0" applyNumberFormat="1" applyFont="1" applyAlignment="1">
      <alignment horizontal="center"/>
    </xf>
    <xf numFmtId="168" fontId="24" fillId="0" borderId="0" xfId="0" applyNumberFormat="1" applyFont="1" applyAlignment="1">
      <alignment horizontal="center"/>
    </xf>
    <xf numFmtId="0" fontId="29" fillId="0" borderId="12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9" fillId="0" borderId="23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29" fillId="0" borderId="22" xfId="0" applyFont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9" fillId="0" borderId="21" xfId="0" applyFont="1" applyBorder="1" applyAlignment="1">
      <alignment horizontal="center"/>
    </xf>
    <xf numFmtId="0" fontId="24" fillId="0" borderId="15" xfId="0" applyFont="1" applyBorder="1"/>
    <xf numFmtId="0" fontId="29" fillId="0" borderId="15" xfId="0" applyFont="1" applyBorder="1"/>
    <xf numFmtId="0" fontId="24" fillId="0" borderId="14" xfId="0" applyFont="1" applyBorder="1"/>
    <xf numFmtId="3" fontId="25" fillId="0" borderId="0" xfId="0" applyNumberFormat="1" applyFont="1" applyAlignment="1">
      <alignment horizontal="center"/>
    </xf>
    <xf numFmtId="5" fontId="19" fillId="33" borderId="0" xfId="0" applyNumberFormat="1" applyFont="1" applyFill="1"/>
    <xf numFmtId="165" fontId="0" fillId="0" borderId="17" xfId="0" applyNumberFormat="1" applyBorder="1" applyAlignment="1">
      <alignment horizontal="center"/>
    </xf>
    <xf numFmtId="0" fontId="18" fillId="0" borderId="23" xfId="0" applyFont="1" applyBorder="1" applyAlignment="1">
      <alignment horizontal="center"/>
    </xf>
    <xf numFmtId="165" fontId="24" fillId="0" borderId="17" xfId="0" applyNumberFormat="1" applyFon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3" fontId="28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23" xfId="0" applyFont="1" applyBorder="1"/>
    <xf numFmtId="0" fontId="18" fillId="0" borderId="17" xfId="0" applyFont="1" applyBorder="1"/>
    <xf numFmtId="0" fontId="18" fillId="0" borderId="16" xfId="0" applyFont="1" applyBorder="1"/>
    <xf numFmtId="37" fontId="24" fillId="0" borderId="0" xfId="0" applyNumberFormat="1" applyFont="1"/>
    <xf numFmtId="0" fontId="26" fillId="0" borderId="0" xfId="0" applyFont="1"/>
    <xf numFmtId="175" fontId="24" fillId="0" borderId="0" xfId="0" applyNumberFormat="1" applyFont="1"/>
    <xf numFmtId="37" fontId="23" fillId="0" borderId="0" xfId="0" applyNumberFormat="1" applyFont="1" applyAlignment="1">
      <alignment horizontal="centerContinuous"/>
    </xf>
    <xf numFmtId="37" fontId="23" fillId="0" borderId="0" xfId="0" applyNumberFormat="1" applyFont="1" applyAlignment="1">
      <alignment horizontal="center"/>
    </xf>
    <xf numFmtId="37" fontId="23" fillId="0" borderId="0" xfId="0" applyNumberFormat="1" applyFont="1"/>
    <xf numFmtId="37" fontId="30" fillId="0" borderId="0" xfId="0" applyNumberFormat="1" applyFont="1"/>
    <xf numFmtId="37" fontId="29" fillId="0" borderId="19" xfId="0" applyNumberFormat="1" applyFont="1" applyBorder="1"/>
    <xf numFmtId="39" fontId="29" fillId="0" borderId="19" xfId="0" applyNumberFormat="1" applyFont="1" applyBorder="1" applyAlignment="1">
      <alignment horizontal="center"/>
    </xf>
    <xf numFmtId="39" fontId="29" fillId="0" borderId="14" xfId="0" applyNumberFormat="1" applyFont="1" applyBorder="1" applyAlignment="1">
      <alignment horizontal="center"/>
    </xf>
    <xf numFmtId="0" fontId="18" fillId="0" borderId="20" xfId="0" applyFont="1" applyBorder="1"/>
    <xf numFmtId="39" fontId="29" fillId="0" borderId="10" xfId="0" applyNumberFormat="1" applyFont="1" applyBorder="1" applyAlignment="1">
      <alignment horizontal="center"/>
    </xf>
    <xf numFmtId="168" fontId="24" fillId="0" borderId="13" xfId="0" applyNumberFormat="1" applyFont="1" applyBorder="1"/>
    <xf numFmtId="168" fontId="18" fillId="0" borderId="11" xfId="0" applyNumberFormat="1" applyFont="1" applyBorder="1" applyAlignment="1">
      <alignment horizontal="center"/>
    </xf>
    <xf numFmtId="178" fontId="18" fillId="0" borderId="11" xfId="0" applyNumberFormat="1" applyFont="1" applyBorder="1" applyAlignment="1">
      <alignment horizontal="center"/>
    </xf>
    <xf numFmtId="0" fontId="18" fillId="0" borderId="22" xfId="0" applyFont="1" applyBorder="1"/>
    <xf numFmtId="178" fontId="19" fillId="33" borderId="0" xfId="0" applyNumberFormat="1" applyFont="1" applyFill="1" applyAlignment="1">
      <alignment horizontal="center"/>
    </xf>
    <xf numFmtId="168" fontId="19" fillId="33" borderId="0" xfId="0" applyNumberFormat="1" applyFont="1" applyFill="1"/>
    <xf numFmtId="168" fontId="24" fillId="33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5D9-D8B7-8440-8189-B1E781AB6412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CB90-AF0B-CF4C-8F3F-46E127F42996}">
  <dimension ref="A1:O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5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x14ac:dyDescent="0.2">
      <c r="A2" s="10"/>
      <c r="B2" s="10"/>
      <c r="C2" s="10"/>
      <c r="D2" s="10"/>
      <c r="E2" s="10"/>
      <c r="F2" s="10"/>
      <c r="G2" s="10"/>
      <c r="H2" s="24" t="s">
        <v>1</v>
      </c>
      <c r="I2" s="10"/>
      <c r="J2" s="10"/>
      <c r="K2" s="10"/>
      <c r="L2" s="10"/>
      <c r="M2" s="10"/>
      <c r="N2" s="10"/>
      <c r="O2" s="10"/>
    </row>
    <row r="3" spans="1:15" x14ac:dyDescent="0.2">
      <c r="A3" s="10"/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4" t="s">
        <v>0</v>
      </c>
      <c r="H3" s="24" t="s">
        <v>7</v>
      </c>
      <c r="I3" s="10"/>
      <c r="J3" s="10"/>
      <c r="K3" s="10"/>
      <c r="L3" s="10"/>
      <c r="M3" s="10"/>
      <c r="N3" s="10"/>
      <c r="O3" s="10"/>
    </row>
    <row r="4" spans="1:15" x14ac:dyDescent="0.2">
      <c r="A4" s="10"/>
      <c r="B4" s="23" t="s">
        <v>8</v>
      </c>
      <c r="C4" s="25">
        <v>3600000</v>
      </c>
      <c r="D4" s="47"/>
      <c r="E4" s="47"/>
      <c r="F4" s="47"/>
      <c r="G4" s="25">
        <f>SUM(C4:F4)</f>
        <v>3600000</v>
      </c>
      <c r="H4" s="26">
        <f>G4/$G$23</f>
        <v>0.36959987630724139</v>
      </c>
      <c r="I4" s="12"/>
      <c r="J4" s="10"/>
      <c r="K4" s="10"/>
      <c r="L4" s="10"/>
      <c r="M4" s="10"/>
      <c r="N4" s="10"/>
      <c r="O4" s="10"/>
    </row>
    <row r="5" spans="1:15" x14ac:dyDescent="0.2">
      <c r="A5" s="10"/>
      <c r="B5" s="23" t="s">
        <v>9</v>
      </c>
      <c r="C5" s="25">
        <v>3600000</v>
      </c>
      <c r="D5" s="47"/>
      <c r="E5" s="47"/>
      <c r="F5" s="47"/>
      <c r="G5" s="25">
        <f>SUM(C5:F5)</f>
        <v>3600000</v>
      </c>
      <c r="H5" s="26">
        <f>G5/$G$23</f>
        <v>0.36959987630724139</v>
      </c>
      <c r="I5" s="12"/>
      <c r="J5" s="10"/>
      <c r="K5" s="10"/>
      <c r="L5" s="10"/>
      <c r="M5" s="10"/>
      <c r="N5" s="10"/>
      <c r="O5" s="10"/>
    </row>
    <row r="6" spans="1:15" x14ac:dyDescent="0.2">
      <c r="A6" s="10"/>
      <c r="B6" s="23" t="s">
        <v>10</v>
      </c>
      <c r="C6" s="25">
        <v>222187</v>
      </c>
      <c r="D6" s="47"/>
      <c r="E6" s="47"/>
      <c r="F6" s="47"/>
      <c r="G6" s="25">
        <f>SUM(C6:F6)</f>
        <v>222187</v>
      </c>
      <c r="H6" s="26">
        <f>G6/$G$23</f>
        <v>2.28111910325214E-2</v>
      </c>
      <c r="I6" s="12"/>
      <c r="J6" s="10"/>
      <c r="K6" s="10"/>
      <c r="L6" s="10"/>
      <c r="M6" s="10"/>
      <c r="N6" s="10"/>
      <c r="O6" s="10"/>
    </row>
    <row r="7" spans="1:15" x14ac:dyDescent="0.2">
      <c r="A7" s="10"/>
      <c r="B7" s="23" t="s">
        <v>11</v>
      </c>
      <c r="C7" s="25">
        <v>592500</v>
      </c>
      <c r="D7" s="47"/>
      <c r="E7" s="47"/>
      <c r="F7" s="47"/>
      <c r="G7" s="25">
        <f>SUM(C7:F7)</f>
        <v>592500</v>
      </c>
      <c r="H7" s="26">
        <f>G7/$G$23</f>
        <v>6.0829979642233481E-2</v>
      </c>
      <c r="I7" s="12"/>
      <c r="J7" s="10"/>
      <c r="K7" s="10"/>
      <c r="L7" s="10"/>
      <c r="M7" s="10"/>
      <c r="N7" s="10"/>
      <c r="O7" s="10"/>
    </row>
    <row r="8" spans="1:15" x14ac:dyDescent="0.2">
      <c r="A8" s="10"/>
      <c r="B8" s="23" t="s">
        <v>12</v>
      </c>
      <c r="C8" s="25">
        <v>592500</v>
      </c>
      <c r="D8" s="47"/>
      <c r="E8" s="47"/>
      <c r="F8" s="47"/>
      <c r="G8" s="25">
        <f>SUM(C8:F8)</f>
        <v>592500</v>
      </c>
      <c r="H8" s="26">
        <f>G8/$G$23</f>
        <v>6.0829979642233481E-2</v>
      </c>
      <c r="I8" s="12"/>
      <c r="J8" s="10"/>
      <c r="K8" s="10"/>
      <c r="L8" s="10"/>
      <c r="M8" s="10"/>
      <c r="N8" s="10"/>
      <c r="O8" s="10"/>
    </row>
    <row r="9" spans="1:15" x14ac:dyDescent="0.2">
      <c r="A9" s="10"/>
      <c r="B9" s="23" t="s">
        <v>13</v>
      </c>
      <c r="C9" s="25">
        <v>13500</v>
      </c>
      <c r="D9" s="47">
        <v>98900</v>
      </c>
      <c r="E9" s="47"/>
      <c r="F9" s="47"/>
      <c r="G9" s="25">
        <f>SUM(C9:F9)</f>
        <v>112400</v>
      </c>
      <c r="H9" s="26">
        <f>G9/$G$23</f>
        <v>1.1539729471370537E-2</v>
      </c>
      <c r="I9" s="12"/>
      <c r="J9" s="10"/>
      <c r="K9" s="10"/>
      <c r="L9" s="10"/>
      <c r="M9" s="10"/>
      <c r="N9" s="10"/>
      <c r="O9" s="10"/>
    </row>
    <row r="10" spans="1:15" x14ac:dyDescent="0.2">
      <c r="A10" s="10"/>
      <c r="B10" s="23" t="s">
        <v>14</v>
      </c>
      <c r="C10" s="25">
        <v>9000</v>
      </c>
      <c r="D10" s="47"/>
      <c r="E10" s="47"/>
      <c r="F10" s="47"/>
      <c r="G10" s="25">
        <f>SUM(C10:F10)</f>
        <v>9000</v>
      </c>
      <c r="H10" s="26">
        <f>G10/$G$23</f>
        <v>9.2399969076810353E-4</v>
      </c>
      <c r="I10" s="12"/>
      <c r="J10" s="10"/>
      <c r="K10" s="10"/>
      <c r="L10" s="10"/>
      <c r="M10" s="10"/>
      <c r="N10" s="10"/>
      <c r="O10" s="10"/>
    </row>
    <row r="11" spans="1:15" x14ac:dyDescent="0.2">
      <c r="A11" s="10"/>
      <c r="B11" s="23" t="s">
        <v>15</v>
      </c>
      <c r="C11" s="25"/>
      <c r="D11" s="47">
        <v>95000</v>
      </c>
      <c r="E11" s="47"/>
      <c r="F11" s="47"/>
      <c r="G11" s="25">
        <f>SUM(C11:F11)</f>
        <v>95000</v>
      </c>
      <c r="H11" s="26">
        <f>G11/$G$23</f>
        <v>9.7533300692188695E-3</v>
      </c>
      <c r="I11" s="12"/>
      <c r="J11" s="10"/>
      <c r="K11" s="10"/>
      <c r="L11" s="10"/>
      <c r="M11" s="10"/>
      <c r="N11" s="10"/>
      <c r="O11" s="10"/>
    </row>
    <row r="12" spans="1:15" x14ac:dyDescent="0.2">
      <c r="A12" s="10"/>
      <c r="B12" s="23" t="s">
        <v>16</v>
      </c>
      <c r="C12" s="25"/>
      <c r="D12" s="47"/>
      <c r="E12" s="47">
        <v>25000</v>
      </c>
      <c r="F12" s="47"/>
      <c r="G12" s="25">
        <f>SUM(C12:F12)</f>
        <v>25000</v>
      </c>
      <c r="H12" s="26">
        <f>G12/$G$23</f>
        <v>2.5666658076891765E-3</v>
      </c>
      <c r="I12" s="12"/>
      <c r="J12" s="10"/>
      <c r="K12" s="10"/>
      <c r="L12" s="10"/>
      <c r="M12" s="10"/>
      <c r="N12" s="10"/>
      <c r="O12" s="10"/>
    </row>
    <row r="13" spans="1:15" x14ac:dyDescent="0.2">
      <c r="A13" s="10"/>
      <c r="B13" s="23" t="s">
        <v>17</v>
      </c>
      <c r="C13" s="25"/>
      <c r="D13" s="47"/>
      <c r="E13" s="47">
        <v>41562</v>
      </c>
      <c r="F13" s="47"/>
      <c r="G13" s="25">
        <f>SUM(C13:F13)</f>
        <v>41562</v>
      </c>
      <c r="H13" s="26">
        <f>G13/$G$23</f>
        <v>4.2670305719671019E-3</v>
      </c>
      <c r="I13" s="12"/>
      <c r="J13" s="10"/>
      <c r="K13" s="10"/>
      <c r="L13" s="10"/>
      <c r="M13" s="10"/>
      <c r="N13" s="10"/>
      <c r="O13" s="10"/>
    </row>
    <row r="14" spans="1:15" x14ac:dyDescent="0.2">
      <c r="A14" s="10"/>
      <c r="B14" s="23" t="s">
        <v>18</v>
      </c>
      <c r="C14" s="25"/>
      <c r="D14" s="47">
        <v>285000</v>
      </c>
      <c r="E14" s="47"/>
      <c r="F14" s="47"/>
      <c r="G14" s="25">
        <f>SUM(C14:F14)</f>
        <v>285000</v>
      </c>
      <c r="H14" s="26">
        <f>G14/$G$23</f>
        <v>2.925999020765661E-2</v>
      </c>
      <c r="I14" s="12"/>
      <c r="J14" s="10"/>
      <c r="K14" s="10"/>
      <c r="L14" s="10"/>
      <c r="M14" s="10"/>
      <c r="N14" s="10"/>
      <c r="O14" s="10"/>
    </row>
    <row r="15" spans="1:15" x14ac:dyDescent="0.2">
      <c r="A15" s="10"/>
      <c r="B15" s="23" t="s">
        <v>19</v>
      </c>
      <c r="C15" s="25"/>
      <c r="D15" s="47">
        <v>50000</v>
      </c>
      <c r="E15" s="47"/>
      <c r="F15" s="47"/>
      <c r="G15" s="25">
        <f>SUM(C15:F15)</f>
        <v>50000</v>
      </c>
      <c r="H15" s="26">
        <f>G15/$G$23</f>
        <v>5.133331615378353E-3</v>
      </c>
      <c r="I15" s="12"/>
      <c r="J15" s="10"/>
      <c r="K15" s="10"/>
      <c r="L15" s="10"/>
      <c r="M15" s="10"/>
      <c r="N15" s="10"/>
      <c r="O15" s="10"/>
    </row>
    <row r="16" spans="1:15" x14ac:dyDescent="0.2">
      <c r="A16" s="10"/>
      <c r="B16" s="23" t="s">
        <v>20</v>
      </c>
      <c r="C16" s="25"/>
      <c r="D16" s="47">
        <v>285000</v>
      </c>
      <c r="E16" s="47"/>
      <c r="F16" s="47"/>
      <c r="G16" s="25">
        <f>SUM(C16:F16)</f>
        <v>285000</v>
      </c>
      <c r="H16" s="26">
        <f>G16/$G$23</f>
        <v>2.925999020765661E-2</v>
      </c>
      <c r="I16" s="12"/>
      <c r="J16" s="10"/>
      <c r="K16" s="10"/>
      <c r="L16" s="10"/>
      <c r="M16" s="10"/>
      <c r="N16" s="10"/>
      <c r="O16" s="10"/>
    </row>
    <row r="17" spans="1:15" x14ac:dyDescent="0.2">
      <c r="A17" s="10"/>
      <c r="B17" s="23" t="s">
        <v>21</v>
      </c>
      <c r="C17" s="25"/>
      <c r="D17" s="47"/>
      <c r="E17" s="47">
        <v>96186</v>
      </c>
      <c r="F17" s="47"/>
      <c r="G17" s="25">
        <f>SUM(C17:F17)</f>
        <v>96186</v>
      </c>
      <c r="H17" s="26">
        <f>G17/$G$23</f>
        <v>9.8750926951356455E-3</v>
      </c>
      <c r="I17" s="12"/>
      <c r="J17" s="10"/>
      <c r="K17" s="10"/>
      <c r="L17" s="10"/>
      <c r="M17" s="10"/>
      <c r="N17" s="10"/>
      <c r="O17" s="10"/>
    </row>
    <row r="18" spans="1:15" x14ac:dyDescent="0.2">
      <c r="A18" s="10"/>
      <c r="B18" s="23" t="s">
        <v>22</v>
      </c>
      <c r="C18" s="25"/>
      <c r="D18" s="47"/>
      <c r="E18" s="47">
        <v>48095</v>
      </c>
      <c r="F18" s="47"/>
      <c r="G18" s="25">
        <f>SUM(C18:F18)</f>
        <v>48095</v>
      </c>
      <c r="H18" s="26">
        <f>G18/$G$23</f>
        <v>4.9377516808324371E-3</v>
      </c>
      <c r="I18" s="12"/>
      <c r="J18" s="10"/>
      <c r="K18" s="10"/>
      <c r="L18" s="10"/>
      <c r="M18" s="10"/>
      <c r="N18" s="10"/>
      <c r="O18" s="10"/>
    </row>
    <row r="19" spans="1:15" x14ac:dyDescent="0.2">
      <c r="A19" s="10"/>
      <c r="B19" s="23" t="s">
        <v>23</v>
      </c>
      <c r="C19" s="25"/>
      <c r="D19" s="47"/>
      <c r="E19" s="47"/>
      <c r="F19" s="47">
        <v>12395</v>
      </c>
      <c r="G19" s="25">
        <f>SUM(C19:F19)</f>
        <v>12395</v>
      </c>
      <c r="H19" s="26">
        <f>G19/$G$23</f>
        <v>1.2725529074522936E-3</v>
      </c>
      <c r="I19" s="12"/>
      <c r="J19" s="10"/>
      <c r="K19" s="10"/>
      <c r="L19" s="10"/>
      <c r="M19" s="10"/>
      <c r="N19" s="10"/>
      <c r="O19" s="10"/>
    </row>
    <row r="20" spans="1:15" x14ac:dyDescent="0.2">
      <c r="A20" s="10"/>
      <c r="B20" s="23" t="s">
        <v>24</v>
      </c>
      <c r="C20" s="25"/>
      <c r="D20" s="47"/>
      <c r="E20" s="47"/>
      <c r="F20" s="47">
        <v>8333</v>
      </c>
      <c r="G20" s="25">
        <f>SUM(C20:F20)</f>
        <v>8333</v>
      </c>
      <c r="H20" s="26">
        <f>G20/$G$23</f>
        <v>8.5552104701895626E-4</v>
      </c>
      <c r="I20" s="12"/>
      <c r="J20" s="10"/>
      <c r="K20" s="10"/>
      <c r="L20" s="10"/>
      <c r="M20" s="10"/>
      <c r="N20" s="10"/>
      <c r="O20" s="10"/>
    </row>
    <row r="21" spans="1:15" ht="15.75" customHeight="1" x14ac:dyDescent="0.2">
      <c r="A21" s="10"/>
      <c r="B21" s="23" t="s">
        <v>25</v>
      </c>
      <c r="C21" s="25"/>
      <c r="D21" s="47">
        <v>65105</v>
      </c>
      <c r="E21" s="47"/>
      <c r="F21" s="47"/>
      <c r="G21" s="25">
        <f>SUM(C21:F21)</f>
        <v>65105</v>
      </c>
      <c r="H21" s="26">
        <f>G21/$G$23</f>
        <v>6.6841110963841528E-3</v>
      </c>
      <c r="I21" s="12"/>
      <c r="J21" s="10"/>
      <c r="K21" s="10"/>
      <c r="L21" s="10"/>
      <c r="M21" s="10"/>
      <c r="N21" s="10"/>
      <c r="O21" s="10"/>
    </row>
    <row r="22" spans="1:15" ht="15.75" customHeight="1" x14ac:dyDescent="0.2">
      <c r="A22" s="10"/>
      <c r="B22" s="10"/>
      <c r="C22" s="10"/>
      <c r="D22" s="10"/>
      <c r="E22" s="10"/>
      <c r="F22" s="10"/>
      <c r="G22" s="10"/>
      <c r="H22" s="10"/>
      <c r="I22" s="12"/>
      <c r="J22" s="10"/>
      <c r="K22" s="10"/>
      <c r="L22" s="10"/>
      <c r="M22" s="10"/>
      <c r="N22" s="10"/>
      <c r="O22" s="10"/>
    </row>
    <row r="23" spans="1:15" ht="15.75" customHeight="1" x14ac:dyDescent="0.2">
      <c r="A23" s="10"/>
      <c r="B23" s="59" t="s">
        <v>0</v>
      </c>
      <c r="C23" s="53">
        <f>SUM(C4:C21)</f>
        <v>8629687</v>
      </c>
      <c r="D23" s="53">
        <f>SUM(D4:D21)</f>
        <v>879005</v>
      </c>
      <c r="E23" s="53">
        <f>SUM(E4:E21)</f>
        <v>210843</v>
      </c>
      <c r="F23" s="53">
        <f>SUM(F4:F21)</f>
        <v>20728</v>
      </c>
      <c r="G23" s="53">
        <f>SUM(G4:G21)</f>
        <v>9740263</v>
      </c>
      <c r="H23" s="12"/>
      <c r="I23" s="11"/>
      <c r="J23" s="10"/>
      <c r="K23" s="10"/>
      <c r="L23" s="10"/>
      <c r="M23" s="10"/>
      <c r="N23" s="10"/>
      <c r="O23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FD0F-0B9A-A34B-A6D8-E73438EC8DBE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5"/>
      <c r="B1" s="4"/>
      <c r="C1" s="4"/>
      <c r="D1" s="5"/>
      <c r="E1" s="4"/>
      <c r="F1" s="4"/>
      <c r="G1" s="4"/>
      <c r="H1" s="4"/>
      <c r="I1" s="4"/>
      <c r="J1" s="4"/>
      <c r="K1" s="4"/>
    </row>
    <row r="2" spans="1:11" x14ac:dyDescent="0.2">
      <c r="A2" s="5"/>
      <c r="B2" s="4"/>
      <c r="C2" s="13" t="s">
        <v>26</v>
      </c>
      <c r="D2" s="5"/>
      <c r="E2" s="4"/>
      <c r="F2" s="4"/>
      <c r="G2" s="4"/>
      <c r="H2" s="4"/>
      <c r="I2" s="4"/>
      <c r="J2" s="4"/>
      <c r="K2" s="4"/>
    </row>
    <row r="3" spans="1:11" x14ac:dyDescent="0.2">
      <c r="A3" s="5"/>
      <c r="B3" s="24" t="s">
        <v>2</v>
      </c>
      <c r="C3" s="27" t="s">
        <v>26</v>
      </c>
      <c r="D3" s="5"/>
      <c r="E3" s="24" t="s">
        <v>27</v>
      </c>
      <c r="F3" s="4"/>
      <c r="G3" s="4"/>
      <c r="H3" s="4"/>
      <c r="I3" s="4"/>
      <c r="J3" s="4"/>
      <c r="K3" s="4"/>
    </row>
    <row r="4" spans="1:11" x14ac:dyDescent="0.2">
      <c r="A4" s="5"/>
      <c r="B4" s="23" t="s">
        <v>13</v>
      </c>
      <c r="C4" s="28">
        <v>25000</v>
      </c>
      <c r="D4" s="5"/>
      <c r="E4" s="23" t="s">
        <v>28</v>
      </c>
      <c r="F4" s="4"/>
      <c r="G4" s="4"/>
      <c r="H4" s="4"/>
      <c r="I4" s="4"/>
      <c r="J4" s="4"/>
      <c r="K4" s="4"/>
    </row>
    <row r="5" spans="1:11" x14ac:dyDescent="0.2">
      <c r="A5" s="5"/>
      <c r="B5" s="23" t="s">
        <v>14</v>
      </c>
      <c r="C5" s="28">
        <v>25000</v>
      </c>
      <c r="D5" s="5"/>
      <c r="E5" s="4"/>
      <c r="F5" s="4"/>
      <c r="G5" s="4"/>
      <c r="H5" s="4"/>
      <c r="I5" s="4"/>
      <c r="J5" s="4"/>
      <c r="K5" s="4"/>
    </row>
    <row r="6" spans="1:11" ht="15.75" customHeight="1" x14ac:dyDescent="0.2">
      <c r="A6" s="5"/>
      <c r="B6" s="23" t="s">
        <v>29</v>
      </c>
      <c r="C6" s="28">
        <v>137170.75</v>
      </c>
      <c r="D6" s="5"/>
      <c r="E6" s="4"/>
      <c r="F6" s="4"/>
      <c r="G6" s="4"/>
      <c r="H6" s="4"/>
      <c r="I6" s="4"/>
      <c r="J6" s="4"/>
      <c r="K6" s="4"/>
    </row>
    <row r="7" spans="1:11" ht="15.75" customHeight="1" x14ac:dyDescent="0.2">
      <c r="A7" s="5"/>
      <c r="B7" s="23" t="s">
        <v>30</v>
      </c>
      <c r="C7" s="28">
        <v>3846829.25</v>
      </c>
      <c r="D7" s="5"/>
      <c r="E7" s="4"/>
      <c r="F7" s="4"/>
      <c r="G7" s="4"/>
      <c r="H7" s="4"/>
      <c r="I7" s="4"/>
      <c r="J7" s="4"/>
      <c r="K7" s="4"/>
    </row>
    <row r="8" spans="1:11" ht="15.75" customHeight="1" x14ac:dyDescent="0.2">
      <c r="A8" s="5"/>
      <c r="B8" s="23" t="s">
        <v>31</v>
      </c>
      <c r="C8" s="28">
        <v>16566</v>
      </c>
      <c r="D8" s="5"/>
      <c r="E8" s="23" t="s">
        <v>77</v>
      </c>
      <c r="F8" s="4"/>
      <c r="G8" s="4"/>
      <c r="H8" s="4"/>
      <c r="I8" s="4"/>
      <c r="J8" s="4"/>
      <c r="K8" s="4"/>
    </row>
    <row r="9" spans="1:11" ht="15.75" customHeight="1" x14ac:dyDescent="0.2">
      <c r="A9" s="5"/>
      <c r="B9" s="23" t="s">
        <v>32</v>
      </c>
      <c r="C9" s="28">
        <v>250000</v>
      </c>
      <c r="D9" s="5"/>
      <c r="E9" s="4"/>
      <c r="F9" s="4"/>
      <c r="G9" s="4"/>
      <c r="H9" s="4"/>
      <c r="I9" s="4"/>
      <c r="J9" s="4"/>
      <c r="K9" s="4"/>
    </row>
    <row r="10" spans="1:11" ht="15.75" customHeight="1" x14ac:dyDescent="0.2">
      <c r="A10" s="5"/>
      <c r="B10" s="23" t="s">
        <v>33</v>
      </c>
      <c r="C10" s="28">
        <v>100000</v>
      </c>
      <c r="D10" s="5"/>
      <c r="E10" s="4"/>
      <c r="F10" s="4"/>
      <c r="G10" s="4"/>
      <c r="H10" s="4"/>
      <c r="I10" s="4"/>
      <c r="J10" s="4"/>
      <c r="K10" s="4"/>
    </row>
    <row r="11" spans="1:11" ht="15.75" customHeight="1" x14ac:dyDescent="0.2">
      <c r="A11" s="5"/>
      <c r="B11" s="23" t="s">
        <v>34</v>
      </c>
      <c r="C11" s="28">
        <v>300000</v>
      </c>
      <c r="D11" s="5"/>
      <c r="E11" s="23" t="s">
        <v>28</v>
      </c>
      <c r="F11" s="4"/>
      <c r="G11" s="4"/>
      <c r="H11" s="4"/>
      <c r="I11" s="4"/>
      <c r="J11" s="4"/>
      <c r="K11" s="4"/>
    </row>
    <row r="12" spans="1:11" ht="15.75" customHeight="1" x14ac:dyDescent="0.2">
      <c r="A12" s="5"/>
      <c r="B12" s="23" t="s">
        <v>35</v>
      </c>
      <c r="C12" s="28">
        <v>37500</v>
      </c>
      <c r="D12" s="5"/>
      <c r="E12" s="23" t="s">
        <v>36</v>
      </c>
      <c r="F12" s="4"/>
      <c r="G12" s="4"/>
      <c r="H12" s="4"/>
      <c r="I12" s="4"/>
      <c r="J12" s="4"/>
      <c r="K12" s="4"/>
    </row>
    <row r="13" spans="1:11" ht="15.75" customHeight="1" x14ac:dyDescent="0.2">
      <c r="A13" s="5"/>
      <c r="B13" s="23" t="s">
        <v>37</v>
      </c>
      <c r="C13" s="28">
        <v>250000</v>
      </c>
      <c r="D13" s="5"/>
      <c r="E13" s="4"/>
      <c r="F13" s="4"/>
      <c r="G13" s="4"/>
      <c r="H13" s="4"/>
      <c r="I13" s="4"/>
      <c r="J13" s="4"/>
      <c r="K13" s="4"/>
    </row>
    <row r="14" spans="1:11" ht="15.75" customHeight="1" x14ac:dyDescent="0.2">
      <c r="A14" s="5"/>
      <c r="B14" s="23" t="s">
        <v>38</v>
      </c>
      <c r="C14" s="28">
        <v>100000</v>
      </c>
      <c r="D14" s="5"/>
      <c r="E14" s="4"/>
      <c r="F14" s="4"/>
      <c r="G14" s="4"/>
      <c r="H14" s="4"/>
      <c r="I14" s="4"/>
      <c r="J14" s="4"/>
      <c r="K14" s="4"/>
    </row>
    <row r="15" spans="1:11" ht="15.75" customHeight="1" x14ac:dyDescent="0.2">
      <c r="A15" s="5"/>
      <c r="B15" s="23" t="s">
        <v>39</v>
      </c>
      <c r="C15" s="28">
        <v>41164</v>
      </c>
      <c r="D15" s="5"/>
      <c r="E15" s="23" t="s">
        <v>77</v>
      </c>
      <c r="F15" s="4"/>
      <c r="G15" s="4"/>
      <c r="H15" s="4"/>
      <c r="I15" s="4"/>
      <c r="J15" s="4"/>
      <c r="K15" s="4"/>
    </row>
    <row r="16" spans="1:11" ht="15.75" customHeight="1" x14ac:dyDescent="0.2">
      <c r="A16" s="5"/>
      <c r="B16" s="23" t="s">
        <v>40</v>
      </c>
      <c r="C16" s="28">
        <v>2328778</v>
      </c>
      <c r="D16" s="5"/>
      <c r="E16" s="23" t="s">
        <v>77</v>
      </c>
      <c r="F16" s="4"/>
      <c r="G16" s="4"/>
      <c r="H16" s="4"/>
      <c r="I16" s="4"/>
      <c r="J16" s="4"/>
      <c r="K16" s="4"/>
    </row>
    <row r="17" spans="1:11" ht="15.75" customHeight="1" x14ac:dyDescent="0.2">
      <c r="A17" s="5"/>
      <c r="B17" s="23" t="s">
        <v>41</v>
      </c>
      <c r="C17" s="28">
        <v>1506000</v>
      </c>
      <c r="D17" s="5"/>
      <c r="E17" s="23" t="s">
        <v>42</v>
      </c>
      <c r="F17" s="4"/>
      <c r="G17" s="4"/>
      <c r="H17" s="4"/>
      <c r="I17" s="4"/>
      <c r="J17" s="4"/>
      <c r="K17" s="4"/>
    </row>
    <row r="18" spans="1:11" ht="15.75" customHeight="1" x14ac:dyDescent="0.2">
      <c r="A18" s="5"/>
      <c r="B18" s="23" t="s">
        <v>43</v>
      </c>
      <c r="C18" s="28">
        <v>50000</v>
      </c>
      <c r="D18" s="5"/>
      <c r="E18" s="4"/>
      <c r="F18" s="4"/>
      <c r="G18" s="4"/>
      <c r="H18" s="4"/>
      <c r="I18" s="4"/>
      <c r="J18" s="4"/>
      <c r="K18" s="4"/>
    </row>
    <row r="19" spans="1:11" ht="15.75" customHeight="1" x14ac:dyDescent="0.2">
      <c r="A19" s="5"/>
      <c r="B19" s="23" t="s">
        <v>44</v>
      </c>
      <c r="C19" s="28">
        <v>212500</v>
      </c>
      <c r="D19" s="5"/>
      <c r="E19" s="23" t="s">
        <v>36</v>
      </c>
      <c r="F19" s="4"/>
      <c r="G19" s="4"/>
      <c r="H19" s="4"/>
      <c r="I19" s="4"/>
      <c r="J19" s="4"/>
      <c r="K19" s="4"/>
    </row>
    <row r="20" spans="1:11" ht="15.75" customHeight="1" x14ac:dyDescent="0.2">
      <c r="A20" s="5"/>
      <c r="B20" s="23" t="s">
        <v>45</v>
      </c>
      <c r="C20" s="28">
        <v>25000</v>
      </c>
      <c r="D20" s="5"/>
      <c r="E20" s="4"/>
      <c r="F20" s="4"/>
      <c r="G20" s="4"/>
      <c r="H20" s="4"/>
      <c r="I20" s="4"/>
      <c r="J20" s="4"/>
      <c r="K20" s="4"/>
    </row>
    <row r="21" spans="1:11" ht="15.75" customHeight="1" x14ac:dyDescent="0.2">
      <c r="A21" s="5"/>
      <c r="B21" s="23" t="s">
        <v>46</v>
      </c>
      <c r="C21" s="28">
        <v>61746</v>
      </c>
      <c r="D21" s="5"/>
      <c r="E21" s="23" t="s">
        <v>77</v>
      </c>
      <c r="F21" s="4"/>
      <c r="G21" s="4"/>
      <c r="H21" s="4"/>
      <c r="I21" s="4"/>
      <c r="J21" s="4"/>
      <c r="K21" s="4"/>
    </row>
    <row r="22" spans="1:11" ht="15.75" customHeight="1" x14ac:dyDescent="0.2">
      <c r="A22" s="5"/>
      <c r="B22" s="23" t="s">
        <v>47</v>
      </c>
      <c r="C22" s="28">
        <v>100000</v>
      </c>
      <c r="D22" s="5"/>
      <c r="E22" s="4"/>
      <c r="F22" s="4"/>
      <c r="G22" s="4"/>
      <c r="H22" s="4"/>
      <c r="I22" s="4"/>
      <c r="J22" s="4"/>
      <c r="K22" s="4"/>
    </row>
    <row r="23" spans="1:11" ht="15.75" customHeight="1" x14ac:dyDescent="0.2">
      <c r="A23" s="5"/>
      <c r="B23" s="23" t="s">
        <v>48</v>
      </c>
      <c r="C23" s="28">
        <v>100000</v>
      </c>
      <c r="D23" s="5"/>
      <c r="E23" s="4"/>
      <c r="F23" s="4"/>
      <c r="G23" s="4"/>
      <c r="H23" s="4"/>
      <c r="I23" s="4"/>
      <c r="J23" s="4"/>
      <c r="K23" s="4"/>
    </row>
    <row r="24" spans="1:11" ht="15.75" customHeight="1" x14ac:dyDescent="0.2">
      <c r="A24" s="5"/>
      <c r="B24" s="23" t="s">
        <v>49</v>
      </c>
      <c r="C24" s="28">
        <v>61746</v>
      </c>
      <c r="D24" s="5"/>
      <c r="E24" s="23" t="s">
        <v>77</v>
      </c>
      <c r="F24" s="4"/>
      <c r="G24" s="4"/>
      <c r="H24" s="4"/>
      <c r="I24" s="4"/>
      <c r="J24" s="4"/>
      <c r="K24" s="4"/>
    </row>
    <row r="25" spans="1:11" ht="15.75" customHeight="1" x14ac:dyDescent="0.2">
      <c r="A25" s="5"/>
      <c r="B25" s="23" t="s">
        <v>50</v>
      </c>
      <c r="C25" s="28">
        <v>250000</v>
      </c>
      <c r="D25" s="5"/>
      <c r="E25" s="23" t="s">
        <v>51</v>
      </c>
      <c r="F25" s="4"/>
      <c r="G25" s="4"/>
      <c r="H25" s="4"/>
      <c r="I25" s="4"/>
      <c r="J25" s="4"/>
      <c r="K25" s="4"/>
    </row>
    <row r="26" spans="1:11" ht="15.75" customHeight="1" x14ac:dyDescent="0.2">
      <c r="A26" s="5"/>
      <c r="B26" s="4"/>
      <c r="C26" s="6"/>
      <c r="D26" s="5"/>
      <c r="E26" s="4"/>
      <c r="F26" s="4"/>
      <c r="G26" s="4"/>
      <c r="H26" s="4"/>
      <c r="I26" s="4"/>
      <c r="J26" s="4"/>
      <c r="K26" s="4"/>
    </row>
    <row r="27" spans="1:11" ht="15.75" customHeight="1" x14ac:dyDescent="0.2">
      <c r="A27" s="5"/>
      <c r="B27" s="23" t="s">
        <v>0</v>
      </c>
      <c r="C27" s="27">
        <f>SUM(C4:C25)</f>
        <v>9825000</v>
      </c>
      <c r="D27" s="5"/>
      <c r="E27" s="4"/>
      <c r="F27" s="4"/>
      <c r="G27" s="4"/>
      <c r="H27" s="4"/>
      <c r="I27" s="4"/>
      <c r="J27" s="4"/>
      <c r="K2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911D-37FD-D94E-8729-EB65E9AACF33}">
  <dimension ref="A1:N33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83203125" customWidth="1"/>
    <col min="7" max="7" width="15.5" customWidth="1"/>
    <col min="8" max="8" width="16.83203125" customWidth="1"/>
    <col min="9" max="9" width="3.83203125" customWidth="1"/>
    <col min="10" max="10" width="13.83203125" customWidth="1"/>
    <col min="11" max="11" width="3.83203125" customWidth="1"/>
    <col min="12" max="12" width="14.33203125" customWidth="1"/>
    <col min="13" max="13" width="9.33203125" customWidth="1"/>
    <col min="14" max="14" width="8" customWidth="1"/>
  </cols>
  <sheetData>
    <row r="1" spans="1:14" x14ac:dyDescent="0.2">
      <c r="A1" s="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2"/>
    </row>
    <row r="2" spans="1:14" x14ac:dyDescent="0.2">
      <c r="A2" s="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x14ac:dyDescent="0.2">
      <c r="A3" s="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</row>
    <row r="4" spans="1:14" ht="15.5" customHeight="1" x14ac:dyDescent="0.2">
      <c r="A4" s="1"/>
      <c r="B4" s="61" t="s">
        <v>82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2"/>
    </row>
    <row r="5" spans="1:14" ht="16.25" customHeight="1" thickBot="1" x14ac:dyDescent="0.25">
      <c r="A5" s="1"/>
      <c r="B5" s="63" t="s">
        <v>82</v>
      </c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2"/>
    </row>
    <row r="6" spans="1:14" ht="13.75" customHeight="1" thickBot="1" x14ac:dyDescent="0.25">
      <c r="A6" s="1"/>
      <c r="B6" s="58"/>
      <c r="C6" s="36" t="s">
        <v>52</v>
      </c>
      <c r="D6" s="36" t="s">
        <v>26</v>
      </c>
      <c r="E6" s="68"/>
      <c r="F6" s="30"/>
      <c r="G6" s="36" t="s">
        <v>54</v>
      </c>
      <c r="H6" s="68"/>
      <c r="I6" s="30"/>
      <c r="J6" s="36" t="s">
        <v>53</v>
      </c>
      <c r="K6" s="73"/>
      <c r="L6" s="33" t="s">
        <v>55</v>
      </c>
      <c r="M6" s="55"/>
      <c r="N6" s="30"/>
    </row>
    <row r="7" spans="1:14" x14ac:dyDescent="0.2">
      <c r="A7" s="1"/>
      <c r="B7" s="58"/>
      <c r="C7" s="66" t="s">
        <v>56</v>
      </c>
      <c r="D7" s="36" t="s">
        <v>57</v>
      </c>
      <c r="E7" s="42" t="s">
        <v>58</v>
      </c>
      <c r="F7" s="30"/>
      <c r="G7" s="36" t="s">
        <v>57</v>
      </c>
      <c r="H7" s="42" t="s">
        <v>58</v>
      </c>
      <c r="I7" s="1"/>
      <c r="J7" s="34" t="s">
        <v>59</v>
      </c>
      <c r="K7" s="41"/>
      <c r="L7" s="33" t="s">
        <v>60</v>
      </c>
      <c r="M7" s="37" t="s">
        <v>61</v>
      </c>
      <c r="N7" s="30"/>
    </row>
    <row r="8" spans="1:14" ht="13.75" customHeight="1" thickBot="1" x14ac:dyDescent="0.25">
      <c r="A8" s="1"/>
      <c r="B8" s="64"/>
      <c r="C8" s="67" t="s">
        <v>62</v>
      </c>
      <c r="D8" s="19" t="s">
        <v>63</v>
      </c>
      <c r="E8" s="40" t="s">
        <v>62</v>
      </c>
      <c r="F8" s="30"/>
      <c r="G8" s="39" t="s">
        <v>63</v>
      </c>
      <c r="H8" s="40" t="s">
        <v>62</v>
      </c>
      <c r="I8" s="1"/>
      <c r="J8" s="39" t="s">
        <v>64</v>
      </c>
      <c r="K8" s="43"/>
      <c r="L8" s="38" t="s">
        <v>62</v>
      </c>
      <c r="M8" s="35" t="s">
        <v>65</v>
      </c>
      <c r="N8" s="30"/>
    </row>
    <row r="9" spans="1:14" x14ac:dyDescent="0.2">
      <c r="A9" s="1"/>
      <c r="B9" s="65" t="s">
        <v>66</v>
      </c>
      <c r="C9" s="21"/>
      <c r="D9" s="21"/>
      <c r="E9" s="21"/>
      <c r="F9" s="20"/>
      <c r="G9" s="21"/>
      <c r="H9" s="21"/>
      <c r="I9" s="20"/>
      <c r="J9" s="21"/>
      <c r="K9" s="54"/>
      <c r="L9" s="21"/>
      <c r="M9" s="50"/>
      <c r="N9" s="1"/>
    </row>
    <row r="10" spans="1:14" x14ac:dyDescent="0.2">
      <c r="A10" s="1"/>
      <c r="B10" s="44" t="s">
        <v>8</v>
      </c>
      <c r="C10" s="8">
        <f>'Detailed Cap Table'!C4</f>
        <v>3600000</v>
      </c>
      <c r="D10" s="3"/>
      <c r="E10" s="3"/>
      <c r="F10" s="1"/>
      <c r="G10" s="3"/>
      <c r="H10" s="3"/>
      <c r="I10" s="1"/>
      <c r="J10" s="3"/>
      <c r="K10" s="1"/>
      <c r="L10" s="31">
        <f>C10+E10+H10+J10</f>
        <v>3600000</v>
      </c>
      <c r="M10" s="51">
        <f ca="1">L10/$L$22</f>
        <v>0.19407509228944511</v>
      </c>
      <c r="N10" s="1"/>
    </row>
    <row r="11" spans="1:14" x14ac:dyDescent="0.2">
      <c r="A11" s="1"/>
      <c r="B11" s="44" t="s">
        <v>9</v>
      </c>
      <c r="C11" s="8">
        <f>'Detailed Cap Table'!C5</f>
        <v>3600000</v>
      </c>
      <c r="D11" s="3"/>
      <c r="E11" s="3"/>
      <c r="F11" s="1"/>
      <c r="G11" s="3"/>
      <c r="H11" s="3"/>
      <c r="I11" s="1"/>
      <c r="J11" s="3"/>
      <c r="K11" s="1"/>
      <c r="L11" s="31">
        <f>C11+E11+H11+J11</f>
        <v>3600000</v>
      </c>
      <c r="M11" s="51">
        <f ca="1">L11/$L$22</f>
        <v>0.19407509228944511</v>
      </c>
      <c r="N11" s="1"/>
    </row>
    <row r="12" spans="1:14" ht="14.5" customHeight="1" x14ac:dyDescent="0.2">
      <c r="A12" s="1"/>
      <c r="B12" s="44" t="s">
        <v>79</v>
      </c>
      <c r="C12" s="8">
        <f>'Detailed Cap Table'!C23-'Detailed Cap Table'!C4-'Detailed Cap Table'!C5+'Detailed Cap Table'!D23-'Detailed Cap Table'!D21+'Detailed Cap Table'!F23</f>
        <v>2264315</v>
      </c>
      <c r="D12" s="3"/>
      <c r="E12" s="3"/>
      <c r="F12" s="1"/>
      <c r="G12" s="3"/>
      <c r="H12" s="3"/>
      <c r="I12" s="1"/>
      <c r="J12" s="3"/>
      <c r="K12" s="1"/>
      <c r="L12" s="31">
        <f>C12+E12+H12+J12</f>
        <v>2264315</v>
      </c>
      <c r="M12" s="51">
        <f ca="1">L12/$L$22</f>
        <v>0.12206865072149302</v>
      </c>
      <c r="N12" s="1"/>
    </row>
    <row r="13" spans="1:14" x14ac:dyDescent="0.2">
      <c r="A13" s="1"/>
      <c r="B13" s="44" t="s">
        <v>74</v>
      </c>
      <c r="C13" s="8">
        <f>'Detailed Cap Table'!E23</f>
        <v>210843</v>
      </c>
      <c r="D13" s="3"/>
      <c r="E13" s="3"/>
      <c r="F13" s="1"/>
      <c r="G13" s="3"/>
      <c r="H13" s="3"/>
      <c r="I13" s="1"/>
      <c r="J13" s="3"/>
      <c r="K13" s="1"/>
      <c r="L13" s="31">
        <f>C13+E13+H13+J13</f>
        <v>210843</v>
      </c>
      <c r="M13" s="51">
        <f ca="1">L13/$L$22</f>
        <v>1.1366492967662076E-2</v>
      </c>
      <c r="N13" s="1"/>
    </row>
    <row r="14" spans="1:14" x14ac:dyDescent="0.2">
      <c r="A14" s="1"/>
      <c r="B14" s="44" t="s">
        <v>75</v>
      </c>
      <c r="C14" s="8">
        <f>'Detailed Cap Table'!D21</f>
        <v>65105</v>
      </c>
      <c r="D14" s="3"/>
      <c r="E14" s="3"/>
      <c r="F14" s="1"/>
      <c r="G14" s="3"/>
      <c r="H14" s="3"/>
      <c r="I14" s="1"/>
      <c r="J14" s="31">
        <f ca="1">IFERROR(ROUND(0.1*L22-C14,0),0)</f>
        <v>1789847</v>
      </c>
      <c r="K14" s="1"/>
      <c r="L14" s="31">
        <f ca="1">C14+E14+H14+J14</f>
        <v>1854952</v>
      </c>
      <c r="M14" s="51">
        <f ca="1">L14/$L$22</f>
        <v>9.9999994609025214E-2</v>
      </c>
      <c r="N14" s="1"/>
    </row>
    <row r="15" spans="1:14" x14ac:dyDescent="0.2">
      <c r="A15" s="1"/>
      <c r="B15" s="45" t="s">
        <v>67</v>
      </c>
      <c r="C15" s="69">
        <f>SUM(C10:C14)</f>
        <v>9740263</v>
      </c>
      <c r="D15" s="3">
        <f>SUM(D10:D14)</f>
        <v>0</v>
      </c>
      <c r="E15" s="3">
        <f>SUM(E10:E14)</f>
        <v>0</v>
      </c>
      <c r="F15" s="1"/>
      <c r="G15" s="3">
        <f>SUM(G10:G14)</f>
        <v>0</v>
      </c>
      <c r="H15" s="3">
        <f>SUM(H10:H14)</f>
        <v>0</v>
      </c>
      <c r="I15" s="1"/>
      <c r="J15" s="3">
        <f ca="1">SUM(J10:J14)</f>
        <v>1789847</v>
      </c>
      <c r="K15" s="1"/>
      <c r="L15" s="31">
        <f ca="1">SUM(L10:L14)</f>
        <v>11530110</v>
      </c>
      <c r="M15" s="49">
        <f ca="1">L15/$L$22</f>
        <v>0.62158532287707047</v>
      </c>
      <c r="N15" s="1"/>
    </row>
    <row r="16" spans="1:14" x14ac:dyDescent="0.2">
      <c r="A16" s="1"/>
      <c r="B16" s="45" t="s">
        <v>68</v>
      </c>
      <c r="C16" s="3"/>
      <c r="D16" s="3"/>
      <c r="E16" s="3"/>
      <c r="F16" s="1"/>
      <c r="G16" s="3"/>
      <c r="H16" s="3"/>
      <c r="I16" s="1"/>
      <c r="J16" s="3"/>
      <c r="K16" s="1"/>
      <c r="L16" s="3"/>
      <c r="M16" s="22"/>
      <c r="N16" s="1"/>
    </row>
    <row r="17" spans="1:14" x14ac:dyDescent="0.2">
      <c r="A17" s="1"/>
      <c r="B17" s="44" t="s">
        <v>42</v>
      </c>
      <c r="C17" s="7"/>
      <c r="D17" s="32">
        <f>'SAFE Investments'!C6+'SAFE Investments'!C7+'SAFE Investments'!C17+'SAFE Investments'!C16+'SAFE Investments'!C15+'SAFE Investments'!C21+'SAFE Investments'!C24+'SAFE Investments'!C8</f>
        <v>8000000</v>
      </c>
      <c r="E17" s="31">
        <f>IFERROR(ROUND(D17/$E$24,0),0)</f>
        <v>1939567</v>
      </c>
      <c r="F17" s="1"/>
      <c r="G17" s="74">
        <v>5000000</v>
      </c>
      <c r="H17" s="31">
        <f ca="1">IFERROR(ROUND(G17/$H$24,0),0)</f>
        <v>1159345</v>
      </c>
      <c r="I17" s="1"/>
      <c r="J17" s="3"/>
      <c r="K17" s="1"/>
      <c r="L17" s="31">
        <f ca="1">C17+E17+H17+J17</f>
        <v>3098912</v>
      </c>
      <c r="M17" s="51">
        <f ca="1">L17/$L$22</f>
        <v>0.16706156455468579</v>
      </c>
      <c r="N17" s="1"/>
    </row>
    <row r="18" spans="1:14" x14ac:dyDescent="0.2">
      <c r="A18" s="1"/>
      <c r="B18" s="44" t="s">
        <v>83</v>
      </c>
      <c r="C18" s="7"/>
      <c r="D18" s="32">
        <f>'SAFE Investments'!C27-D17</f>
        <v>1825000</v>
      </c>
      <c r="E18" s="31">
        <f>IFERROR(ROUND(D18/$E$24,0),0)</f>
        <v>442464</v>
      </c>
      <c r="F18" s="1"/>
      <c r="G18" s="3"/>
      <c r="H18" s="31"/>
      <c r="I18" s="1"/>
      <c r="J18" s="3"/>
      <c r="K18" s="1"/>
      <c r="L18" s="31">
        <f>C18+E18+H18+J18</f>
        <v>442464</v>
      </c>
      <c r="M18" s="51">
        <f ca="1">L18/$L$22</f>
        <v>2.3853122676321399E-2</v>
      </c>
      <c r="N18" s="1"/>
    </row>
    <row r="19" spans="1:14" x14ac:dyDescent="0.2">
      <c r="A19" s="1"/>
      <c r="B19" s="44" t="s">
        <v>81</v>
      </c>
      <c r="C19" s="7"/>
      <c r="D19" s="3"/>
      <c r="E19" s="3"/>
      <c r="F19" s="1"/>
      <c r="G19" s="74">
        <v>12000000</v>
      </c>
      <c r="H19" s="31">
        <f ca="1">IFERROR(ROUND(G19/$H$24,0),0)</f>
        <v>2782428</v>
      </c>
      <c r="I19" s="1"/>
      <c r="J19" s="3"/>
      <c r="K19" s="1"/>
      <c r="L19" s="31">
        <f ca="1">C19+E19+H19+J19</f>
        <v>2782428</v>
      </c>
      <c r="M19" s="51">
        <f ca="1">L19/$L$22</f>
        <v>0.14999999191353783</v>
      </c>
      <c r="N19" s="1"/>
    </row>
    <row r="20" spans="1:14" x14ac:dyDescent="0.2">
      <c r="A20" s="1"/>
      <c r="B20" s="44" t="s">
        <v>76</v>
      </c>
      <c r="C20" s="7"/>
      <c r="D20" s="3"/>
      <c r="E20" s="3"/>
      <c r="F20" s="1"/>
      <c r="G20" s="74">
        <v>3000000</v>
      </c>
      <c r="H20" s="31">
        <f ca="1">IFERROR(ROUND(G20/$H$24,0),0)</f>
        <v>695607</v>
      </c>
      <c r="I20" s="1"/>
      <c r="J20" s="3"/>
      <c r="K20" s="1"/>
      <c r="L20" s="31">
        <f ca="1">C20+E20+H20+J20</f>
        <v>695607</v>
      </c>
      <c r="M20" s="51">
        <f ca="1">L20/$L$22</f>
        <v>3.7499997978384457E-2</v>
      </c>
      <c r="N20" s="1"/>
    </row>
    <row r="21" spans="1:14" x14ac:dyDescent="0.2">
      <c r="A21" s="1"/>
      <c r="B21" s="18"/>
      <c r="C21" s="3"/>
      <c r="D21" s="3"/>
      <c r="E21" s="3"/>
      <c r="F21" s="1"/>
      <c r="G21" s="3"/>
      <c r="H21" s="3"/>
      <c r="I21" s="1"/>
      <c r="J21" s="3"/>
      <c r="K21" s="1"/>
      <c r="L21" s="3"/>
      <c r="M21" s="22"/>
      <c r="N21" s="1"/>
    </row>
    <row r="22" spans="1:14" ht="13.75" customHeight="1" x14ac:dyDescent="0.2">
      <c r="A22" s="1"/>
      <c r="B22" s="45" t="s">
        <v>69</v>
      </c>
      <c r="C22" s="16">
        <f>C15+SUM(C17:C20)</f>
        <v>9740263</v>
      </c>
      <c r="D22" s="71">
        <f>SUM(D10:D20)</f>
        <v>9825000</v>
      </c>
      <c r="E22" s="16">
        <f>SUM(E10:E20)</f>
        <v>2382031</v>
      </c>
      <c r="F22" s="1"/>
      <c r="G22" s="72">
        <f>SUM(G10:G20)</f>
        <v>20000000</v>
      </c>
      <c r="H22" s="16">
        <f ca="1">SUM(H10:H20)</f>
        <v>4637380</v>
      </c>
      <c r="I22" s="1"/>
      <c r="J22" s="15">
        <f ca="1">J14</f>
        <v>1789847</v>
      </c>
      <c r="K22" s="1"/>
      <c r="L22" s="16">
        <f ca="1">SUM(L17:L20)+L15</f>
        <v>18549521</v>
      </c>
      <c r="M22" s="52">
        <f ca="1">SUM(M17:M20)+M15</f>
        <v>0.99999999999999989</v>
      </c>
      <c r="N22" s="1"/>
    </row>
    <row r="23" spans="1:14" ht="13.75" customHeight="1" x14ac:dyDescent="0.2">
      <c r="A23" s="1"/>
      <c r="B23" s="18"/>
      <c r="C23" s="1"/>
      <c r="D23" s="1"/>
      <c r="E23" s="1"/>
      <c r="F23" s="1"/>
      <c r="G23" s="1"/>
      <c r="H23" s="1"/>
      <c r="I23" s="1"/>
      <c r="J23" s="1"/>
      <c r="K23" s="1"/>
      <c r="L23" s="1"/>
      <c r="M23" s="56"/>
      <c r="N23" s="1"/>
    </row>
    <row r="24" spans="1:14" x14ac:dyDescent="0.2">
      <c r="A24" s="1"/>
      <c r="B24" s="44" t="s">
        <v>78</v>
      </c>
      <c r="C24" s="1"/>
      <c r="D24" s="1"/>
      <c r="E24" s="14">
        <f>(C31-D22)/'Detailed Cap Table'!G23</f>
        <v>4.1246319529565065</v>
      </c>
      <c r="F24" s="1"/>
      <c r="G24" s="1"/>
      <c r="H24" s="60">
        <f ca="1">IFERROR(H26/L22,0)</f>
        <v>4.3127798286543353</v>
      </c>
      <c r="I24" s="1"/>
      <c r="J24" s="1"/>
      <c r="K24" s="1"/>
      <c r="L24" s="1"/>
      <c r="M24" s="56"/>
      <c r="N24" s="1"/>
    </row>
    <row r="25" spans="1:14" ht="13.75" customHeight="1" thickBot="1" x14ac:dyDescent="0.25">
      <c r="A25" s="1"/>
      <c r="B25" s="46" t="s">
        <v>70</v>
      </c>
      <c r="C25" s="17"/>
      <c r="D25" s="17"/>
      <c r="E25" s="70">
        <f>E26-D22</f>
        <v>40175000</v>
      </c>
      <c r="F25" s="17"/>
      <c r="G25" s="17"/>
      <c r="H25" s="70">
        <f>H26-G22</f>
        <v>60000000</v>
      </c>
      <c r="I25" s="17"/>
      <c r="J25" s="17"/>
      <c r="K25" s="17"/>
      <c r="L25" s="17"/>
      <c r="M25" s="57"/>
      <c r="N25" s="1"/>
    </row>
    <row r="26" spans="1:14" x14ac:dyDescent="0.2">
      <c r="A26" s="1"/>
      <c r="B26" s="9" t="s">
        <v>71</v>
      </c>
      <c r="C26" s="1"/>
      <c r="D26" s="1"/>
      <c r="E26" s="75">
        <v>50000000</v>
      </c>
      <c r="F26" s="1"/>
      <c r="G26" s="1"/>
      <c r="H26" s="76">
        <f>C29+C30</f>
        <v>80000000</v>
      </c>
      <c r="I26" s="1"/>
      <c r="J26" s="1"/>
      <c r="K26" s="1"/>
      <c r="L26" s="1"/>
      <c r="M26" s="1"/>
      <c r="N26" s="1"/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x14ac:dyDescent="0.2">
      <c r="A28" s="1"/>
      <c r="B28" s="29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2">
        <v>0.1</v>
      </c>
    </row>
    <row r="29" spans="1:14" x14ac:dyDescent="0.2">
      <c r="A29" s="1"/>
      <c r="B29" s="9" t="s">
        <v>70</v>
      </c>
      <c r="C29" s="48"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x14ac:dyDescent="0.2">
      <c r="A30" s="1"/>
      <c r="B30" s="9" t="s">
        <v>73</v>
      </c>
      <c r="C30" s="48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x14ac:dyDescent="0.2">
      <c r="A31" s="1"/>
      <c r="B31" s="9" t="s">
        <v>80</v>
      </c>
      <c r="C31" s="48">
        <v>50000000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2026-04-15T16:07:59Z</dcterms:modified>
</cp:coreProperties>
</file>