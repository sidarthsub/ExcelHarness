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59C607D3-5218-864B-8E36-364CBF433135}" xr6:coauthVersionLast="47" xr6:coauthVersionMax="47" xr10:uidLastSave="{00000000-0000-0000-0000-000000000000}"/>
  <bookViews>
    <workbookView xWindow="0" yWindow="760" windowWidth="29400" windowHeight="17180" activeTab="5" xr2:uid="{00000000-000D-0000-FFFF-FFFF00000000}"/>
  </bookViews>
  <sheets>
    <sheet name="__temp__" sheetId="186" r:id="rId1"/>
    <sheet name="Detailed Cap Table" sheetId="187" r:id="rId2"/>
    <sheet name="SAFE Investments" sheetId="188" r:id="rId3"/>
    <sheet name="SeriesA" sheetId="191" r:id="rId4"/>
    <sheet name="SeriesB" sheetId="192" r:id="rId5"/>
    <sheet name="PostA Returns" sheetId="195" r:id="rId6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6" i="195" l="1"/>
  <c r="X75" i="195"/>
  <c r="W75" i="195"/>
  <c r="V75" i="195"/>
  <c r="U75" i="195"/>
  <c r="T75" i="195"/>
  <c r="S75" i="195"/>
  <c r="R75" i="195"/>
  <c r="Q75" i="195"/>
  <c r="P75" i="195"/>
  <c r="O75" i="195"/>
  <c r="N75" i="195"/>
  <c r="M75" i="195"/>
  <c r="L75" i="195"/>
  <c r="K75" i="195"/>
  <c r="J75" i="195"/>
  <c r="I75" i="195"/>
  <c r="X69" i="195"/>
  <c r="W69" i="195"/>
  <c r="V69" i="195"/>
  <c r="U69" i="195"/>
  <c r="T69" i="195"/>
  <c r="S69" i="195"/>
  <c r="R69" i="195"/>
  <c r="Q69" i="195"/>
  <c r="P69" i="195"/>
  <c r="O69" i="195"/>
  <c r="N69" i="195"/>
  <c r="M69" i="195"/>
  <c r="L69" i="195"/>
  <c r="K69" i="195"/>
  <c r="J69" i="195"/>
  <c r="I69" i="195"/>
  <c r="B49" i="195"/>
  <c r="B48" i="195"/>
  <c r="B47" i="195"/>
  <c r="B43" i="195"/>
  <c r="A43" i="195"/>
  <c r="B42" i="195"/>
  <c r="A42" i="195"/>
  <c r="B32" i="195"/>
  <c r="A32" i="195"/>
  <c r="B31" i="195"/>
  <c r="A31" i="195"/>
  <c r="B30" i="195"/>
  <c r="A30" i="195"/>
  <c r="X29" i="195"/>
  <c r="W29" i="195"/>
  <c r="V29" i="195"/>
  <c r="U29" i="195"/>
  <c r="T29" i="195"/>
  <c r="S29" i="195"/>
  <c r="R29" i="195"/>
  <c r="Q29" i="195"/>
  <c r="P29" i="195"/>
  <c r="O29" i="195"/>
  <c r="N29" i="195"/>
  <c r="M29" i="195"/>
  <c r="L29" i="195"/>
  <c r="K29" i="195"/>
  <c r="J29" i="195"/>
  <c r="I29" i="195"/>
  <c r="B29" i="195"/>
  <c r="A29" i="195"/>
  <c r="B27" i="195"/>
  <c r="A27" i="195"/>
  <c r="B26" i="195"/>
  <c r="A26" i="195"/>
  <c r="B25" i="195"/>
  <c r="A25" i="195"/>
  <c r="B24" i="195"/>
  <c r="A24" i="195"/>
  <c r="X20" i="195"/>
  <c r="W20" i="195"/>
  <c r="V20" i="195"/>
  <c r="U20" i="195"/>
  <c r="T20" i="195"/>
  <c r="S20" i="195"/>
  <c r="R20" i="195"/>
  <c r="Q20" i="195"/>
  <c r="P20" i="195"/>
  <c r="O20" i="195"/>
  <c r="N20" i="195"/>
  <c r="M20" i="195"/>
  <c r="L20" i="195"/>
  <c r="K20" i="195"/>
  <c r="J20" i="195"/>
  <c r="I20" i="195"/>
  <c r="G20" i="195"/>
  <c r="F20" i="195"/>
  <c r="B20" i="195"/>
  <c r="B19" i="195"/>
  <c r="X12" i="195"/>
  <c r="W12" i="195"/>
  <c r="V12" i="195"/>
  <c r="U12" i="195"/>
  <c r="T12" i="195"/>
  <c r="S12" i="195"/>
  <c r="R12" i="195"/>
  <c r="Q12" i="195"/>
  <c r="P12" i="195"/>
  <c r="O12" i="195"/>
  <c r="N12" i="195"/>
  <c r="M12" i="195"/>
  <c r="L12" i="195"/>
  <c r="K12" i="195"/>
  <c r="J12" i="195"/>
  <c r="I12" i="195"/>
  <c r="X11" i="195"/>
  <c r="W11" i="195"/>
  <c r="V11" i="195"/>
  <c r="U11" i="195"/>
  <c r="T11" i="195"/>
  <c r="S11" i="195"/>
  <c r="R11" i="195"/>
  <c r="Q11" i="195"/>
  <c r="P11" i="195"/>
  <c r="O11" i="195"/>
  <c r="N11" i="195"/>
  <c r="M11" i="195"/>
  <c r="L11" i="195"/>
  <c r="K11" i="195"/>
  <c r="J11" i="195"/>
  <c r="I11" i="195"/>
  <c r="X4" i="195"/>
  <c r="W4" i="195"/>
  <c r="V4" i="195"/>
  <c r="U4" i="195"/>
  <c r="T4" i="195"/>
  <c r="S4" i="195"/>
  <c r="R4" i="195"/>
  <c r="Q4" i="195"/>
  <c r="P4" i="195"/>
  <c r="O4" i="195"/>
  <c r="N4" i="195"/>
  <c r="M4" i="195"/>
  <c r="L4" i="195"/>
  <c r="K4" i="195"/>
  <c r="J4" i="195"/>
  <c r="I4" i="195"/>
  <c r="X5" i="195"/>
  <c r="W5" i="195"/>
  <c r="V5" i="195"/>
  <c r="U5" i="195"/>
  <c r="T5" i="195"/>
  <c r="S5" i="195"/>
  <c r="R5" i="195"/>
  <c r="Q5" i="195"/>
  <c r="P5" i="195"/>
  <c r="O5" i="195"/>
  <c r="N5" i="195"/>
  <c r="M5" i="195"/>
  <c r="L5" i="195"/>
  <c r="K5" i="195"/>
  <c r="J5" i="195"/>
  <c r="X7" i="195"/>
  <c r="W7" i="195"/>
  <c r="V7" i="195"/>
  <c r="U7" i="195"/>
  <c r="T7" i="195"/>
  <c r="S7" i="195"/>
  <c r="R7" i="195"/>
  <c r="Q7" i="195"/>
  <c r="P7" i="195"/>
  <c r="O7" i="195"/>
  <c r="N7" i="195"/>
  <c r="M7" i="195"/>
  <c r="L7" i="195"/>
  <c r="K7" i="195"/>
  <c r="J7" i="195"/>
  <c r="C31" i="192"/>
  <c r="C29" i="192"/>
  <c r="J25" i="192"/>
  <c r="E25" i="192"/>
  <c r="O24" i="192"/>
  <c r="J24" i="192"/>
  <c r="E24" i="192"/>
  <c r="E23" i="192"/>
  <c r="N21" i="192"/>
  <c r="L21" i="192"/>
  <c r="I21" i="192"/>
  <c r="E21" i="192"/>
  <c r="D21" i="192"/>
  <c r="C21" i="192"/>
  <c r="I19" i="192"/>
  <c r="I18" i="192"/>
  <c r="S17" i="192"/>
  <c r="E17" i="192"/>
  <c r="D17" i="192"/>
  <c r="I16" i="192"/>
  <c r="E16" i="192"/>
  <c r="D16" i="192"/>
  <c r="O14" i="192"/>
  <c r="N14" i="192"/>
  <c r="L14" i="192"/>
  <c r="J14" i="192"/>
  <c r="I14" i="192"/>
  <c r="E14" i="192"/>
  <c r="D14" i="192"/>
  <c r="C14" i="192"/>
  <c r="C12" i="192"/>
  <c r="C11" i="192"/>
  <c r="S10" i="192"/>
  <c r="C10" i="192"/>
  <c r="S9" i="192"/>
  <c r="C9" i="192"/>
  <c r="S8" i="192"/>
  <c r="C8" i="192"/>
  <c r="H25" i="191"/>
  <c r="E25" i="191"/>
  <c r="E24" i="191"/>
  <c r="E18" i="191" s="1"/>
  <c r="L18" i="191" s="1"/>
  <c r="G22" i="191"/>
  <c r="D22" i="191"/>
  <c r="C22" i="191"/>
  <c r="D18" i="191"/>
  <c r="E17" i="191"/>
  <c r="D17" i="191"/>
  <c r="H15" i="191"/>
  <c r="G15" i="191"/>
  <c r="E15" i="191"/>
  <c r="D15" i="191"/>
  <c r="C15" i="191"/>
  <c r="C14" i="191"/>
  <c r="L13" i="191"/>
  <c r="C13" i="191"/>
  <c r="L12" i="191"/>
  <c r="C12" i="191"/>
  <c r="L11" i="191"/>
  <c r="C11" i="191"/>
  <c r="L10" i="191"/>
  <c r="C10" i="191"/>
  <c r="C27" i="188"/>
  <c r="G23" i="187"/>
  <c r="H11" i="187" s="1"/>
  <c r="F23" i="187"/>
  <c r="E23" i="187"/>
  <c r="D23" i="187"/>
  <c r="C23" i="187"/>
  <c r="H4" i="187"/>
  <c r="H5" i="187"/>
  <c r="H6" i="187"/>
  <c r="H7" i="187"/>
  <c r="H8" i="187"/>
  <c r="H9" i="187"/>
  <c r="H10" i="187"/>
  <c r="H14" i="187"/>
  <c r="H15" i="187"/>
  <c r="H16" i="187"/>
  <c r="H17" i="187"/>
  <c r="H18" i="187"/>
  <c r="H19" i="187"/>
  <c r="H20" i="187"/>
  <c r="G4" i="187"/>
  <c r="G5" i="187"/>
  <c r="G6" i="187"/>
  <c r="G7" i="187"/>
  <c r="G8" i="187"/>
  <c r="G9" i="187"/>
  <c r="G10" i="187"/>
  <c r="G11" i="187"/>
  <c r="G12" i="187"/>
  <c r="G13" i="187"/>
  <c r="G14" i="187"/>
  <c r="G15" i="187"/>
  <c r="G16" i="187"/>
  <c r="G17" i="187"/>
  <c r="G18" i="187"/>
  <c r="G19" i="187"/>
  <c r="G20" i="187"/>
  <c r="G21" i="187"/>
  <c r="E22" i="191" l="1"/>
  <c r="H12" i="187"/>
  <c r="H13" i="187"/>
  <c r="H21" i="187"/>
  <c r="S11" i="192" l="1"/>
  <c r="I14" i="195"/>
  <c r="J14" i="195"/>
  <c r="K14" i="195"/>
  <c r="L14" i="195"/>
  <c r="M14" i="195"/>
  <c r="N14" i="195"/>
  <c r="O14" i="195"/>
  <c r="P14" i="195"/>
  <c r="Q14" i="195"/>
  <c r="R14" i="195"/>
  <c r="S14" i="195"/>
  <c r="T14" i="195"/>
  <c r="U14" i="195"/>
  <c r="V14" i="195"/>
  <c r="W14" i="195"/>
  <c r="X14" i="195"/>
  <c r="I16" i="195"/>
  <c r="J16" i="195"/>
  <c r="K16" i="195"/>
  <c r="L16" i="195"/>
  <c r="M16" i="195"/>
  <c r="N16" i="195"/>
  <c r="O16" i="195"/>
  <c r="P16" i="195"/>
  <c r="Q16" i="195"/>
  <c r="R16" i="195"/>
  <c r="S16" i="195"/>
  <c r="T16" i="195"/>
  <c r="U16" i="195"/>
  <c r="V16" i="195"/>
  <c r="W16" i="195"/>
  <c r="X16" i="195"/>
  <c r="F19" i="195"/>
  <c r="G19" i="195"/>
  <c r="H19" i="195"/>
  <c r="I19" i="195"/>
  <c r="J19" i="195"/>
  <c r="K19" i="195"/>
  <c r="L19" i="195"/>
  <c r="M19" i="195"/>
  <c r="N19" i="195"/>
  <c r="O19" i="195"/>
  <c r="P19" i="195"/>
  <c r="Q19" i="195"/>
  <c r="R19" i="195"/>
  <c r="S19" i="195"/>
  <c r="T19" i="195"/>
  <c r="U19" i="195"/>
  <c r="V19" i="195"/>
  <c r="W19" i="195"/>
  <c r="X19" i="195"/>
  <c r="H20" i="195"/>
  <c r="I24" i="195"/>
  <c r="J24" i="195"/>
  <c r="K24" i="195"/>
  <c r="L24" i="195"/>
  <c r="M24" i="195"/>
  <c r="N24" i="195"/>
  <c r="O24" i="195"/>
  <c r="P24" i="195"/>
  <c r="Q24" i="195"/>
  <c r="R24" i="195"/>
  <c r="S24" i="195"/>
  <c r="T24" i="195"/>
  <c r="U24" i="195"/>
  <c r="V24" i="195"/>
  <c r="W24" i="195"/>
  <c r="X24" i="195"/>
  <c r="I25" i="195"/>
  <c r="J25" i="195"/>
  <c r="K25" i="195"/>
  <c r="L25" i="195"/>
  <c r="M25" i="195"/>
  <c r="N25" i="195"/>
  <c r="O25" i="195"/>
  <c r="P25" i="195"/>
  <c r="Q25" i="195"/>
  <c r="R25" i="195"/>
  <c r="S25" i="195"/>
  <c r="T25" i="195"/>
  <c r="U25" i="195"/>
  <c r="V25" i="195"/>
  <c r="W25" i="195"/>
  <c r="X25" i="195"/>
  <c r="I26" i="195"/>
  <c r="J26" i="195"/>
  <c r="K26" i="195"/>
  <c r="L26" i="195"/>
  <c r="M26" i="195"/>
  <c r="N26" i="195"/>
  <c r="O26" i="195"/>
  <c r="P26" i="195"/>
  <c r="Q26" i="195"/>
  <c r="R26" i="195"/>
  <c r="S26" i="195"/>
  <c r="T26" i="195"/>
  <c r="U26" i="195"/>
  <c r="V26" i="195"/>
  <c r="W26" i="195"/>
  <c r="X26" i="195"/>
  <c r="I27" i="195"/>
  <c r="J27" i="195"/>
  <c r="K27" i="195"/>
  <c r="L27" i="195"/>
  <c r="M27" i="195"/>
  <c r="N27" i="195"/>
  <c r="O27" i="195"/>
  <c r="P27" i="195"/>
  <c r="Q27" i="195"/>
  <c r="R27" i="195"/>
  <c r="S27" i="195"/>
  <c r="T27" i="195"/>
  <c r="U27" i="195"/>
  <c r="V27" i="195"/>
  <c r="W27" i="195"/>
  <c r="X27" i="195"/>
  <c r="I30" i="195"/>
  <c r="J30" i="195"/>
  <c r="K30" i="195"/>
  <c r="L30" i="195"/>
  <c r="M30" i="195"/>
  <c r="N30" i="195"/>
  <c r="O30" i="195"/>
  <c r="P30" i="195"/>
  <c r="Q30" i="195"/>
  <c r="R30" i="195"/>
  <c r="S30" i="195"/>
  <c r="T30" i="195"/>
  <c r="U30" i="195"/>
  <c r="V30" i="195"/>
  <c r="W30" i="195"/>
  <c r="X30" i="195"/>
  <c r="I31" i="195"/>
  <c r="J31" i="195"/>
  <c r="K31" i="195"/>
  <c r="L31" i="195"/>
  <c r="M31" i="195"/>
  <c r="N31" i="195"/>
  <c r="O31" i="195"/>
  <c r="P31" i="195"/>
  <c r="Q31" i="195"/>
  <c r="R31" i="195"/>
  <c r="S31" i="195"/>
  <c r="T31" i="195"/>
  <c r="U31" i="195"/>
  <c r="V31" i="195"/>
  <c r="W31" i="195"/>
  <c r="X31" i="195"/>
  <c r="I32" i="195"/>
  <c r="J32" i="195"/>
  <c r="K32" i="195"/>
  <c r="L32" i="195"/>
  <c r="M32" i="195"/>
  <c r="N32" i="195"/>
  <c r="O32" i="195"/>
  <c r="P32" i="195"/>
  <c r="Q32" i="195"/>
  <c r="R32" i="195"/>
  <c r="S32" i="195"/>
  <c r="T32" i="195"/>
  <c r="U32" i="195"/>
  <c r="V32" i="195"/>
  <c r="W32" i="195"/>
  <c r="X32" i="195"/>
  <c r="I34" i="195"/>
  <c r="J34" i="195"/>
  <c r="K34" i="195"/>
  <c r="L34" i="195"/>
  <c r="M34" i="195"/>
  <c r="N34" i="195"/>
  <c r="O34" i="195"/>
  <c r="P34" i="195"/>
  <c r="Q34" i="195"/>
  <c r="R34" i="195"/>
  <c r="S34" i="195"/>
  <c r="T34" i="195"/>
  <c r="U34" i="195"/>
  <c r="V34" i="195"/>
  <c r="W34" i="195"/>
  <c r="X34" i="195"/>
  <c r="I37" i="195"/>
  <c r="J37" i="195"/>
  <c r="K37" i="195"/>
  <c r="L37" i="195"/>
  <c r="M37" i="195"/>
  <c r="N37" i="195"/>
  <c r="O37" i="195"/>
  <c r="P37" i="195"/>
  <c r="Q37" i="195"/>
  <c r="R37" i="195"/>
  <c r="S37" i="195"/>
  <c r="T37" i="195"/>
  <c r="U37" i="195"/>
  <c r="V37" i="195"/>
  <c r="W37" i="195"/>
  <c r="X37" i="195"/>
  <c r="I38" i="195"/>
  <c r="J38" i="195"/>
  <c r="K38" i="195"/>
  <c r="L38" i="195"/>
  <c r="M38" i="195"/>
  <c r="N38" i="195"/>
  <c r="O38" i="195"/>
  <c r="P38" i="195"/>
  <c r="Q38" i="195"/>
  <c r="R38" i="195"/>
  <c r="S38" i="195"/>
  <c r="T38" i="195"/>
  <c r="U38" i="195"/>
  <c r="V38" i="195"/>
  <c r="W38" i="195"/>
  <c r="X38" i="195"/>
  <c r="I42" i="195"/>
  <c r="J42" i="195"/>
  <c r="K42" i="195"/>
  <c r="L42" i="195"/>
  <c r="M42" i="195"/>
  <c r="N42" i="195"/>
  <c r="O42" i="195"/>
  <c r="P42" i="195"/>
  <c r="Q42" i="195"/>
  <c r="R42" i="195"/>
  <c r="S42" i="195"/>
  <c r="T42" i="195"/>
  <c r="U42" i="195"/>
  <c r="V42" i="195"/>
  <c r="W42" i="195"/>
  <c r="X42" i="195"/>
  <c r="I43" i="195"/>
  <c r="J43" i="195"/>
  <c r="K43" i="195"/>
  <c r="L43" i="195"/>
  <c r="M43" i="195"/>
  <c r="N43" i="195"/>
  <c r="O43" i="195"/>
  <c r="P43" i="195"/>
  <c r="Q43" i="195"/>
  <c r="R43" i="195"/>
  <c r="S43" i="195"/>
  <c r="T43" i="195"/>
  <c r="U43" i="195"/>
  <c r="V43" i="195"/>
  <c r="W43" i="195"/>
  <c r="X43" i="195"/>
  <c r="I44" i="195"/>
  <c r="J44" i="195"/>
  <c r="K44" i="195"/>
  <c r="L44" i="195"/>
  <c r="M44" i="195"/>
  <c r="N44" i="195"/>
  <c r="O44" i="195"/>
  <c r="P44" i="195"/>
  <c r="Q44" i="195"/>
  <c r="R44" i="195"/>
  <c r="S44" i="195"/>
  <c r="T44" i="195"/>
  <c r="U44" i="195"/>
  <c r="V44" i="195"/>
  <c r="W44" i="195"/>
  <c r="X44" i="195"/>
  <c r="I47" i="195"/>
  <c r="J47" i="195"/>
  <c r="K47" i="195"/>
  <c r="L47" i="195"/>
  <c r="M47" i="195"/>
  <c r="N47" i="195"/>
  <c r="O47" i="195"/>
  <c r="P47" i="195"/>
  <c r="Q47" i="195"/>
  <c r="R47" i="195"/>
  <c r="S47" i="195"/>
  <c r="T47" i="195"/>
  <c r="U47" i="195"/>
  <c r="V47" i="195"/>
  <c r="W47" i="195"/>
  <c r="X47" i="195"/>
  <c r="I48" i="195"/>
  <c r="J48" i="195"/>
  <c r="K48" i="195"/>
  <c r="L48" i="195"/>
  <c r="M48" i="195"/>
  <c r="N48" i="195"/>
  <c r="O48" i="195"/>
  <c r="P48" i="195"/>
  <c r="Q48" i="195"/>
  <c r="R48" i="195"/>
  <c r="S48" i="195"/>
  <c r="T48" i="195"/>
  <c r="U48" i="195"/>
  <c r="V48" i="195"/>
  <c r="W48" i="195"/>
  <c r="X48" i="195"/>
  <c r="I49" i="195"/>
  <c r="J49" i="195"/>
  <c r="K49" i="195"/>
  <c r="L49" i="195"/>
  <c r="M49" i="195"/>
  <c r="N49" i="195"/>
  <c r="O49" i="195"/>
  <c r="P49" i="195"/>
  <c r="Q49" i="195"/>
  <c r="R49" i="195"/>
  <c r="S49" i="195"/>
  <c r="T49" i="195"/>
  <c r="U49" i="195"/>
  <c r="V49" i="195"/>
  <c r="W49" i="195"/>
  <c r="X49" i="195"/>
  <c r="I54" i="195"/>
  <c r="J54" i="195"/>
  <c r="K54" i="195"/>
  <c r="L54" i="195"/>
  <c r="M54" i="195"/>
  <c r="N54" i="195"/>
  <c r="O54" i="195"/>
  <c r="P54" i="195"/>
  <c r="Q54" i="195"/>
  <c r="R54" i="195"/>
  <c r="S54" i="195"/>
  <c r="T54" i="195"/>
  <c r="U54" i="195"/>
  <c r="V54" i="195"/>
  <c r="W54" i="195"/>
  <c r="X54" i="195"/>
  <c r="I55" i="195"/>
  <c r="J55" i="195"/>
  <c r="K55" i="195"/>
  <c r="L55" i="195"/>
  <c r="M55" i="195"/>
  <c r="N55" i="195"/>
  <c r="O55" i="195"/>
  <c r="P55" i="195"/>
  <c r="Q55" i="195"/>
  <c r="R55" i="195"/>
  <c r="S55" i="195"/>
  <c r="T55" i="195"/>
  <c r="U55" i="195"/>
  <c r="V55" i="195"/>
  <c r="W55" i="195"/>
  <c r="X55" i="195"/>
  <c r="I56" i="195"/>
  <c r="J56" i="195"/>
  <c r="K56" i="195"/>
  <c r="L56" i="195"/>
  <c r="M56" i="195"/>
  <c r="N56" i="195"/>
  <c r="O56" i="195"/>
  <c r="P56" i="195"/>
  <c r="Q56" i="195"/>
  <c r="R56" i="195"/>
  <c r="S56" i="195"/>
  <c r="T56" i="195"/>
  <c r="U56" i="195"/>
  <c r="V56" i="195"/>
  <c r="W56" i="195"/>
  <c r="X56" i="195"/>
  <c r="I57" i="195"/>
  <c r="J57" i="195"/>
  <c r="K57" i="195"/>
  <c r="L57" i="195"/>
  <c r="M57" i="195"/>
  <c r="N57" i="195"/>
  <c r="O57" i="195"/>
  <c r="P57" i="195"/>
  <c r="Q57" i="195"/>
  <c r="R57" i="195"/>
  <c r="S57" i="195"/>
  <c r="T57" i="195"/>
  <c r="U57" i="195"/>
  <c r="V57" i="195"/>
  <c r="W57" i="195"/>
  <c r="X57" i="195"/>
  <c r="I58" i="195"/>
  <c r="J58" i="195"/>
  <c r="K58" i="195"/>
  <c r="L58" i="195"/>
  <c r="M58" i="195"/>
  <c r="N58" i="195"/>
  <c r="O58" i="195"/>
  <c r="P58" i="195"/>
  <c r="Q58" i="195"/>
  <c r="R58" i="195"/>
  <c r="S58" i="195"/>
  <c r="T58" i="195"/>
  <c r="U58" i="195"/>
  <c r="V58" i="195"/>
  <c r="W58" i="195"/>
  <c r="X58" i="195"/>
  <c r="I59" i="195"/>
  <c r="J59" i="195"/>
  <c r="K59" i="195"/>
  <c r="L59" i="195"/>
  <c r="M59" i="195"/>
  <c r="N59" i="195"/>
  <c r="O59" i="195"/>
  <c r="P59" i="195"/>
  <c r="Q59" i="195"/>
  <c r="R59" i="195"/>
  <c r="S59" i="195"/>
  <c r="T59" i="195"/>
  <c r="U59" i="195"/>
  <c r="V59" i="195"/>
  <c r="W59" i="195"/>
  <c r="X59" i="195"/>
  <c r="I60" i="195"/>
  <c r="J60" i="195"/>
  <c r="K60" i="195"/>
  <c r="L60" i="195"/>
  <c r="M60" i="195"/>
  <c r="N60" i="195"/>
  <c r="O60" i="195"/>
  <c r="P60" i="195"/>
  <c r="Q60" i="195"/>
  <c r="R60" i="195"/>
  <c r="S60" i="195"/>
  <c r="T60" i="195"/>
  <c r="U60" i="195"/>
  <c r="V60" i="195"/>
  <c r="W60" i="195"/>
  <c r="X60" i="195"/>
  <c r="I61" i="195"/>
  <c r="J61" i="195"/>
  <c r="K61" i="195"/>
  <c r="L61" i="195"/>
  <c r="M61" i="195"/>
  <c r="N61" i="195"/>
  <c r="O61" i="195"/>
  <c r="P61" i="195"/>
  <c r="Q61" i="195"/>
  <c r="R61" i="195"/>
  <c r="S61" i="195"/>
  <c r="T61" i="195"/>
  <c r="U61" i="195"/>
  <c r="V61" i="195"/>
  <c r="W61" i="195"/>
  <c r="X61" i="195"/>
  <c r="I62" i="195"/>
  <c r="J62" i="195"/>
  <c r="K62" i="195"/>
  <c r="L62" i="195"/>
  <c r="M62" i="195"/>
  <c r="N62" i="195"/>
  <c r="O62" i="195"/>
  <c r="P62" i="195"/>
  <c r="Q62" i="195"/>
  <c r="R62" i="195"/>
  <c r="S62" i="195"/>
  <c r="T62" i="195"/>
  <c r="U62" i="195"/>
  <c r="V62" i="195"/>
  <c r="W62" i="195"/>
  <c r="X62" i="195"/>
  <c r="I64" i="195"/>
  <c r="J64" i="195"/>
  <c r="K64" i="195"/>
  <c r="L64" i="195"/>
  <c r="M64" i="195"/>
  <c r="N64" i="195"/>
  <c r="O64" i="195"/>
  <c r="P64" i="195"/>
  <c r="Q64" i="195"/>
  <c r="R64" i="195"/>
  <c r="S64" i="195"/>
  <c r="T64" i="195"/>
  <c r="U64" i="195"/>
  <c r="V64" i="195"/>
  <c r="W64" i="195"/>
  <c r="X64" i="195"/>
  <c r="I68" i="195"/>
  <c r="J68" i="195"/>
  <c r="K68" i="195"/>
  <c r="L68" i="195"/>
  <c r="M68" i="195"/>
  <c r="N68" i="195"/>
  <c r="O68" i="195"/>
  <c r="P68" i="195"/>
  <c r="Q68" i="195"/>
  <c r="R68" i="195"/>
  <c r="S68" i="195"/>
  <c r="T68" i="195"/>
  <c r="U68" i="195"/>
  <c r="V68" i="195"/>
  <c r="W68" i="195"/>
  <c r="X68" i="195"/>
  <c r="I70" i="195"/>
  <c r="J70" i="195"/>
  <c r="K70" i="195"/>
  <c r="L70" i="195"/>
  <c r="M70" i="195"/>
  <c r="N70" i="195"/>
  <c r="O70" i="195"/>
  <c r="P70" i="195"/>
  <c r="Q70" i="195"/>
  <c r="R70" i="195"/>
  <c r="S70" i="195"/>
  <c r="T70" i="195"/>
  <c r="U70" i="195"/>
  <c r="V70" i="195"/>
  <c r="W70" i="195"/>
  <c r="X70" i="195"/>
  <c r="I71" i="195"/>
  <c r="J71" i="195"/>
  <c r="K71" i="195"/>
  <c r="L71" i="195"/>
  <c r="M71" i="195"/>
  <c r="N71" i="195"/>
  <c r="O71" i="195"/>
  <c r="P71" i="195"/>
  <c r="Q71" i="195"/>
  <c r="R71" i="195"/>
  <c r="S71" i="195"/>
  <c r="T71" i="195"/>
  <c r="U71" i="195"/>
  <c r="V71" i="195"/>
  <c r="W71" i="195"/>
  <c r="X71" i="195"/>
  <c r="I72" i="195"/>
  <c r="J72" i="195"/>
  <c r="K72" i="195"/>
  <c r="L72" i="195"/>
  <c r="M72" i="195"/>
  <c r="N72" i="195"/>
  <c r="O72" i="195"/>
  <c r="P72" i="195"/>
  <c r="Q72" i="195"/>
  <c r="R72" i="195"/>
  <c r="S72" i="195"/>
  <c r="T72" i="195"/>
  <c r="U72" i="195"/>
  <c r="V72" i="195"/>
  <c r="W72" i="195"/>
  <c r="X72" i="195"/>
  <c r="I73" i="195"/>
  <c r="J73" i="195"/>
  <c r="K73" i="195"/>
  <c r="L73" i="195"/>
  <c r="M73" i="195"/>
  <c r="N73" i="195"/>
  <c r="O73" i="195"/>
  <c r="P73" i="195"/>
  <c r="Q73" i="195"/>
  <c r="R73" i="195"/>
  <c r="S73" i="195"/>
  <c r="T73" i="195"/>
  <c r="U73" i="195"/>
  <c r="V73" i="195"/>
  <c r="W73" i="195"/>
  <c r="X73" i="195"/>
  <c r="I76" i="195"/>
  <c r="J76" i="195"/>
  <c r="K76" i="195"/>
  <c r="L76" i="195"/>
  <c r="M76" i="195"/>
  <c r="N76" i="195"/>
  <c r="O76" i="195"/>
  <c r="P76" i="195"/>
  <c r="Q76" i="195"/>
  <c r="R76" i="195"/>
  <c r="S76" i="195"/>
  <c r="T76" i="195"/>
  <c r="U76" i="195"/>
  <c r="V76" i="195"/>
  <c r="W76" i="195"/>
  <c r="X76" i="195"/>
  <c r="M10" i="191"/>
  <c r="M11" i="191"/>
  <c r="M12" i="191"/>
  <c r="M13" i="191"/>
  <c r="J14" i="191"/>
  <c r="L14" i="191"/>
  <c r="M14" i="191"/>
  <c r="J15" i="191"/>
  <c r="L15" i="191"/>
  <c r="M15" i="191"/>
  <c r="H17" i="191"/>
  <c r="L17" i="191"/>
  <c r="M17" i="191"/>
  <c r="M18" i="191"/>
  <c r="H19" i="191"/>
  <c r="L19" i="191"/>
  <c r="M19" i="191"/>
  <c r="H20" i="191"/>
  <c r="L20" i="191"/>
  <c r="M20" i="191"/>
  <c r="H22" i="191"/>
  <c r="J22" i="191"/>
  <c r="L22" i="191"/>
  <c r="M22" i="191"/>
  <c r="H24" i="191"/>
  <c r="T8" i="192"/>
  <c r="T9" i="192"/>
  <c r="T10" i="192"/>
  <c r="T11" i="192"/>
  <c r="G12" i="192"/>
  <c r="Q12" i="192"/>
  <c r="S12" i="192"/>
  <c r="T12" i="192"/>
  <c r="V13" i="192"/>
  <c r="G14" i="192"/>
  <c r="Q14" i="192"/>
  <c r="S14" i="192"/>
  <c r="T14" i="192"/>
  <c r="J16" i="192"/>
  <c r="O16" i="192"/>
  <c r="S16" i="192"/>
  <c r="T16" i="192"/>
  <c r="T17" i="192"/>
  <c r="J18" i="192"/>
  <c r="O18" i="192"/>
  <c r="S18" i="192"/>
  <c r="T18" i="192"/>
  <c r="J19" i="192"/>
  <c r="O19" i="192"/>
  <c r="S19" i="192"/>
  <c r="T19" i="192"/>
  <c r="O20" i="192"/>
  <c r="S20" i="192"/>
  <c r="T20" i="192"/>
  <c r="G21" i="192"/>
  <c r="J21" i="192"/>
  <c r="O21" i="192"/>
  <c r="Q21" i="192"/>
  <c r="S21" i="192"/>
  <c r="T21" i="192"/>
  <c r="J23" i="192"/>
  <c r="O23" i="192"/>
</calcChain>
</file>

<file path=xl/sharedStrings.xml><?xml version="1.0" encoding="utf-8"?>
<sst xmlns="http://schemas.openxmlformats.org/spreadsheetml/2006/main" count="238" uniqueCount="127">
  <si>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</si>
  <si>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</si>
  <si>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</si>
  <si>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</si>
  <si>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</si>
  <si>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</si>
  <si>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</si>
  <si>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</si>
  <si>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</si>
  <si>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</si>
  <si>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</si>
  <si>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</si>
  <si>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</si>
  <si>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</si>
  <si>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</si>
  <si>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</si>
  <si>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</si>
  <si>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</si>
  <si>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</si>
  <si>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</si>
  <si>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</si>
  <si>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</si>
  <si>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</si>
  <si>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</si>
  <si>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</si>
  <si>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</si>
  <si>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</si>
  <si>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</si>
  <si>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</si>
  <si>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</si>
  <si>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</si>
  <si>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</si>
  <si>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</si>
  <si>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</si>
  <si>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</si>
  <si>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</si>
  <si>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</si>
  <si>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</si>
  <si>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</si>
  <si>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</si>
  <si>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</si>
  <si>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</si>
  <si>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</si>
  <si>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</si>
  <si>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</si>
  <si>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</si>
  <si>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</si>
  <si>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</si>
  <si>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</si>
  <si>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</si>
  <si>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</si>
  <si>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</si>
  <si>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 xml:space="preserve">Common </t>
  </si>
  <si>
    <t xml:space="preserve">Option </t>
  </si>
  <si>
    <t>Series A</t>
  </si>
  <si>
    <t>Total Capitalization</t>
  </si>
  <si>
    <t># of</t>
  </si>
  <si>
    <t>$</t>
  </si>
  <si>
    <t>Preferred</t>
  </si>
  <si>
    <t>Pool +</t>
  </si>
  <si>
    <t>Total FD</t>
  </si>
  <si>
    <t>%</t>
  </si>
  <si>
    <t>Shares</t>
  </si>
  <si>
    <t xml:space="preserve"> Invested</t>
  </si>
  <si>
    <t>Pre A</t>
  </si>
  <si>
    <t>FD</t>
  </si>
  <si>
    <t>Common Stock and Options:</t>
  </si>
  <si>
    <t>Total Common</t>
  </si>
  <si>
    <t>Preferred Rounds</t>
  </si>
  <si>
    <t>Totals</t>
  </si>
  <si>
    <t>Pre-Money Valuation</t>
  </si>
  <si>
    <t>Post-Money Valuation</t>
  </si>
  <si>
    <t>Total Raised</t>
  </si>
  <si>
    <t>Series B</t>
  </si>
  <si>
    <t>Pre B</t>
  </si>
  <si>
    <t>Series B Assumptions:</t>
  </si>
  <si>
    <t>% Ownership</t>
  </si>
  <si>
    <t>Pre-Money Valuation Step-up</t>
  </si>
  <si>
    <t>Common</t>
  </si>
  <si>
    <t>ESOP Issued &amp; Outstanding</t>
  </si>
  <si>
    <t>ESOP Available</t>
  </si>
  <si>
    <t>Assumptions:</t>
  </si>
  <si>
    <t>Assumed ARR</t>
  </si>
  <si>
    <t>(x) Multiple</t>
  </si>
  <si>
    <t>Gross purchase price</t>
  </si>
  <si>
    <t>Net equity value</t>
  </si>
  <si>
    <t>Management Carveout</t>
  </si>
  <si>
    <t>Remaining Tier 1</t>
  </si>
  <si>
    <t>Preference</t>
  </si>
  <si>
    <t>PX</t>
  </si>
  <si>
    <t>$ Preference</t>
  </si>
  <si>
    <t>A</t>
  </si>
  <si>
    <t>Tier 1 Payments (SAFE, Series A Preferred)</t>
  </si>
  <si>
    <t>Remaining for Tier 2</t>
  </si>
  <si>
    <t>Tier 2 Payments (Common Stock plus As-Converted Preferred)</t>
  </si>
  <si>
    <t>Total Payments per Share</t>
  </si>
  <si>
    <t>Total Payments ($)</t>
  </si>
  <si>
    <t>SERIES A</t>
  </si>
  <si>
    <t>Other Series A</t>
  </si>
  <si>
    <t>Transfer from Owl Rocl Capital II, LLC (Accomplice)</t>
  </si>
  <si>
    <t xml:space="preserve">Price per Share </t>
  </si>
  <si>
    <t>Aggregate Payments to Stockholder Groups</t>
  </si>
  <si>
    <t>Gross Gain on Investment</t>
  </si>
  <si>
    <t>IRR</t>
  </si>
  <si>
    <t>Data for IRR:</t>
  </si>
  <si>
    <t>Exit</t>
  </si>
  <si>
    <t>Check:</t>
  </si>
  <si>
    <t>Other Common</t>
  </si>
  <si>
    <t>Post B</t>
  </si>
  <si>
    <t>Denominator for Tier 1 (common plus as-converted pref)</t>
  </si>
  <si>
    <t>Other Series B</t>
  </si>
  <si>
    <t>Other Investors</t>
  </si>
  <si>
    <t>Ten Eleven Returns Analysis</t>
  </si>
  <si>
    <t>Ten Eleven Payout</t>
  </si>
  <si>
    <t>Ten Eleven Investment</t>
  </si>
  <si>
    <t>Ten Eleven's Cash-on-Cash Multiple</t>
  </si>
  <si>
    <t>Ten Eleven's Cash-on-Cash Multiple for Series A Investment</t>
  </si>
  <si>
    <t>SIDEKICK (THINK MORE SECURITY) &amp; TEN ELEVEN (1011)</t>
  </si>
  <si>
    <t>Ten Eleven Ventures (1011)</t>
  </si>
  <si>
    <t>SERIES B</t>
  </si>
  <si>
    <t>(see SeriesA)</t>
  </si>
  <si>
    <t>PostA Returns Scenarios</t>
  </si>
  <si>
    <t xml:space="preserve">  less: bank debt</t>
  </si>
  <si>
    <t xml:space="preserve">  plus: cash</t>
  </si>
  <si>
    <t xml:space="preserve">  plus:  NWC (estimated M&amp;A closing adjustment)</t>
  </si>
  <si>
    <t xml:space="preserve">  less:  transaction expenses (estimated)</t>
  </si>
  <si>
    <t xml:space="preserve">  Amount of Tier 1 Payment per Share (common plus as-converted pref)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</si>
</sst>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5" formatCode="&quot;$&quot;#,##0_);\(&quot;$&quot;#,##0\)"/>
    <numFmt numFmtId="41" formatCode="_(* #,##0_);_(* \(#,##0\);_(* &quot;-&quot;_);_(@_)"/>
    <numFmt numFmtId="43" formatCode="_(* #,##0.00_);_(* \(#,##0.00\);_(* &quot;-&quot;??_);_(@_)"/>
    <numFmt numFmtId="164" formatCode="&quot;$&quot;#,##0"/>
    <numFmt numFmtId="165" formatCode="0.0%"/>
    <numFmt numFmtId="168" formatCode="_-[$$-409]* #,##0_-;_-[$$-409]* \(#,##0\)_-;_-[$$-409]* &quot;-&quot;??;_-@_-"/>
    <numFmt numFmtId="169" formatCode="0.0%_);\(0.0%\);0.0%_);@_)"/>
    <numFmt numFmtId="171" formatCode="&quot;$&quot;#,##0_);\(&quot;$&quot;#,##0\);&quot;$&quot;#,##0_);@_)"/>
    <numFmt numFmtId="175" formatCode="_-[$$-409]* #,##0.0000_-;_-[$$-409]* \(#,##0.0000\)_-;_-[$$-409]* &quot;-&quot;??;_-@_-"/>
    <numFmt numFmtId="178" formatCode="_(&quot;$&quot;* #,##0_);_(&quot;$&quot;* \(#,##0\);_(&quot;$&quot;* &quot;-&quot;??_);_(@_)"/>
    <numFmt numFmtId="179" formatCode="0.0\x"/>
    <numFmt numFmtId="181" formatCode="m/d/yy;@"/>
    <numFmt numFmtId="182" formatCode="&quot;$&quot;#,##0.00_);\(&quot;$&quot;#,##0.00\);&quot;$&quot;#,##0.00_);@_)"/>
    <numFmt numFmtId="185" formatCode="#,##0_);\(#,##0\);#,##0_);@_)"/>
  </numFmts>
  <fonts count="3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theme="1"/>
      <name val="Garamond"/>
      <family val="1"/>
    </font>
    <font>
      <b/>
      <sz val="10"/>
      <color theme="1"/>
      <name val="Garamond"/>
      <family val="1"/>
    </font>
    <font>
      <sz val="10"/>
      <color rgb="FF0000FF"/>
      <name val="Garamond"/>
      <family val="1"/>
    </font>
    <font>
      <sz val="10"/>
      <color rgb="FF008000"/>
      <name val="Garamond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Garamond"/>
      <family val="1"/>
    </font>
    <font>
      <sz val="10"/>
      <color rgb="FF000000"/>
      <name val="Garamond"/>
      <family val="1"/>
    </font>
    <font>
      <b/>
      <sz val="10"/>
      <color rgb="FF0000FF"/>
      <name val="Garamond"/>
      <family val="1"/>
    </font>
    <font>
      <sz val="12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0"/>
      <color rgb="FF000000"/>
      <name val="Garamond"/>
      <family val="1"/>
    </font>
    <font>
      <sz val="9"/>
      <color rgb="FFC0504D"/>
      <name val="Garamond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thin">
        <color rgb="FF80808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9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165" fontId="18" fillId="0" borderId="0" xfId="0" applyNumberFormat="1" applyFont="1"/>
    <xf numFmtId="0" fontId="22" fillId="0" borderId="0" xfId="0" applyFont="1" applyAlignment="1">
      <alignment horizontal="center"/>
    </xf>
    <xf numFmtId="164" fontId="22" fillId="0" borderId="0" xfId="0" applyNumberFormat="1" applyFont="1" applyAlignment="1">
      <alignment horizontal="center"/>
    </xf>
    <xf numFmtId="37" fontId="18" fillId="0" borderId="0" xfId="0" applyNumberFormat="1" applyFont="1" applyAlignment="1">
      <alignment horizontal="center"/>
    </xf>
    <xf numFmtId="165" fontId="20" fillId="0" borderId="0" xfId="0" applyNumberFormat="1" applyFont="1"/>
    <xf numFmtId="37" fontId="21" fillId="0" borderId="0" xfId="0" applyNumberFormat="1" applyFont="1" applyAlignment="1">
      <alignment horizontal="center"/>
    </xf>
    <xf numFmtId="0" fontId="25" fillId="0" borderId="0" xfId="0" applyFont="1"/>
    <xf numFmtId="0" fontId="27" fillId="0" borderId="0" xfId="0" applyFont="1" applyAlignment="1">
      <alignment horizontal="center"/>
    </xf>
    <xf numFmtId="10" fontId="27" fillId="0" borderId="0" xfId="0" applyNumberFormat="1" applyFont="1" applyAlignment="1">
      <alignment horizontal="center"/>
    </xf>
    <xf numFmtId="164" fontId="23" fillId="0" borderId="0" xfId="0" applyNumberFormat="1" applyFont="1" applyAlignment="1">
      <alignment horizontal="center"/>
    </xf>
    <xf numFmtId="0" fontId="24" fillId="0" borderId="0" xfId="0" applyFont="1" applyAlignment="1">
      <alignment horizontal="centerContinuous"/>
    </xf>
    <xf numFmtId="37" fontId="18" fillId="0" borderId="10" xfId="0" applyNumberFormat="1" applyFont="1" applyBorder="1" applyAlignment="1">
      <alignment horizontal="center"/>
    </xf>
    <xf numFmtId="37" fontId="18" fillId="0" borderId="12" xfId="0" applyNumberFormat="1" applyFont="1" applyBorder="1" applyAlignment="1">
      <alignment horizontal="center"/>
    </xf>
    <xf numFmtId="0" fontId="18" fillId="0" borderId="14" xfId="0" applyFont="1" applyBorder="1"/>
    <xf numFmtId="0" fontId="18" fillId="0" borderId="16" xfId="0" applyFont="1" applyBorder="1"/>
    <xf numFmtId="0" fontId="18" fillId="0" borderId="15" xfId="0" applyFont="1" applyBorder="1"/>
    <xf numFmtId="37" fontId="21" fillId="0" borderId="0" xfId="0" applyNumberFormat="1" applyFont="1"/>
    <xf numFmtId="169" fontId="18" fillId="0" borderId="0" xfId="0" applyNumberFormat="1" applyFont="1"/>
    <xf numFmtId="0" fontId="18" fillId="0" borderId="10" xfId="0" applyFont="1" applyBorder="1"/>
    <xf numFmtId="0" fontId="18" fillId="0" borderId="13" xfId="0" applyFont="1" applyBorder="1"/>
    <xf numFmtId="0" fontId="28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3" fontId="28" fillId="0" borderId="0" xfId="0" applyNumberFormat="1" applyFont="1" applyAlignment="1">
      <alignment horizontal="center"/>
    </xf>
    <xf numFmtId="10" fontId="28" fillId="0" borderId="0" xfId="0" applyNumberFormat="1" applyFont="1" applyAlignment="1">
      <alignment horizontal="center"/>
    </xf>
    <xf numFmtId="164" fontId="29" fillId="0" borderId="0" xfId="0" applyNumberFormat="1" applyFont="1" applyAlignment="1">
      <alignment horizontal="center"/>
    </xf>
    <xf numFmtId="164" fontId="28" fillId="0" borderId="0" xfId="0" applyNumberFormat="1" applyFont="1" applyAlignment="1">
      <alignment horizontal="center"/>
    </xf>
    <xf numFmtId="0" fontId="30" fillId="0" borderId="0" xfId="0" applyFont="1"/>
    <xf numFmtId="171" fontId="25" fillId="0" borderId="0" xfId="0" applyNumberFormat="1" applyFont="1"/>
    <xf numFmtId="0" fontId="30" fillId="0" borderId="19" xfId="0" applyFont="1" applyBorder="1" applyAlignment="1">
      <alignment horizontal="center"/>
    </xf>
    <xf numFmtId="0" fontId="30" fillId="0" borderId="21" xfId="0" applyFont="1" applyBorder="1" applyAlignment="1">
      <alignment horizontal="center"/>
    </xf>
    <xf numFmtId="0" fontId="30" fillId="0" borderId="25" xfId="0" applyFont="1" applyBorder="1" applyAlignment="1">
      <alignment horizontal="center"/>
    </xf>
    <xf numFmtId="0" fontId="30" fillId="0" borderId="15" xfId="0" applyFont="1" applyBorder="1" applyAlignment="1">
      <alignment horizontal="center"/>
    </xf>
    <xf numFmtId="0" fontId="30" fillId="0" borderId="18" xfId="0" applyFont="1" applyBorder="1" applyAlignment="1">
      <alignment horizontal="center"/>
    </xf>
    <xf numFmtId="0" fontId="30" fillId="0" borderId="24" xfId="0" applyFont="1" applyBorder="1" applyAlignment="1">
      <alignment horizontal="center"/>
    </xf>
    <xf numFmtId="0" fontId="30" fillId="0" borderId="22" xfId="0" applyFont="1" applyBorder="1" applyAlignment="1">
      <alignment horizontal="center"/>
    </xf>
    <xf numFmtId="0" fontId="30" fillId="0" borderId="23" xfId="0" applyFont="1" applyBorder="1" applyAlignment="1">
      <alignment horizontal="center"/>
    </xf>
    <xf numFmtId="0" fontId="30" fillId="0" borderId="21" xfId="0" applyFont="1" applyBorder="1"/>
    <xf numFmtId="0" fontId="25" fillId="0" borderId="16" xfId="0" applyFont="1" applyBorder="1"/>
    <xf numFmtId="0" fontId="30" fillId="0" borderId="16" xfId="0" applyFont="1" applyBorder="1"/>
    <xf numFmtId="3" fontId="27" fillId="0" borderId="0" xfId="0" applyNumberFormat="1" applyFont="1" applyAlignment="1">
      <alignment horizontal="center"/>
    </xf>
    <xf numFmtId="5" fontId="18" fillId="0" borderId="0" xfId="0" applyNumberFormat="1" applyFont="1"/>
    <xf numFmtId="165" fontId="18" fillId="0" borderId="19" xfId="0" applyNumberFormat="1" applyFont="1" applyBorder="1" applyAlignment="1">
      <alignment horizontal="center"/>
    </xf>
    <xf numFmtId="179" fontId="18" fillId="0" borderId="0" xfId="0" applyNumberFormat="1" applyFont="1"/>
    <xf numFmtId="0" fontId="18" fillId="0" borderId="12" xfId="0" applyFont="1" applyBorder="1"/>
    <xf numFmtId="41" fontId="18" fillId="0" borderId="0" xfId="0" applyNumberFormat="1" applyFont="1"/>
    <xf numFmtId="178" fontId="21" fillId="0" borderId="0" xfId="0" applyNumberFormat="1" applyFont="1"/>
    <xf numFmtId="178" fontId="20" fillId="0" borderId="0" xfId="0" applyNumberFormat="1" applyFont="1"/>
    <xf numFmtId="0" fontId="19" fillId="0" borderId="27" xfId="0" applyFont="1" applyBorder="1"/>
    <xf numFmtId="0" fontId="18" fillId="0" borderId="0" xfId="0" applyFont="1" applyBorder="1"/>
    <xf numFmtId="0" fontId="18" fillId="0" borderId="25" xfId="0" applyFont="1" applyBorder="1"/>
    <xf numFmtId="0" fontId="18" fillId="0" borderId="19" xfId="0" applyFont="1" applyBorder="1"/>
    <xf numFmtId="0" fontId="18" fillId="0" borderId="18" xfId="0" applyFont="1" applyBorder="1"/>
    <xf numFmtId="5" fontId="25" fillId="0" borderId="0" xfId="0" applyNumberFormat="1" applyFont="1"/>
    <xf numFmtId="5" fontId="21" fillId="0" borderId="11" xfId="0" applyNumberFormat="1" applyFont="1" applyBorder="1"/>
    <xf numFmtId="0" fontId="31" fillId="0" borderId="0" xfId="0" applyFont="1"/>
    <xf numFmtId="178" fontId="18" fillId="0" borderId="0" xfId="0" applyNumberFormat="1" applyFont="1"/>
    <xf numFmtId="182" fontId="21" fillId="0" borderId="0" xfId="0" applyNumberFormat="1" applyFont="1"/>
    <xf numFmtId="168" fontId="20" fillId="0" borderId="14" xfId="0" applyNumberFormat="1" applyFont="1" applyBorder="1"/>
    <xf numFmtId="175" fontId="18" fillId="0" borderId="22" xfId="0" applyNumberFormat="1" applyFont="1" applyBorder="1"/>
    <xf numFmtId="168" fontId="18" fillId="0" borderId="13" xfId="0" applyNumberFormat="1" applyFont="1" applyBorder="1"/>
    <xf numFmtId="165" fontId="18" fillId="0" borderId="20" xfId="0" applyNumberFormat="1" applyFont="1" applyBorder="1" applyAlignment="1">
      <alignment horizontal="center"/>
    </xf>
    <xf numFmtId="168" fontId="21" fillId="0" borderId="14" xfId="0" applyNumberFormat="1" applyFont="1" applyBorder="1"/>
    <xf numFmtId="175" fontId="21" fillId="0" borderId="22" xfId="0" applyNumberFormat="1" applyFont="1" applyBorder="1"/>
    <xf numFmtId="168" fontId="21" fillId="0" borderId="13" xfId="0" applyNumberFormat="1" applyFont="1" applyBorder="1"/>
    <xf numFmtId="178" fontId="18" fillId="0" borderId="10" xfId="0" applyNumberFormat="1" applyFont="1" applyBorder="1"/>
    <xf numFmtId="0" fontId="18" fillId="0" borderId="17" xfId="0" applyFont="1" applyBorder="1"/>
    <xf numFmtId="181" fontId="21" fillId="0" borderId="0" xfId="0" applyNumberFormat="1" applyFont="1"/>
    <xf numFmtId="5" fontId="26" fillId="0" borderId="0" xfId="0" applyNumberFormat="1" applyFont="1"/>
    <xf numFmtId="182" fontId="18" fillId="0" borderId="0" xfId="0" applyNumberFormat="1" applyFont="1"/>
    <xf numFmtId="43" fontId="18" fillId="0" borderId="0" xfId="0" applyNumberFormat="1" applyFont="1"/>
    <xf numFmtId="185" fontId="18" fillId="0" borderId="0" xfId="0" applyNumberFormat="1" applyFont="1"/>
    <xf numFmtId="5" fontId="30" fillId="0" borderId="0" xfId="0" applyNumberFormat="1" applyFont="1"/>
    <xf numFmtId="41" fontId="21" fillId="0" borderId="0" xfId="0" applyNumberFormat="1" applyFont="1"/>
    <xf numFmtId="5" fontId="30" fillId="0" borderId="26" xfId="0" applyNumberFormat="1" applyFon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BCD06-85AC-C042-9F87-1F3C0F818917}">
  <dimension ref="A1"/>
  <sheetViews>
    <sheetView workbookViewId="0"/>
  </sheetViews>
  <sheetFormatPr baseColWidth="10" defaultRowHeight="16" x14ac:dyDescent="0.2"/>
  <sheetData/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E3C1D-6D24-9149-9DDE-39FDAA971BDB}">
  <dimension ref="A1:J23"/>
  <sheetViews>
    <sheetView workbookViewId="0"/>
  </sheetViews>
  <sheetFormatPr baseColWidth="10" defaultRowHeight="16" x14ac:dyDescent="0.2"/>
  <cols>
    <col min="1" max="1" width="11.33203125" customWidth="1"/>
    <col min="2" max="2" width="32.83203125" customWidth="1"/>
    <col min="3" max="3" width="15.5" customWidth="1"/>
    <col min="4" max="4" width="9.5" customWidth="1"/>
    <col min="5" max="5" width="13.6640625" customWidth="1"/>
    <col min="6" max="6" width="22.1640625" customWidth="1"/>
    <col min="7" max="7" width="13.83203125" customWidth="1"/>
    <col min="8" max="8" width="12" customWidth="1"/>
    <col min="9" max="9" width="3.33203125" customWidth="1"/>
  </cols>
  <sheetData>
    <row r="1" spans="1:10" x14ac:dyDescent="0.2">
      <c r="A1" s="12"/>
      <c r="B1" s="12"/>
      <c r="C1" s="12"/>
      <c r="D1" s="12"/>
      <c r="E1" s="12"/>
      <c r="F1" s="12"/>
      <c r="G1" s="12"/>
      <c r="H1" s="12"/>
      <c r="I1" s="12"/>
      <c r="J1" s="12"/>
    </row>
    <row r="2" spans="1:10" x14ac:dyDescent="0.2">
      <c r="A2" s="12"/>
      <c r="B2" s="12"/>
      <c r="C2" s="12"/>
      <c r="D2" s="12"/>
      <c r="E2" s="12"/>
      <c r="F2" s="12"/>
      <c r="G2" s="12"/>
      <c r="H2" s="26" t="s">
        <v>1</v>
      </c>
      <c r="I2" s="12"/>
      <c r="J2" s="12"/>
    </row>
    <row r="3" spans="1:10" x14ac:dyDescent="0.2">
      <c r="A3" s="12"/>
      <c r="B3" s="26" t="s">
        <v>2</v>
      </c>
      <c r="C3" s="26" t="s">
        <v>3</v>
      </c>
      <c r="D3" s="26" t="s">
        <v>4</v>
      </c>
      <c r="E3" s="26" t="s">
        <v>5</v>
      </c>
      <c r="F3" s="26" t="s">
        <v>6</v>
      </c>
      <c r="G3" s="26" t="s">
        <v>0</v>
      </c>
      <c r="H3" s="26" t="s">
        <v>7</v>
      </c>
      <c r="I3" s="12"/>
      <c r="J3" s="12"/>
    </row>
    <row r="4" spans="1:10" x14ac:dyDescent="0.2">
      <c r="A4" s="12"/>
      <c r="B4" s="25" t="s">
        <v>8</v>
      </c>
      <c r="C4" s="27">
        <v>3600000</v>
      </c>
      <c r="D4" s="44"/>
      <c r="E4" s="44"/>
      <c r="F4" s="44"/>
      <c r="G4" s="27">
        <f>SUM(C4:F4)</f>
        <v>3600000</v>
      </c>
      <c r="H4" s="28">
        <f>G4/$G$23</f>
        <v>0.36959987630724139</v>
      </c>
      <c r="I4" s="12"/>
      <c r="J4" s="12"/>
    </row>
    <row r="5" spans="1:10" x14ac:dyDescent="0.2">
      <c r="A5" s="12"/>
      <c r="B5" s="25" t="s">
        <v>9</v>
      </c>
      <c r="C5" s="27">
        <v>3600000</v>
      </c>
      <c r="D5" s="44"/>
      <c r="E5" s="44"/>
      <c r="F5" s="44"/>
      <c r="G5" s="27">
        <f>SUM(C5:F5)</f>
        <v>3600000</v>
      </c>
      <c r="H5" s="28">
        <f>G5/$G$23</f>
        <v>0.36959987630724139</v>
      </c>
      <c r="I5" s="12"/>
      <c r="J5" s="12"/>
    </row>
    <row r="6" spans="1:10" x14ac:dyDescent="0.2">
      <c r="A6" s="12"/>
      <c r="B6" s="25" t="s">
        <v>10</v>
      </c>
      <c r="C6" s="27">
        <v>222187</v>
      </c>
      <c r="D6" s="44"/>
      <c r="E6" s="44"/>
      <c r="F6" s="44"/>
      <c r="G6" s="27">
        <f>SUM(C6:F6)</f>
        <v>222187</v>
      </c>
      <c r="H6" s="28">
        <f>G6/$G$23</f>
        <v>2.28111910325214E-2</v>
      </c>
      <c r="I6" s="12"/>
      <c r="J6" s="12"/>
    </row>
    <row r="7" spans="1:10" x14ac:dyDescent="0.2">
      <c r="A7" s="12"/>
      <c r="B7" s="25" t="s">
        <v>11</v>
      </c>
      <c r="C7" s="27">
        <v>592500</v>
      </c>
      <c r="D7" s="44"/>
      <c r="E7" s="44"/>
      <c r="F7" s="44"/>
      <c r="G7" s="27">
        <f>SUM(C7:F7)</f>
        <v>592500</v>
      </c>
      <c r="H7" s="28">
        <f>G7/$G$23</f>
        <v>6.0829979642233481E-2</v>
      </c>
      <c r="I7" s="12"/>
      <c r="J7" s="12"/>
    </row>
    <row r="8" spans="1:10" x14ac:dyDescent="0.2">
      <c r="A8" s="12"/>
      <c r="B8" s="25" t="s">
        <v>12</v>
      </c>
      <c r="C8" s="27">
        <v>592500</v>
      </c>
      <c r="D8" s="44"/>
      <c r="E8" s="44"/>
      <c r="F8" s="44"/>
      <c r="G8" s="27">
        <f>SUM(C8:F8)</f>
        <v>592500</v>
      </c>
      <c r="H8" s="28">
        <f>G8/$G$23</f>
        <v>6.0829979642233481E-2</v>
      </c>
      <c r="I8" s="12"/>
      <c r="J8" s="12"/>
    </row>
    <row r="9" spans="1:10" x14ac:dyDescent="0.2">
      <c r="A9" s="12"/>
      <c r="B9" s="25" t="s">
        <v>13</v>
      </c>
      <c r="C9" s="27">
        <v>13500</v>
      </c>
      <c r="D9" s="44">
        <v>98900</v>
      </c>
      <c r="E9" s="44"/>
      <c r="F9" s="44"/>
      <c r="G9" s="27">
        <f>SUM(C9:F9)</f>
        <v>112400</v>
      </c>
      <c r="H9" s="28">
        <f>G9/$G$23</f>
        <v>1.1539729471370537E-2</v>
      </c>
      <c r="I9" s="12"/>
      <c r="J9" s="12"/>
    </row>
    <row r="10" spans="1:10" x14ac:dyDescent="0.2">
      <c r="A10" s="12"/>
      <c r="B10" s="25" t="s">
        <v>14</v>
      </c>
      <c r="C10" s="27">
        <v>9000</v>
      </c>
      <c r="D10" s="44"/>
      <c r="E10" s="44"/>
      <c r="F10" s="44"/>
      <c r="G10" s="27">
        <f>SUM(C10:F10)</f>
        <v>9000</v>
      </c>
      <c r="H10" s="28">
        <f>G10/$G$23</f>
        <v>9.2399969076810353E-4</v>
      </c>
      <c r="I10" s="12"/>
      <c r="J10" s="12"/>
    </row>
    <row r="11" spans="1:10" x14ac:dyDescent="0.2">
      <c r="A11" s="12"/>
      <c r="B11" s="25" t="s">
        <v>15</v>
      </c>
      <c r="C11" s="27"/>
      <c r="D11" s="44">
        <v>95000</v>
      </c>
      <c r="E11" s="44"/>
      <c r="F11" s="44"/>
      <c r="G11" s="27">
        <f>SUM(C11:F11)</f>
        <v>95000</v>
      </c>
      <c r="H11" s="28">
        <f>G11/$G$23</f>
        <v>9.7533300692188695E-3</v>
      </c>
      <c r="I11" s="12"/>
      <c r="J11" s="12"/>
    </row>
    <row r="12" spans="1:10" x14ac:dyDescent="0.2">
      <c r="A12" s="12"/>
      <c r="B12" s="25" t="s">
        <v>16</v>
      </c>
      <c r="C12" s="27"/>
      <c r="D12" s="44"/>
      <c r="E12" s="44">
        <v>25000</v>
      </c>
      <c r="F12" s="44"/>
      <c r="G12" s="27">
        <f>SUM(C12:F12)</f>
        <v>25000</v>
      </c>
      <c r="H12" s="28">
        <f>G12/$G$23</f>
        <v>2.5666658076891765E-3</v>
      </c>
      <c r="I12" s="12"/>
      <c r="J12" s="12"/>
    </row>
    <row r="13" spans="1:10" x14ac:dyDescent="0.2">
      <c r="A13" s="12"/>
      <c r="B13" s="25" t="s">
        <v>17</v>
      </c>
      <c r="C13" s="27"/>
      <c r="D13" s="44"/>
      <c r="E13" s="44">
        <v>41562</v>
      </c>
      <c r="F13" s="44"/>
      <c r="G13" s="27">
        <f>SUM(C13:F13)</f>
        <v>41562</v>
      </c>
      <c r="H13" s="28">
        <f>G13/$G$23</f>
        <v>4.2670305719671019E-3</v>
      </c>
      <c r="I13" s="12"/>
      <c r="J13" s="12"/>
    </row>
    <row r="14" spans="1:10" x14ac:dyDescent="0.2">
      <c r="A14" s="12"/>
      <c r="B14" s="25" t="s">
        <v>18</v>
      </c>
      <c r="C14" s="27"/>
      <c r="D14" s="44">
        <v>285000</v>
      </c>
      <c r="E14" s="44"/>
      <c r="F14" s="44"/>
      <c r="G14" s="27">
        <f>SUM(C14:F14)</f>
        <v>285000</v>
      </c>
      <c r="H14" s="28">
        <f>G14/$G$23</f>
        <v>2.925999020765661E-2</v>
      </c>
      <c r="I14" s="12"/>
      <c r="J14" s="12"/>
    </row>
    <row r="15" spans="1:10" x14ac:dyDescent="0.2">
      <c r="A15" s="12"/>
      <c r="B15" s="25" t="s">
        <v>19</v>
      </c>
      <c r="C15" s="27"/>
      <c r="D15" s="44">
        <v>50000</v>
      </c>
      <c r="E15" s="44"/>
      <c r="F15" s="44"/>
      <c r="G15" s="27">
        <f>SUM(C15:F15)</f>
        <v>50000</v>
      </c>
      <c r="H15" s="28">
        <f>G15/$G$23</f>
        <v>5.133331615378353E-3</v>
      </c>
      <c r="I15" s="12"/>
      <c r="J15" s="12"/>
    </row>
    <row r="16" spans="1:10" x14ac:dyDescent="0.2">
      <c r="A16" s="12"/>
      <c r="B16" s="25" t="s">
        <v>20</v>
      </c>
      <c r="C16" s="27"/>
      <c r="D16" s="44">
        <v>285000</v>
      </c>
      <c r="E16" s="44"/>
      <c r="F16" s="44"/>
      <c r="G16" s="27">
        <f>SUM(C16:F16)</f>
        <v>285000</v>
      </c>
      <c r="H16" s="28">
        <f>G16/$G$23</f>
        <v>2.925999020765661E-2</v>
      </c>
      <c r="I16" s="12"/>
      <c r="J16" s="12"/>
    </row>
    <row r="17" spans="1:10" x14ac:dyDescent="0.2">
      <c r="A17" s="12"/>
      <c r="B17" s="25" t="s">
        <v>21</v>
      </c>
      <c r="C17" s="27"/>
      <c r="D17" s="44"/>
      <c r="E17" s="44">
        <v>96186</v>
      </c>
      <c r="F17" s="44"/>
      <c r="G17" s="27">
        <f>SUM(C17:F17)</f>
        <v>96186</v>
      </c>
      <c r="H17" s="28">
        <f>G17/$G$23</f>
        <v>9.8750926951356455E-3</v>
      </c>
      <c r="I17" s="12"/>
      <c r="J17" s="12"/>
    </row>
    <row r="18" spans="1:10" x14ac:dyDescent="0.2">
      <c r="A18" s="12"/>
      <c r="B18" s="25" t="s">
        <v>22</v>
      </c>
      <c r="C18" s="27"/>
      <c r="D18" s="44"/>
      <c r="E18" s="44">
        <v>48095</v>
      </c>
      <c r="F18" s="44"/>
      <c r="G18" s="27">
        <f>SUM(C18:F18)</f>
        <v>48095</v>
      </c>
      <c r="H18" s="28">
        <f>G18/$G$23</f>
        <v>4.9377516808324371E-3</v>
      </c>
      <c r="I18" s="12"/>
      <c r="J18" s="12"/>
    </row>
    <row r="19" spans="1:10" x14ac:dyDescent="0.2">
      <c r="A19" s="12"/>
      <c r="B19" s="25" t="s">
        <v>23</v>
      </c>
      <c r="C19" s="27"/>
      <c r="D19" s="44"/>
      <c r="E19" s="44"/>
      <c r="F19" s="44">
        <v>12395</v>
      </c>
      <c r="G19" s="27">
        <f>SUM(C19:F19)</f>
        <v>12395</v>
      </c>
      <c r="H19" s="28">
        <f>G19/$G$23</f>
        <v>1.2725529074522936E-3</v>
      </c>
      <c r="I19" s="12"/>
      <c r="J19" s="12"/>
    </row>
    <row r="20" spans="1:10" x14ac:dyDescent="0.2">
      <c r="A20" s="12"/>
      <c r="B20" s="25" t="s">
        <v>24</v>
      </c>
      <c r="C20" s="27"/>
      <c r="D20" s="44"/>
      <c r="E20" s="44"/>
      <c r="F20" s="44">
        <v>8333</v>
      </c>
      <c r="G20" s="27">
        <f>SUM(C20:F20)</f>
        <v>8333</v>
      </c>
      <c r="H20" s="28">
        <f>G20/$G$23</f>
        <v>8.5552104701895626E-4</v>
      </c>
      <c r="I20" s="12"/>
      <c r="J20" s="12"/>
    </row>
    <row r="21" spans="1:10" ht="15.75" customHeight="1" x14ac:dyDescent="0.2">
      <c r="A21" s="12"/>
      <c r="B21" s="25" t="s">
        <v>25</v>
      </c>
      <c r="C21" s="27"/>
      <c r="D21" s="44">
        <v>65105</v>
      </c>
      <c r="E21" s="44"/>
      <c r="F21" s="44"/>
      <c r="G21" s="27">
        <f>SUM(C21:F21)</f>
        <v>65105</v>
      </c>
      <c r="H21" s="28">
        <f>G21/$G$23</f>
        <v>6.6841110963841528E-3</v>
      </c>
      <c r="I21" s="12"/>
      <c r="J21" s="12"/>
    </row>
    <row r="22" spans="1:10" ht="15.75" customHeight="1" x14ac:dyDescent="0.2">
      <c r="A22" s="12"/>
      <c r="B22" s="12"/>
      <c r="C22" s="12"/>
      <c r="D22" s="12"/>
      <c r="E22" s="12"/>
      <c r="F22" s="12"/>
      <c r="G22" s="12"/>
      <c r="H22" s="13"/>
      <c r="I22" s="12"/>
      <c r="J22" s="12"/>
    </row>
    <row r="23" spans="1:10" ht="15.75" customHeight="1" x14ac:dyDescent="0.2">
      <c r="A23" s="12"/>
      <c r="B23" s="26" t="s">
        <v>0</v>
      </c>
      <c r="C23" s="27">
        <f>SUM(C4:C21)</f>
        <v>8629687</v>
      </c>
      <c r="D23" s="27">
        <f>SUM(D4:D21)</f>
        <v>879005</v>
      </c>
      <c r="E23" s="27">
        <f>SUM(E4:E21)</f>
        <v>210843</v>
      </c>
      <c r="F23" s="27">
        <f>SUM(F4:F21)</f>
        <v>20728</v>
      </c>
      <c r="G23" s="27">
        <f>SUM(G4:G21)</f>
        <v>9740263</v>
      </c>
      <c r="H23" s="12"/>
      <c r="I23" s="12"/>
      <c r="J23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77EFD-1013-184F-B144-92B350AA6A2A}">
  <dimension ref="A1:K27"/>
  <sheetViews>
    <sheetView workbookViewId="0"/>
  </sheetViews>
  <sheetFormatPr baseColWidth="10" defaultRowHeight="16" x14ac:dyDescent="0.2"/>
  <cols>
    <col min="1" max="1" width="11.33203125" customWidth="1"/>
    <col min="2" max="2" width="51.33203125" customWidth="1"/>
    <col min="3" max="3" width="12.33203125" customWidth="1"/>
    <col min="4" max="4" width="3.33203125" customWidth="1"/>
    <col min="5" max="5" width="60.1640625" customWidth="1"/>
  </cols>
  <sheetData>
    <row r="1" spans="1:11" x14ac:dyDescent="0.2">
      <c r="A1" s="6"/>
      <c r="B1" s="6"/>
      <c r="C1" s="6"/>
      <c r="D1" s="6"/>
      <c r="E1" s="6"/>
      <c r="F1" s="6"/>
      <c r="G1" s="6"/>
      <c r="H1" s="6"/>
      <c r="I1" s="6"/>
      <c r="J1" s="6"/>
      <c r="K1" s="6"/>
    </row>
    <row r="2" spans="1:11" x14ac:dyDescent="0.2">
      <c r="A2" s="6"/>
      <c r="B2" s="6"/>
      <c r="C2" s="14"/>
      <c r="D2" s="6"/>
      <c r="E2" s="6"/>
      <c r="F2" s="6"/>
      <c r="G2" s="6"/>
      <c r="H2" s="6"/>
      <c r="I2" s="6"/>
      <c r="J2" s="6"/>
      <c r="K2" s="6"/>
    </row>
    <row r="3" spans="1:11" x14ac:dyDescent="0.2">
      <c r="A3" s="6"/>
      <c r="B3" s="26" t="s">
        <v>2</v>
      </c>
      <c r="C3" s="29" t="s">
        <v>26</v>
      </c>
      <c r="D3" s="6"/>
      <c r="E3" s="26" t="s">
        <v>27</v>
      </c>
      <c r="F3" s="6"/>
      <c r="G3" s="6"/>
      <c r="H3" s="6"/>
      <c r="I3" s="6"/>
      <c r="J3" s="6"/>
      <c r="K3" s="6"/>
    </row>
    <row r="4" spans="1:11" x14ac:dyDescent="0.2">
      <c r="A4" s="6"/>
      <c r="B4" s="25" t="s">
        <v>13</v>
      </c>
      <c r="C4" s="30">
        <v>25000</v>
      </c>
      <c r="D4" s="6"/>
      <c r="E4" s="25" t="s">
        <v>28</v>
      </c>
      <c r="F4" s="6"/>
      <c r="G4" s="6"/>
      <c r="H4" s="6"/>
      <c r="I4" s="6"/>
      <c r="J4" s="6"/>
      <c r="K4" s="6"/>
    </row>
    <row r="5" spans="1:11" x14ac:dyDescent="0.2">
      <c r="A5" s="6"/>
      <c r="B5" s="25" t="s">
        <v>14</v>
      </c>
      <c r="C5" s="30">
        <v>25000</v>
      </c>
      <c r="D5" s="6"/>
      <c r="E5" s="6"/>
      <c r="F5" s="6"/>
      <c r="G5" s="6"/>
      <c r="H5" s="6"/>
      <c r="I5" s="6"/>
      <c r="J5" s="6"/>
      <c r="K5" s="6"/>
    </row>
    <row r="6" spans="1:11" ht="15.75" customHeight="1" x14ac:dyDescent="0.2">
      <c r="A6" s="6"/>
      <c r="B6" s="25" t="s">
        <v>29</v>
      </c>
      <c r="C6" s="30">
        <v>137170.75</v>
      </c>
      <c r="D6" s="6"/>
      <c r="E6" s="6"/>
      <c r="F6" s="6"/>
      <c r="G6" s="6"/>
      <c r="H6" s="6"/>
      <c r="I6" s="6"/>
      <c r="J6" s="6"/>
      <c r="K6" s="6"/>
    </row>
    <row r="7" spans="1:11" ht="15.75" customHeight="1" x14ac:dyDescent="0.2">
      <c r="A7" s="6"/>
      <c r="B7" s="25" t="s">
        <v>30</v>
      </c>
      <c r="C7" s="30">
        <v>3846829.25</v>
      </c>
      <c r="D7" s="6"/>
      <c r="E7" s="6"/>
      <c r="F7" s="6"/>
      <c r="G7" s="6"/>
      <c r="H7" s="6"/>
      <c r="I7" s="6"/>
      <c r="J7" s="6"/>
      <c r="K7" s="6"/>
    </row>
    <row r="8" spans="1:11" ht="15.75" customHeight="1" x14ac:dyDescent="0.2">
      <c r="A8" s="6"/>
      <c r="B8" s="25" t="s">
        <v>31</v>
      </c>
      <c r="C8" s="30">
        <v>16566</v>
      </c>
      <c r="D8" s="6"/>
      <c r="E8" s="25" t="s">
        <v>99</v>
      </c>
      <c r="F8" s="6"/>
      <c r="G8" s="6"/>
      <c r="H8" s="6"/>
      <c r="I8" s="6"/>
      <c r="J8" s="6"/>
      <c r="K8" s="6"/>
    </row>
    <row r="9" spans="1:11" ht="15.75" customHeight="1" x14ac:dyDescent="0.2">
      <c r="A9" s="6"/>
      <c r="B9" s="25" t="s">
        <v>32</v>
      </c>
      <c r="C9" s="30">
        <v>250000</v>
      </c>
      <c r="D9" s="6"/>
      <c r="E9" s="6"/>
      <c r="F9" s="6"/>
      <c r="G9" s="6"/>
      <c r="H9" s="6"/>
      <c r="I9" s="6"/>
      <c r="J9" s="6"/>
      <c r="K9" s="6"/>
    </row>
    <row r="10" spans="1:11" ht="15.75" customHeight="1" x14ac:dyDescent="0.2">
      <c r="A10" s="6"/>
      <c r="B10" s="25" t="s">
        <v>33</v>
      </c>
      <c r="C10" s="30">
        <v>100000</v>
      </c>
      <c r="D10" s="6"/>
      <c r="E10" s="6"/>
      <c r="F10" s="6"/>
      <c r="G10" s="6"/>
      <c r="H10" s="6"/>
      <c r="I10" s="6"/>
      <c r="J10" s="6"/>
      <c r="K10" s="6"/>
    </row>
    <row r="11" spans="1:11" ht="15.75" customHeight="1" x14ac:dyDescent="0.2">
      <c r="A11" s="6"/>
      <c r="B11" s="25" t="s">
        <v>34</v>
      </c>
      <c r="C11" s="30">
        <v>300000</v>
      </c>
      <c r="D11" s="6"/>
      <c r="E11" s="25" t="s">
        <v>28</v>
      </c>
      <c r="F11" s="6"/>
      <c r="G11" s="6"/>
      <c r="H11" s="6"/>
      <c r="I11" s="6"/>
      <c r="J11" s="6"/>
      <c r="K11" s="6"/>
    </row>
    <row r="12" spans="1:11" ht="15.75" customHeight="1" x14ac:dyDescent="0.2">
      <c r="A12" s="6"/>
      <c r="B12" s="25" t="s">
        <v>35</v>
      </c>
      <c r="C12" s="30">
        <v>37500</v>
      </c>
      <c r="D12" s="6"/>
      <c r="E12" s="25" t="s">
        <v>36</v>
      </c>
      <c r="F12" s="6"/>
      <c r="G12" s="6"/>
      <c r="H12" s="6"/>
      <c r="I12" s="6"/>
      <c r="J12" s="6"/>
      <c r="K12" s="6"/>
    </row>
    <row r="13" spans="1:11" ht="15.75" customHeight="1" x14ac:dyDescent="0.2">
      <c r="A13" s="6"/>
      <c r="B13" s="25" t="s">
        <v>37</v>
      </c>
      <c r="C13" s="30">
        <v>250000</v>
      </c>
      <c r="D13" s="6"/>
      <c r="E13" s="6"/>
      <c r="F13" s="6"/>
      <c r="G13" s="6"/>
      <c r="H13" s="6"/>
      <c r="I13" s="6"/>
      <c r="J13" s="6"/>
      <c r="K13" s="6"/>
    </row>
    <row r="14" spans="1:11" ht="15.75" customHeight="1" x14ac:dyDescent="0.2">
      <c r="A14" s="6"/>
      <c r="B14" s="25" t="s">
        <v>38</v>
      </c>
      <c r="C14" s="30">
        <v>100000</v>
      </c>
      <c r="D14" s="6"/>
      <c r="E14" s="6"/>
      <c r="F14" s="6"/>
      <c r="G14" s="6"/>
      <c r="H14" s="6"/>
      <c r="I14" s="6"/>
      <c r="J14" s="6"/>
      <c r="K14" s="6"/>
    </row>
    <row r="15" spans="1:11" ht="15.75" customHeight="1" x14ac:dyDescent="0.2">
      <c r="A15" s="6"/>
      <c r="B15" s="25" t="s">
        <v>39</v>
      </c>
      <c r="C15" s="30">
        <v>41164</v>
      </c>
      <c r="D15" s="6"/>
      <c r="E15" s="25" t="s">
        <v>99</v>
      </c>
      <c r="F15" s="6"/>
      <c r="G15" s="6"/>
      <c r="H15" s="6"/>
      <c r="I15" s="6"/>
      <c r="J15" s="6"/>
      <c r="K15" s="6"/>
    </row>
    <row r="16" spans="1:11" ht="15.75" customHeight="1" x14ac:dyDescent="0.2">
      <c r="A16" s="6"/>
      <c r="B16" s="25" t="s">
        <v>40</v>
      </c>
      <c r="C16" s="30">
        <v>2328778</v>
      </c>
      <c r="D16" s="6"/>
      <c r="E16" s="25" t="s">
        <v>99</v>
      </c>
      <c r="F16" s="6"/>
      <c r="G16" s="6"/>
      <c r="H16" s="6"/>
      <c r="I16" s="6"/>
      <c r="J16" s="6"/>
      <c r="K16" s="6"/>
    </row>
    <row r="17" spans="1:11" ht="15.75" customHeight="1" x14ac:dyDescent="0.2">
      <c r="A17" s="6"/>
      <c r="B17" s="25" t="s">
        <v>41</v>
      </c>
      <c r="C17" s="30">
        <v>1506000</v>
      </c>
      <c r="D17" s="6"/>
      <c r="E17" s="25" t="s">
        <v>42</v>
      </c>
      <c r="F17" s="6"/>
      <c r="G17" s="6"/>
      <c r="H17" s="6"/>
      <c r="I17" s="6"/>
      <c r="J17" s="6"/>
      <c r="K17" s="6"/>
    </row>
    <row r="18" spans="1:11" ht="15.75" customHeight="1" x14ac:dyDescent="0.2">
      <c r="A18" s="6"/>
      <c r="B18" s="25" t="s">
        <v>43</v>
      </c>
      <c r="C18" s="30">
        <v>50000</v>
      </c>
      <c r="D18" s="6"/>
      <c r="E18" s="6"/>
      <c r="F18" s="6"/>
      <c r="G18" s="6"/>
      <c r="H18" s="6"/>
      <c r="I18" s="6"/>
      <c r="J18" s="6"/>
      <c r="K18" s="6"/>
    </row>
    <row r="19" spans="1:11" ht="15.75" customHeight="1" x14ac:dyDescent="0.2">
      <c r="A19" s="6"/>
      <c r="B19" s="25" t="s">
        <v>44</v>
      </c>
      <c r="C19" s="30">
        <v>212500</v>
      </c>
      <c r="D19" s="6"/>
      <c r="E19" s="25" t="s">
        <v>36</v>
      </c>
      <c r="F19" s="6"/>
      <c r="G19" s="6"/>
      <c r="H19" s="6"/>
      <c r="I19" s="6"/>
      <c r="J19" s="6"/>
      <c r="K19" s="6"/>
    </row>
    <row r="20" spans="1:11" ht="15.75" customHeight="1" x14ac:dyDescent="0.2">
      <c r="A20" s="6"/>
      <c r="B20" s="25" t="s">
        <v>45</v>
      </c>
      <c r="C20" s="30">
        <v>25000</v>
      </c>
      <c r="D20" s="6"/>
      <c r="E20" s="6"/>
      <c r="F20" s="6"/>
      <c r="G20" s="6"/>
      <c r="H20" s="6"/>
      <c r="I20" s="6"/>
      <c r="J20" s="6"/>
      <c r="K20" s="6"/>
    </row>
    <row r="21" spans="1:11" ht="15.75" customHeight="1" x14ac:dyDescent="0.2">
      <c r="A21" s="6"/>
      <c r="B21" s="25" t="s">
        <v>46</v>
      </c>
      <c r="C21" s="30">
        <v>61746</v>
      </c>
      <c r="D21" s="6"/>
      <c r="E21" s="25" t="s">
        <v>99</v>
      </c>
      <c r="F21" s="6"/>
      <c r="G21" s="6"/>
      <c r="H21" s="6"/>
      <c r="I21" s="6"/>
      <c r="J21" s="6"/>
      <c r="K21" s="6"/>
    </row>
    <row r="22" spans="1:11" ht="15.75" customHeight="1" x14ac:dyDescent="0.2">
      <c r="A22" s="6"/>
      <c r="B22" s="25" t="s">
        <v>47</v>
      </c>
      <c r="C22" s="30">
        <v>100000</v>
      </c>
      <c r="D22" s="6"/>
      <c r="E22" s="6"/>
      <c r="F22" s="6"/>
      <c r="G22" s="6"/>
      <c r="H22" s="6"/>
      <c r="I22" s="6"/>
      <c r="J22" s="6"/>
      <c r="K22" s="6"/>
    </row>
    <row r="23" spans="1:11" ht="15.75" customHeight="1" x14ac:dyDescent="0.2">
      <c r="A23" s="6"/>
      <c r="B23" s="25" t="s">
        <v>48</v>
      </c>
      <c r="C23" s="30">
        <v>100000</v>
      </c>
      <c r="D23" s="6"/>
      <c r="E23" s="6"/>
      <c r="F23" s="6"/>
      <c r="G23" s="6"/>
      <c r="H23" s="6"/>
      <c r="I23" s="6"/>
      <c r="J23" s="6"/>
      <c r="K23" s="6"/>
    </row>
    <row r="24" spans="1:11" ht="15.75" customHeight="1" x14ac:dyDescent="0.2">
      <c r="A24" s="6"/>
      <c r="B24" s="25" t="s">
        <v>49</v>
      </c>
      <c r="C24" s="30">
        <v>61746</v>
      </c>
      <c r="D24" s="6"/>
      <c r="E24" s="25" t="s">
        <v>99</v>
      </c>
      <c r="F24" s="6"/>
      <c r="G24" s="6"/>
      <c r="H24" s="6"/>
      <c r="I24" s="6"/>
      <c r="J24" s="6"/>
      <c r="K24" s="6"/>
    </row>
    <row r="25" spans="1:11" ht="15.75" customHeight="1" x14ac:dyDescent="0.2">
      <c r="A25" s="6"/>
      <c r="B25" s="25" t="s">
        <v>50</v>
      </c>
      <c r="C25" s="30">
        <v>250000</v>
      </c>
      <c r="D25" s="6"/>
      <c r="E25" s="25" t="s">
        <v>51</v>
      </c>
      <c r="F25" s="6"/>
      <c r="G25" s="6"/>
      <c r="H25" s="6"/>
      <c r="I25" s="6"/>
      <c r="J25" s="6"/>
      <c r="K25" s="6"/>
    </row>
    <row r="26" spans="1:11" ht="15.75" customHeight="1" x14ac:dyDescent="0.2">
      <c r="A26" s="6"/>
      <c r="B26" s="6"/>
      <c r="C26" s="7"/>
      <c r="D26" s="6"/>
      <c r="E26" s="6"/>
      <c r="F26" s="6"/>
      <c r="G26" s="6"/>
      <c r="H26" s="6"/>
      <c r="I26" s="6"/>
      <c r="J26" s="6"/>
      <c r="K26" s="6"/>
    </row>
    <row r="27" spans="1:11" ht="15.75" customHeight="1" x14ac:dyDescent="0.2">
      <c r="A27" s="6"/>
      <c r="B27" s="26" t="s">
        <v>0</v>
      </c>
      <c r="C27" s="29">
        <f>SUM(C4:C25)</f>
        <v>9825000</v>
      </c>
      <c r="D27" s="6"/>
      <c r="E27" s="6"/>
      <c r="F27" s="6"/>
      <c r="G27" s="6"/>
      <c r="H27" s="6"/>
      <c r="I27" s="6"/>
      <c r="J27" s="6"/>
      <c r="K27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60709-D7A8-2146-B4E4-C8F693CDE977}">
  <dimension ref="A1:N28"/>
  <sheetViews>
    <sheetView showGridLines="0" workbookViewId="0"/>
  </sheetViews>
  <sheetFormatPr baseColWidth="10" defaultRowHeight="16" x14ac:dyDescent="0.2"/>
  <cols>
    <col min="1" max="1" width="6.33203125" customWidth="1"/>
    <col min="2" max="2" width="35.5" customWidth="1"/>
    <col min="3" max="3" width="14.33203125" customWidth="1"/>
    <col min="4" max="4" width="17.6640625" customWidth="1"/>
    <col min="5" max="5" width="16.83203125" customWidth="1"/>
    <col min="6" max="6" width="3.33203125" customWidth="1"/>
    <col min="7" max="7" width="15.5" customWidth="1"/>
    <col min="8" max="8" width="16.83203125" customWidth="1"/>
    <col min="9" max="9" width="3.33203125" customWidth="1"/>
    <col min="10" max="10" width="13.83203125" customWidth="1"/>
    <col min="11" max="11" width="3.33203125" customWidth="1"/>
    <col min="12" max="12" width="14.33203125" customWidth="1"/>
    <col min="13" max="13" width="9.33203125" customWidth="1"/>
  </cols>
  <sheetData>
    <row r="1" spans="1:14" x14ac:dyDescent="0.2">
      <c r="A1" s="1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"/>
    </row>
    <row r="2" spans="1:14" x14ac:dyDescent="0.2">
      <c r="A2" s="1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"/>
    </row>
    <row r="3" spans="1:14" x14ac:dyDescent="0.2">
      <c r="A3" s="1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"/>
    </row>
    <row r="4" spans="1:14" ht="15.5" customHeight="1" x14ac:dyDescent="0.2">
      <c r="A4" s="1"/>
      <c r="B4" s="15" t="s">
        <v>117</v>
      </c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"/>
    </row>
    <row r="5" spans="1:14" ht="16.25" customHeight="1" thickBot="1" x14ac:dyDescent="0.25">
      <c r="A5" s="1"/>
      <c r="B5" s="15" t="s">
        <v>97</v>
      </c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"/>
    </row>
    <row r="6" spans="1:14" ht="13.75" customHeight="1" thickBot="1" x14ac:dyDescent="0.25">
      <c r="A6" s="1"/>
      <c r="B6" s="1"/>
      <c r="C6" s="34" t="s">
        <v>52</v>
      </c>
      <c r="D6" s="34" t="s">
        <v>26</v>
      </c>
      <c r="E6" s="35"/>
      <c r="F6" s="1"/>
      <c r="G6" s="34" t="s">
        <v>54</v>
      </c>
      <c r="H6" s="35"/>
      <c r="I6" s="1"/>
      <c r="J6" s="39" t="s">
        <v>53</v>
      </c>
      <c r="K6" s="1"/>
      <c r="L6" s="34" t="s">
        <v>55</v>
      </c>
      <c r="M6" s="35"/>
      <c r="N6" s="1"/>
    </row>
    <row r="7" spans="1:14" x14ac:dyDescent="0.2">
      <c r="A7" s="1"/>
      <c r="B7" s="1"/>
      <c r="C7" s="34" t="s">
        <v>56</v>
      </c>
      <c r="D7" s="34" t="s">
        <v>57</v>
      </c>
      <c r="E7" s="35" t="s">
        <v>58</v>
      </c>
      <c r="F7" s="1"/>
      <c r="G7" s="34" t="s">
        <v>57</v>
      </c>
      <c r="H7" s="35" t="s">
        <v>58</v>
      </c>
      <c r="I7" s="1"/>
      <c r="J7" s="38" t="s">
        <v>59</v>
      </c>
      <c r="K7" s="1"/>
      <c r="L7" s="34" t="s">
        <v>60</v>
      </c>
      <c r="M7" s="35" t="s">
        <v>61</v>
      </c>
      <c r="N7" s="1"/>
    </row>
    <row r="8" spans="1:14" ht="13.75" customHeight="1" thickBot="1" x14ac:dyDescent="0.25">
      <c r="A8" s="1"/>
      <c r="B8" s="1"/>
      <c r="C8" s="36" t="s">
        <v>62</v>
      </c>
      <c r="D8" s="36" t="s">
        <v>63</v>
      </c>
      <c r="E8" s="37" t="s">
        <v>62</v>
      </c>
      <c r="F8" s="1"/>
      <c r="G8" s="36" t="s">
        <v>63</v>
      </c>
      <c r="H8" s="37" t="s">
        <v>62</v>
      </c>
      <c r="I8" s="1"/>
      <c r="J8" s="40" t="s">
        <v>64</v>
      </c>
      <c r="K8" s="1"/>
      <c r="L8" s="36" t="s">
        <v>62</v>
      </c>
      <c r="M8" s="33" t="s">
        <v>65</v>
      </c>
      <c r="N8" s="1"/>
    </row>
    <row r="9" spans="1:14" x14ac:dyDescent="0.2">
      <c r="A9" s="1"/>
      <c r="B9" s="41" t="s">
        <v>66</v>
      </c>
      <c r="C9" s="53"/>
      <c r="D9" s="53"/>
      <c r="E9" s="53"/>
      <c r="F9" s="24"/>
      <c r="G9" s="53"/>
      <c r="H9" s="53"/>
      <c r="I9" s="24"/>
      <c r="J9" s="53"/>
      <c r="K9" s="24"/>
      <c r="L9" s="53"/>
      <c r="M9" s="54"/>
      <c r="N9" s="1"/>
    </row>
    <row r="10" spans="1:14" x14ac:dyDescent="0.2">
      <c r="A10" s="1"/>
      <c r="B10" s="42" t="s">
        <v>8</v>
      </c>
      <c r="C10" s="10">
        <f>'Detailed Cap Table'!G4</f>
        <v>3600000</v>
      </c>
      <c r="D10" s="1"/>
      <c r="E10" s="8"/>
      <c r="F10" s="1"/>
      <c r="G10" s="1"/>
      <c r="H10" s="8"/>
      <c r="I10" s="1"/>
      <c r="J10" s="8"/>
      <c r="K10" s="1"/>
      <c r="L10" s="8">
        <f>C10+E10+H10+J10</f>
        <v>3600000</v>
      </c>
      <c r="M10" s="46">
        <f ca="1">L10/$L$22</f>
        <v>0.19407509228944511</v>
      </c>
      <c r="N10" s="1"/>
    </row>
    <row r="11" spans="1:14" x14ac:dyDescent="0.2">
      <c r="A11" s="1"/>
      <c r="B11" s="42" t="s">
        <v>9</v>
      </c>
      <c r="C11" s="10">
        <f>'Detailed Cap Table'!G5</f>
        <v>3600000</v>
      </c>
      <c r="D11" s="1"/>
      <c r="E11" s="8"/>
      <c r="F11" s="1"/>
      <c r="G11" s="1"/>
      <c r="H11" s="8"/>
      <c r="I11" s="1"/>
      <c r="J11" s="8"/>
      <c r="K11" s="1"/>
      <c r="L11" s="8">
        <f>C11+E11+H11+J11</f>
        <v>3600000</v>
      </c>
      <c r="M11" s="46">
        <f ca="1">L11/$L$22</f>
        <v>0.19407509228944511</v>
      </c>
      <c r="N11" s="1"/>
    </row>
    <row r="12" spans="1:14" ht="14.5" customHeight="1" x14ac:dyDescent="0.2">
      <c r="A12" s="1"/>
      <c r="B12" s="42" t="s">
        <v>107</v>
      </c>
      <c r="C12" s="10">
        <f>'Detailed Cap Table'!C23-'Detailed Cap Table'!C4-'Detailed Cap Table'!C5+'Detailed Cap Table'!D23-'Detailed Cap Table'!D21+'Detailed Cap Table'!F23</f>
        <v>2264315</v>
      </c>
      <c r="D12" s="1"/>
      <c r="E12" s="8"/>
      <c r="F12" s="1"/>
      <c r="G12" s="1"/>
      <c r="H12" s="8"/>
      <c r="I12" s="1"/>
      <c r="J12" s="8"/>
      <c r="K12" s="1"/>
      <c r="L12" s="8">
        <f>C12+E12+H12+J12</f>
        <v>2264315</v>
      </c>
      <c r="M12" s="46">
        <f ca="1">L12/$L$22</f>
        <v>0.12206865072149302</v>
      </c>
      <c r="N12" s="1"/>
    </row>
    <row r="13" spans="1:14" x14ac:dyDescent="0.2">
      <c r="A13" s="1"/>
      <c r="B13" s="42" t="s">
        <v>79</v>
      </c>
      <c r="C13" s="10">
        <f>'Detailed Cap Table'!E23</f>
        <v>210843</v>
      </c>
      <c r="D13" s="1"/>
      <c r="E13" s="8"/>
      <c r="F13" s="1"/>
      <c r="G13" s="1"/>
      <c r="H13" s="8"/>
      <c r="I13" s="1"/>
      <c r="J13" s="8"/>
      <c r="K13" s="1"/>
      <c r="L13" s="8">
        <f>C13+E13+H13+J13</f>
        <v>210843</v>
      </c>
      <c r="M13" s="46">
        <f ca="1">L13/$L$22</f>
        <v>1.1366492967662076E-2</v>
      </c>
      <c r="N13" s="1"/>
    </row>
    <row r="14" spans="1:14" x14ac:dyDescent="0.2">
      <c r="A14" s="1"/>
      <c r="B14" s="42" t="s">
        <v>80</v>
      </c>
      <c r="C14" s="10">
        <f>'Detailed Cap Table'!G21</f>
        <v>65105</v>
      </c>
      <c r="D14" s="1"/>
      <c r="E14" s="8"/>
      <c r="F14" s="1"/>
      <c r="G14" s="1"/>
      <c r="H14" s="8"/>
      <c r="I14" s="1"/>
      <c r="J14" s="8">
        <f ca="1">IFERROR(ROUND(0.1*L22-C14,0),0)</f>
        <v>1789847</v>
      </c>
      <c r="K14" s="1"/>
      <c r="L14" s="8">
        <f ca="1">C14+E14+H14+J14</f>
        <v>1854952</v>
      </c>
      <c r="M14" s="46">
        <f ca="1">L14/$L$22</f>
        <v>9.9999994609025214E-2</v>
      </c>
      <c r="N14" s="1"/>
    </row>
    <row r="15" spans="1:14" x14ac:dyDescent="0.2">
      <c r="A15" s="1"/>
      <c r="B15" s="43" t="s">
        <v>67</v>
      </c>
      <c r="C15" s="16">
        <f>SUM(C10:C14)</f>
        <v>9740263</v>
      </c>
      <c r="D15" s="1">
        <f>SUM(D10:D14)</f>
        <v>0</v>
      </c>
      <c r="E15" s="8">
        <f>SUM(E10:E14)</f>
        <v>0</v>
      </c>
      <c r="F15" s="1"/>
      <c r="G15" s="1">
        <f>SUM(G10:G14)</f>
        <v>0</v>
      </c>
      <c r="H15" s="8">
        <f>SUM(H10:H14)</f>
        <v>0</v>
      </c>
      <c r="I15" s="1"/>
      <c r="J15" s="8">
        <f ca="1">SUM(J10:J14)</f>
        <v>1789847</v>
      </c>
      <c r="K15" s="1"/>
      <c r="L15" s="8">
        <f ca="1">SUM(L10:L14)</f>
        <v>11530110</v>
      </c>
      <c r="M15" s="46">
        <f ca="1">L15/$L$22</f>
        <v>0.62158532287707047</v>
      </c>
      <c r="N15" s="1"/>
    </row>
    <row r="16" spans="1:14" x14ac:dyDescent="0.2">
      <c r="A16" s="1"/>
      <c r="B16" s="43" t="s">
        <v>68</v>
      </c>
      <c r="C16" s="8"/>
      <c r="D16" s="1"/>
      <c r="E16" s="8"/>
      <c r="F16" s="1"/>
      <c r="G16" s="1"/>
      <c r="H16" s="8"/>
      <c r="I16" s="1"/>
      <c r="J16" s="8"/>
      <c r="K16" s="1"/>
      <c r="L16" s="8"/>
      <c r="M16" s="46"/>
      <c r="N16" s="1"/>
    </row>
    <row r="17" spans="1:14" x14ac:dyDescent="0.2">
      <c r="A17" s="1"/>
      <c r="B17" s="42" t="s">
        <v>42</v>
      </c>
      <c r="C17" s="8"/>
      <c r="D17" s="50">
        <f>'SAFE Investments'!C6+'SAFE Investments'!C7+'SAFE Investments'!C8+'SAFE Investments'!C15+'SAFE Investments'!C16+'SAFE Investments'!C17+'SAFE Investments'!C21+'SAFE Investments'!C24</f>
        <v>8000000</v>
      </c>
      <c r="E17" s="8">
        <f>IFERROR(ROUND(D17/$E$24,0),0)</f>
        <v>1939567</v>
      </c>
      <c r="F17" s="1"/>
      <c r="G17" s="51">
        <v>5000000</v>
      </c>
      <c r="H17" s="8">
        <f ca="1">IFERROR(ROUND(G17/$H$24,0),0)</f>
        <v>1159345</v>
      </c>
      <c r="I17" s="1"/>
      <c r="J17" s="8"/>
      <c r="K17" s="1"/>
      <c r="L17" s="8">
        <f ca="1">C17+E17+H17+J17</f>
        <v>3098912</v>
      </c>
      <c r="M17" s="46">
        <f ca="1">L17/$L$22</f>
        <v>0.16706156455468579</v>
      </c>
      <c r="N17" s="1"/>
    </row>
    <row r="18" spans="1:14" x14ac:dyDescent="0.2">
      <c r="A18" s="1"/>
      <c r="B18" s="42" t="s">
        <v>111</v>
      </c>
      <c r="C18" s="8"/>
      <c r="D18" s="50">
        <f>'SAFE Investments'!C27-D17</f>
        <v>1825000</v>
      </c>
      <c r="E18" s="8">
        <f>IFERROR(ROUND(D18/$E$24,0),0)</f>
        <v>442464</v>
      </c>
      <c r="F18" s="1"/>
      <c r="G18" s="60"/>
      <c r="H18" s="8"/>
      <c r="I18" s="1"/>
      <c r="J18" s="8"/>
      <c r="K18" s="1"/>
      <c r="L18" s="8">
        <f>C18+E18+H18+J18</f>
        <v>442464</v>
      </c>
      <c r="M18" s="46">
        <f ca="1">L18/$L$22</f>
        <v>2.3853122676321399E-2</v>
      </c>
      <c r="N18" s="1"/>
    </row>
    <row r="19" spans="1:14" x14ac:dyDescent="0.2">
      <c r="A19" s="1"/>
      <c r="B19" s="42" t="s">
        <v>118</v>
      </c>
      <c r="C19" s="8"/>
      <c r="D19" s="1"/>
      <c r="E19" s="8"/>
      <c r="F19" s="1"/>
      <c r="G19" s="51">
        <v>12000000</v>
      </c>
      <c r="H19" s="8">
        <f ca="1">IFERROR(ROUND(G19/$H$24,0),0)</f>
        <v>2782428</v>
      </c>
      <c r="I19" s="1"/>
      <c r="J19" s="8"/>
      <c r="K19" s="1"/>
      <c r="L19" s="8">
        <f ca="1">C19+E19+H19+J19</f>
        <v>2782428</v>
      </c>
      <c r="M19" s="46">
        <f ca="1">L19/$L$22</f>
        <v>0.14999999191353783</v>
      </c>
      <c r="N19" s="1"/>
    </row>
    <row r="20" spans="1:14" x14ac:dyDescent="0.2">
      <c r="A20" s="1"/>
      <c r="B20" s="42" t="s">
        <v>98</v>
      </c>
      <c r="C20" s="8"/>
      <c r="D20" s="1"/>
      <c r="E20" s="8"/>
      <c r="F20" s="1"/>
      <c r="G20" s="51">
        <v>3000000</v>
      </c>
      <c r="H20" s="8">
        <f ca="1">IFERROR(ROUND(G20/$H$24,0),0)</f>
        <v>695607</v>
      </c>
      <c r="I20" s="1"/>
      <c r="J20" s="8"/>
      <c r="K20" s="1"/>
      <c r="L20" s="8">
        <f ca="1">C20+E20+H20+J20</f>
        <v>695607</v>
      </c>
      <c r="M20" s="46">
        <f ca="1">L20/$L$22</f>
        <v>3.7499997978384457E-2</v>
      </c>
      <c r="N20" s="1"/>
    </row>
    <row r="21" spans="1:14" x14ac:dyDescent="0.2">
      <c r="A21" s="1"/>
      <c r="B21" s="19"/>
      <c r="C21" s="8"/>
      <c r="D21" s="1"/>
      <c r="E21" s="8"/>
      <c r="F21" s="1"/>
      <c r="G21" s="1"/>
      <c r="H21" s="8"/>
      <c r="I21" s="1"/>
      <c r="J21" s="8"/>
      <c r="K21" s="1"/>
      <c r="L21" s="8"/>
      <c r="M21" s="46"/>
      <c r="N21" s="1"/>
    </row>
    <row r="22" spans="1:14" x14ac:dyDescent="0.2">
      <c r="A22" s="1"/>
      <c r="B22" s="43" t="s">
        <v>69</v>
      </c>
      <c r="C22" s="16">
        <f>C15+SUM(C17:C20)</f>
        <v>9740263</v>
      </c>
      <c r="D22" s="69">
        <f>SUM(D10:D20)</f>
        <v>9825000</v>
      </c>
      <c r="E22" s="16">
        <f>SUM(E10:E20)</f>
        <v>2382031</v>
      </c>
      <c r="F22" s="1"/>
      <c r="G22" s="69">
        <f>SUM(G10:G20)</f>
        <v>20000000</v>
      </c>
      <c r="H22" s="16">
        <f ca="1">SUM(H10:H20)</f>
        <v>4637380</v>
      </c>
      <c r="I22" s="1"/>
      <c r="J22" s="16">
        <f ca="1">J14</f>
        <v>1789847</v>
      </c>
      <c r="K22" s="1"/>
      <c r="L22" s="17">
        <f ca="1">SUM(L17:L20)+L15</f>
        <v>18549521</v>
      </c>
      <c r="M22" s="65">
        <f ca="1">SUM(M17:M20)+M15</f>
        <v>0.99999999999999989</v>
      </c>
      <c r="N22" s="1"/>
    </row>
    <row r="23" spans="1:14" ht="13.75" customHeight="1" thickBot="1" x14ac:dyDescent="0.25">
      <c r="A23" s="1"/>
      <c r="B23" s="19"/>
      <c r="C23" s="1"/>
      <c r="D23" s="1"/>
      <c r="E23" s="1"/>
      <c r="F23" s="1"/>
      <c r="G23" s="1"/>
      <c r="H23" s="1"/>
      <c r="I23" s="1"/>
      <c r="J23" s="1"/>
      <c r="K23" s="1"/>
      <c r="L23" s="1"/>
      <c r="M23" s="55"/>
      <c r="N23" s="1"/>
    </row>
    <row r="24" spans="1:14" ht="13.75" customHeight="1" thickBot="1" x14ac:dyDescent="0.25">
      <c r="A24" s="1"/>
      <c r="B24" s="43" t="s">
        <v>100</v>
      </c>
      <c r="C24" s="1"/>
      <c r="D24" s="1"/>
      <c r="E24" s="63">
        <f>(50000000-'SAFE Investments'!C27)/'Detailed Cap Table'!G23</f>
        <v>4.1246319529565065</v>
      </c>
      <c r="F24" s="1"/>
      <c r="G24" s="1"/>
      <c r="H24" s="63">
        <f ca="1">H26/L22</f>
        <v>4.3127798286543353</v>
      </c>
      <c r="I24" s="1"/>
      <c r="J24" s="1"/>
      <c r="K24" s="1"/>
      <c r="L24" s="1"/>
      <c r="M24" s="55"/>
      <c r="N24" s="1"/>
    </row>
    <row r="25" spans="1:14" x14ac:dyDescent="0.2">
      <c r="A25" s="1"/>
      <c r="B25" s="19" t="s">
        <v>70</v>
      </c>
      <c r="C25" s="1"/>
      <c r="D25" s="1"/>
      <c r="E25" s="64">
        <f>E26-D22</f>
        <v>40175000</v>
      </c>
      <c r="F25" s="1"/>
      <c r="G25" s="1"/>
      <c r="H25" s="64">
        <f>H26-G22</f>
        <v>60000000</v>
      </c>
      <c r="I25" s="1"/>
      <c r="J25" s="1"/>
      <c r="K25" s="1"/>
      <c r="L25" s="1"/>
      <c r="M25" s="55"/>
      <c r="N25" s="1"/>
    </row>
    <row r="26" spans="1:14" ht="13.75" customHeight="1" thickBot="1" x14ac:dyDescent="0.25">
      <c r="A26" s="1"/>
      <c r="B26" s="20" t="s">
        <v>71</v>
      </c>
      <c r="C26" s="18"/>
      <c r="D26" s="18"/>
      <c r="E26" s="62">
        <v>50000000</v>
      </c>
      <c r="F26" s="18"/>
      <c r="G26" s="18"/>
      <c r="H26" s="62">
        <v>80000000</v>
      </c>
      <c r="I26" s="18"/>
      <c r="J26" s="18"/>
      <c r="K26" s="18"/>
      <c r="L26" s="18"/>
      <c r="M26" s="56"/>
      <c r="N26" s="1"/>
    </row>
    <row r="27" spans="1:14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E1C34-FB00-1941-98D2-BB5AC36E7A37}">
  <dimension ref="A1:W33"/>
  <sheetViews>
    <sheetView showGridLines="0" workbookViewId="0"/>
  </sheetViews>
  <sheetFormatPr baseColWidth="10" defaultRowHeight="16" x14ac:dyDescent="0.2"/>
  <cols>
    <col min="1" max="1" width="6.33203125" customWidth="1"/>
    <col min="2" max="2" width="35.5" customWidth="1"/>
    <col min="3" max="3" width="16.83203125" customWidth="1"/>
    <col min="4" max="4" width="17.6640625" customWidth="1"/>
    <col min="5" max="5" width="16.83203125" customWidth="1"/>
    <col min="6" max="6" width="3.33203125" customWidth="1"/>
    <col min="7" max="7" width="13.83203125" customWidth="1"/>
    <col min="8" max="8" width="3.33203125" customWidth="1"/>
    <col min="9" max="9" width="15.5" customWidth="1"/>
    <col min="10" max="10" width="16.83203125" customWidth="1"/>
    <col min="11" max="11" width="3.33203125" customWidth="1"/>
    <col min="12" max="12" width="13.83203125" customWidth="1"/>
    <col min="13" max="13" width="3.33203125" customWidth="1"/>
    <col min="14" max="14" width="15.5" customWidth="1"/>
    <col min="15" max="15" width="16.83203125" customWidth="1"/>
    <col min="16" max="16" width="3.33203125" customWidth="1"/>
    <col min="17" max="17" width="13.83203125" customWidth="1"/>
    <col min="18" max="18" width="3.33203125" customWidth="1"/>
    <col min="19" max="19" width="15.5" customWidth="1"/>
    <col min="20" max="20" width="9.33203125" customWidth="1"/>
    <col min="21" max="21" width="6.83203125" customWidth="1"/>
    <col min="22" max="22" width="15.5" customWidth="1"/>
    <col min="23" max="23" width="13" customWidth="1"/>
  </cols>
  <sheetData>
    <row r="1" spans="1:23" x14ac:dyDescent="0.2">
      <c r="A1" s="1"/>
      <c r="B1" s="15" t="s">
        <v>117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"/>
      <c r="V1" s="1"/>
      <c r="W1" s="1"/>
    </row>
    <row r="2" spans="1:23" ht="15.5" customHeight="1" x14ac:dyDescent="0.2">
      <c r="A2" s="1"/>
      <c r="B2" s="15" t="s">
        <v>119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"/>
      <c r="V2" s="1"/>
      <c r="W2" s="1"/>
    </row>
    <row r="3" spans="1:23" ht="16.25" customHeight="1" thickBot="1" x14ac:dyDescent="0.25">
      <c r="A3" s="1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"/>
      <c r="V3" s="1"/>
      <c r="W3" s="1"/>
    </row>
    <row r="4" spans="1:23" ht="13.75" customHeight="1" thickBot="1" x14ac:dyDescent="0.25">
      <c r="A4" s="1"/>
      <c r="B4" s="1"/>
      <c r="C4" s="34" t="s">
        <v>52</v>
      </c>
      <c r="D4" s="34" t="s">
        <v>26</v>
      </c>
      <c r="E4" s="39"/>
      <c r="F4" s="1"/>
      <c r="G4" s="39" t="s">
        <v>53</v>
      </c>
      <c r="H4" s="1"/>
      <c r="I4" s="34" t="s">
        <v>54</v>
      </c>
      <c r="J4" s="35"/>
      <c r="K4" s="1"/>
      <c r="L4" s="39" t="s">
        <v>53</v>
      </c>
      <c r="M4" s="1"/>
      <c r="N4" s="34" t="s">
        <v>73</v>
      </c>
      <c r="O4" s="35"/>
      <c r="P4" s="1"/>
      <c r="Q4" s="39" t="s">
        <v>53</v>
      </c>
      <c r="R4" s="1"/>
      <c r="S4" s="34" t="s">
        <v>55</v>
      </c>
      <c r="T4" s="35"/>
      <c r="U4" s="1"/>
      <c r="V4" s="1"/>
      <c r="W4" s="1"/>
    </row>
    <row r="5" spans="1:23" x14ac:dyDescent="0.2">
      <c r="A5" s="1"/>
      <c r="B5" s="1"/>
      <c r="C5" s="34" t="s">
        <v>56</v>
      </c>
      <c r="D5" s="34" t="s">
        <v>57</v>
      </c>
      <c r="E5" s="39" t="s">
        <v>58</v>
      </c>
      <c r="F5" s="1"/>
      <c r="G5" s="38" t="s">
        <v>59</v>
      </c>
      <c r="H5" s="1"/>
      <c r="I5" s="34" t="s">
        <v>57</v>
      </c>
      <c r="J5" s="35" t="s">
        <v>58</v>
      </c>
      <c r="K5" s="1"/>
      <c r="L5" s="38" t="s">
        <v>59</v>
      </c>
      <c r="M5" s="1"/>
      <c r="N5" s="34" t="s">
        <v>57</v>
      </c>
      <c r="O5" s="35" t="s">
        <v>58</v>
      </c>
      <c r="P5" s="1"/>
      <c r="Q5" s="38" t="s">
        <v>59</v>
      </c>
      <c r="R5" s="1"/>
      <c r="S5" s="34" t="s">
        <v>60</v>
      </c>
      <c r="T5" s="35" t="s">
        <v>61</v>
      </c>
      <c r="U5" s="1"/>
      <c r="V5" s="1"/>
      <c r="W5" s="1"/>
    </row>
    <row r="6" spans="1:23" ht="13.75" customHeight="1" thickBot="1" x14ac:dyDescent="0.25">
      <c r="A6" s="1"/>
      <c r="B6" s="59" t="s">
        <v>120</v>
      </c>
      <c r="C6" s="36" t="s">
        <v>62</v>
      </c>
      <c r="D6" s="36" t="s">
        <v>63</v>
      </c>
      <c r="E6" s="40" t="s">
        <v>62</v>
      </c>
      <c r="F6" s="1"/>
      <c r="G6" s="40" t="s">
        <v>64</v>
      </c>
      <c r="H6" s="1"/>
      <c r="I6" s="36" t="s">
        <v>63</v>
      </c>
      <c r="J6" s="37" t="s">
        <v>62</v>
      </c>
      <c r="K6" s="1"/>
      <c r="L6" s="40" t="s">
        <v>74</v>
      </c>
      <c r="M6" s="1"/>
      <c r="N6" s="36" t="s">
        <v>63</v>
      </c>
      <c r="O6" s="37" t="s">
        <v>62</v>
      </c>
      <c r="P6" s="1"/>
      <c r="Q6" s="40" t="s">
        <v>108</v>
      </c>
      <c r="R6" s="1"/>
      <c r="S6" s="36" t="s">
        <v>62</v>
      </c>
      <c r="T6" s="37" t="s">
        <v>65</v>
      </c>
      <c r="U6" s="1"/>
      <c r="V6" s="1"/>
      <c r="W6" s="1"/>
    </row>
    <row r="7" spans="1:23" x14ac:dyDescent="0.2">
      <c r="A7" s="1"/>
      <c r="B7" s="41" t="s">
        <v>66</v>
      </c>
      <c r="C7" s="53"/>
      <c r="D7" s="53"/>
      <c r="E7" s="53"/>
      <c r="F7" s="24"/>
      <c r="G7" s="53"/>
      <c r="H7" s="24"/>
      <c r="I7" s="53"/>
      <c r="J7" s="53"/>
      <c r="K7" s="24"/>
      <c r="L7" s="53"/>
      <c r="M7" s="24"/>
      <c r="N7" s="53"/>
      <c r="O7" s="53"/>
      <c r="P7" s="24"/>
      <c r="Q7" s="53"/>
      <c r="R7" s="24"/>
      <c r="S7" s="53"/>
      <c r="T7" s="55"/>
      <c r="U7" s="1"/>
      <c r="V7" s="1"/>
      <c r="W7" s="1"/>
    </row>
    <row r="8" spans="1:23" x14ac:dyDescent="0.2">
      <c r="A8" s="1"/>
      <c r="B8" s="42" t="s">
        <v>8</v>
      </c>
      <c r="C8" s="10">
        <f>SeriesA!C10</f>
        <v>3600000</v>
      </c>
      <c r="D8" s="1"/>
      <c r="E8" s="8"/>
      <c r="F8" s="1"/>
      <c r="G8" s="8"/>
      <c r="H8" s="1"/>
      <c r="I8" s="1"/>
      <c r="J8" s="8"/>
      <c r="K8" s="1"/>
      <c r="L8" s="8"/>
      <c r="M8" s="1"/>
      <c r="N8" s="1"/>
      <c r="O8" s="8"/>
      <c r="P8" s="1"/>
      <c r="Q8" s="8"/>
      <c r="R8" s="1"/>
      <c r="S8" s="8">
        <f>C8+E8+G8+J8+L8+O8+Q8</f>
        <v>3600000</v>
      </c>
      <c r="T8" s="46">
        <f ca="1">S8/$S$21</f>
        <v>0.14814398426579203</v>
      </c>
      <c r="U8" s="1"/>
      <c r="V8" s="1"/>
      <c r="W8" s="1"/>
    </row>
    <row r="9" spans="1:23" x14ac:dyDescent="0.2">
      <c r="A9" s="1"/>
      <c r="B9" s="42" t="s">
        <v>9</v>
      </c>
      <c r="C9" s="10">
        <f>SeriesA!C11</f>
        <v>3600000</v>
      </c>
      <c r="D9" s="1"/>
      <c r="E9" s="8"/>
      <c r="F9" s="1"/>
      <c r="G9" s="8"/>
      <c r="H9" s="1"/>
      <c r="I9" s="1"/>
      <c r="J9" s="8"/>
      <c r="K9" s="1"/>
      <c r="L9" s="8"/>
      <c r="M9" s="1"/>
      <c r="N9" s="1"/>
      <c r="O9" s="8"/>
      <c r="P9" s="1"/>
      <c r="Q9" s="8"/>
      <c r="R9" s="1"/>
      <c r="S9" s="8">
        <f>C9+E9+G9+J9+L9+O9+Q9</f>
        <v>3600000</v>
      </c>
      <c r="T9" s="46">
        <f ca="1">S9/$S$21</f>
        <v>0.14814398426579203</v>
      </c>
      <c r="U9" s="1"/>
      <c r="V9" s="1"/>
      <c r="W9" s="1"/>
    </row>
    <row r="10" spans="1:23" x14ac:dyDescent="0.2">
      <c r="A10" s="1"/>
      <c r="B10" s="42" t="s">
        <v>107</v>
      </c>
      <c r="C10" s="10">
        <f>SeriesA!C12</f>
        <v>2264315</v>
      </c>
      <c r="D10" s="1"/>
      <c r="E10" s="8"/>
      <c r="F10" s="1"/>
      <c r="G10" s="8"/>
      <c r="H10" s="1"/>
      <c r="I10" s="1"/>
      <c r="J10" s="8"/>
      <c r="K10" s="1"/>
      <c r="L10" s="8"/>
      <c r="M10" s="1"/>
      <c r="N10" s="1"/>
      <c r="O10" s="8"/>
      <c r="P10" s="1"/>
      <c r="Q10" s="8"/>
      <c r="R10" s="1"/>
      <c r="S10" s="8">
        <f>C10+E10+G10+J10+L10+O10+Q10</f>
        <v>2264315</v>
      </c>
      <c r="T10" s="46">
        <f ca="1">S10/$S$21</f>
        <v>9.3179068259110251E-2</v>
      </c>
      <c r="U10" s="1"/>
      <c r="V10" s="1"/>
      <c r="W10" s="1"/>
    </row>
    <row r="11" spans="1:23" x14ac:dyDescent="0.2">
      <c r="A11" s="1"/>
      <c r="B11" s="42" t="s">
        <v>79</v>
      </c>
      <c r="C11" s="10">
        <f>SeriesA!C13</f>
        <v>210843</v>
      </c>
      <c r="D11" s="1"/>
      <c r="E11" s="8"/>
      <c r="F11" s="1"/>
      <c r="G11" s="8"/>
      <c r="H11" s="1"/>
      <c r="I11" s="1"/>
      <c r="J11" s="8"/>
      <c r="K11" s="1"/>
      <c r="L11" s="8"/>
      <c r="M11" s="1"/>
      <c r="N11" s="1"/>
      <c r="O11" s="8"/>
      <c r="P11" s="1"/>
      <c r="Q11" s="8"/>
      <c r="R11" s="1"/>
      <c r="S11" s="8">
        <f>C11+E11+G11+J11+L11+O11+Q11</f>
        <v>210843</v>
      </c>
      <c r="T11" s="46">
        <f ca="1">S11/$S$21</f>
        <v>8.6764227984867746E-3</v>
      </c>
      <c r="U11" s="1"/>
      <c r="V11" s="1"/>
      <c r="W11" s="1"/>
    </row>
    <row r="12" spans="1:23" x14ac:dyDescent="0.2">
      <c r="A12" s="1"/>
      <c r="B12" s="42" t="s">
        <v>80</v>
      </c>
      <c r="C12" s="10">
        <f>SeriesA!C14</f>
        <v>65105</v>
      </c>
      <c r="D12" s="1"/>
      <c r="E12" s="8"/>
      <c r="F12" s="1"/>
      <c r="G12" s="8">
        <f ca="1">SeriesA!J14</f>
        <v>1789847</v>
      </c>
      <c r="H12" s="1"/>
      <c r="I12" s="1"/>
      <c r="J12" s="8"/>
      <c r="K12" s="1"/>
      <c r="L12" s="8"/>
      <c r="M12" s="1"/>
      <c r="N12" s="1"/>
      <c r="O12" s="8"/>
      <c r="P12" s="1"/>
      <c r="Q12" s="8">
        <f ca="1">IFERROR(ROUND(0.07*S21,0),0)</f>
        <v>1701048</v>
      </c>
      <c r="R12" s="1"/>
      <c r="S12" s="8">
        <f ca="1">C12+E12+G12+J12+L12+O12+Q12</f>
        <v>3556000</v>
      </c>
      <c r="T12" s="46">
        <f ca="1">S12/$S$21</f>
        <v>0.14633333556921013</v>
      </c>
      <c r="U12" s="1"/>
      <c r="V12" s="1"/>
      <c r="W12" s="1"/>
    </row>
    <row r="13" spans="1:23" ht="13.5" customHeight="1" x14ac:dyDescent="0.2">
      <c r="A13" s="1"/>
      <c r="B13" s="42"/>
      <c r="C13" s="8"/>
      <c r="D13" s="1"/>
      <c r="E13" s="8"/>
      <c r="F13" s="1"/>
      <c r="G13" s="8"/>
      <c r="H13" s="1"/>
      <c r="I13" s="1"/>
      <c r="J13" s="8"/>
      <c r="K13" s="1"/>
      <c r="L13" s="8"/>
      <c r="M13" s="1"/>
      <c r="N13" s="1"/>
      <c r="O13" s="8"/>
      <c r="P13" s="1"/>
      <c r="Q13" s="8"/>
      <c r="R13" s="1"/>
      <c r="S13" s="8"/>
      <c r="T13" s="46"/>
      <c r="U13" s="1"/>
      <c r="V13" s="5">
        <f ca="1">Q12/S21</f>
        <v>7.0000007818710283E-2</v>
      </c>
      <c r="W13" s="1"/>
    </row>
    <row r="14" spans="1:23" x14ac:dyDescent="0.2">
      <c r="A14" s="1"/>
      <c r="B14" s="43" t="s">
        <v>67</v>
      </c>
      <c r="C14" s="16">
        <f>SUM(C8:C12)</f>
        <v>9740263</v>
      </c>
      <c r="D14" s="1">
        <f>SUM(D8:D12)</f>
        <v>0</v>
      </c>
      <c r="E14" s="8">
        <f>SUM(E8:E12)</f>
        <v>0</v>
      </c>
      <c r="F14" s="1"/>
      <c r="G14" s="16">
        <f ca="1">SUM(G8:G12)</f>
        <v>1789847</v>
      </c>
      <c r="H14" s="1"/>
      <c r="I14" s="1">
        <f>SUM(I8:I12)</f>
        <v>0</v>
      </c>
      <c r="J14" s="8">
        <f>SUM(J8:J12)</f>
        <v>0</v>
      </c>
      <c r="K14" s="1"/>
      <c r="L14" s="16">
        <f>SUM(L8:L12)</f>
        <v>0</v>
      </c>
      <c r="M14" s="1"/>
      <c r="N14" s="1">
        <f>SUM(N8:N12)</f>
        <v>0</v>
      </c>
      <c r="O14" s="8">
        <f>SUM(O8:O12)</f>
        <v>0</v>
      </c>
      <c r="P14" s="1"/>
      <c r="Q14" s="16">
        <f ca="1">SUM(Q8:Q12)</f>
        <v>1701048</v>
      </c>
      <c r="R14" s="1"/>
      <c r="S14" s="8">
        <f ca="1">SUM(S8:S12)</f>
        <v>13231158</v>
      </c>
      <c r="T14" s="46">
        <f ca="1">S14/$S$21</f>
        <v>0.5444767951583912</v>
      </c>
      <c r="U14" s="1"/>
      <c r="V14" s="1"/>
      <c r="W14" s="1"/>
    </row>
    <row r="15" spans="1:23" x14ac:dyDescent="0.2">
      <c r="A15" s="1"/>
      <c r="B15" s="43" t="s">
        <v>68</v>
      </c>
      <c r="C15" s="8"/>
      <c r="D15" s="1"/>
      <c r="E15" s="8"/>
      <c r="F15" s="1"/>
      <c r="G15" s="8"/>
      <c r="H15" s="1"/>
      <c r="I15" s="1"/>
      <c r="J15" s="8"/>
      <c r="K15" s="1"/>
      <c r="L15" s="8"/>
      <c r="M15" s="1"/>
      <c r="N15" s="1"/>
      <c r="O15" s="8"/>
      <c r="P15" s="1"/>
      <c r="Q15" s="8"/>
      <c r="R15" s="1"/>
      <c r="S15" s="8"/>
      <c r="T15" s="46"/>
      <c r="U15" s="1"/>
      <c r="V15" s="1"/>
      <c r="W15" s="1"/>
    </row>
    <row r="16" spans="1:23" x14ac:dyDescent="0.2">
      <c r="A16" s="1"/>
      <c r="B16" s="42" t="s">
        <v>42</v>
      </c>
      <c r="C16" s="8"/>
      <c r="D16" s="50">
        <f>SeriesA!D17</f>
        <v>8000000</v>
      </c>
      <c r="E16" s="10">
        <f>SeriesA!E17</f>
        <v>1939567</v>
      </c>
      <c r="F16" s="1"/>
      <c r="G16" s="8"/>
      <c r="H16" s="1"/>
      <c r="I16" s="50">
        <f>SeriesA!G17</f>
        <v>5000000</v>
      </c>
      <c r="J16" s="10">
        <f ca="1">SeriesA!H17</f>
        <v>1159345</v>
      </c>
      <c r="K16" s="1"/>
      <c r="L16" s="8"/>
      <c r="M16" s="1"/>
      <c r="N16" s="51">
        <v>3750000</v>
      </c>
      <c r="O16" s="8">
        <f ca="1">IFERROR(ROUND(N16/$O$23,0),0)</f>
        <v>506264</v>
      </c>
      <c r="P16" s="1"/>
      <c r="Q16" s="8"/>
      <c r="R16" s="1"/>
      <c r="S16" s="8">
        <f ca="1">E16+C16+J16+O16</f>
        <v>3605176</v>
      </c>
      <c r="T16" s="46">
        <f ca="1">S16/$S$21</f>
        <v>0.14835698239428086</v>
      </c>
      <c r="U16" s="1"/>
      <c r="V16" s="1"/>
      <c r="W16" s="1"/>
    </row>
    <row r="17" spans="1:23" x14ac:dyDescent="0.2">
      <c r="A17" s="1"/>
      <c r="B17" s="42" t="s">
        <v>111</v>
      </c>
      <c r="C17" s="8"/>
      <c r="D17" s="50">
        <f>SeriesA!D18</f>
        <v>1825000</v>
      </c>
      <c r="E17" s="10">
        <f>SeriesA!E18</f>
        <v>442464</v>
      </c>
      <c r="F17" s="1"/>
      <c r="G17" s="8"/>
      <c r="H17" s="1"/>
      <c r="I17" s="60"/>
      <c r="J17" s="8"/>
      <c r="K17" s="1"/>
      <c r="L17" s="8"/>
      <c r="M17" s="1"/>
      <c r="N17" s="60"/>
      <c r="O17" s="8"/>
      <c r="P17" s="1"/>
      <c r="Q17" s="8"/>
      <c r="R17" s="1"/>
      <c r="S17" s="8">
        <f>E17+C17+J17+O17</f>
        <v>442464</v>
      </c>
      <c r="T17" s="46">
        <f ca="1">S17/$S$21</f>
        <v>1.8207883292827614E-2</v>
      </c>
      <c r="U17" s="1"/>
      <c r="V17" s="1"/>
      <c r="W17" s="1"/>
    </row>
    <row r="18" spans="1:23" x14ac:dyDescent="0.2">
      <c r="A18" s="1"/>
      <c r="B18" s="42" t="s">
        <v>118</v>
      </c>
      <c r="C18" s="8"/>
      <c r="D18" s="1"/>
      <c r="E18" s="8"/>
      <c r="F18" s="1"/>
      <c r="G18" s="8"/>
      <c r="H18" s="1"/>
      <c r="I18" s="50">
        <f>SeriesA!G19</f>
        <v>12000000</v>
      </c>
      <c r="J18" s="10">
        <f ca="1">SeriesA!H19</f>
        <v>2782428</v>
      </c>
      <c r="K18" s="1"/>
      <c r="L18" s="8"/>
      <c r="M18" s="1"/>
      <c r="N18" s="51">
        <v>9000000</v>
      </c>
      <c r="O18" s="8">
        <f ca="1">IFERROR(ROUND(N18/$O$23,0),0)</f>
        <v>1215034</v>
      </c>
      <c r="P18" s="1"/>
      <c r="Q18" s="8"/>
      <c r="R18" s="1"/>
      <c r="S18" s="8">
        <f ca="1">E18+C18+J18+O18</f>
        <v>3997462</v>
      </c>
      <c r="T18" s="46">
        <f ca="1">S18/$S$21</f>
        <v>0.16449998545308378</v>
      </c>
      <c r="U18" s="1"/>
      <c r="V18" s="1"/>
      <c r="W18" s="1"/>
    </row>
    <row r="19" spans="1:23" x14ac:dyDescent="0.2">
      <c r="A19" s="1"/>
      <c r="B19" s="42" t="s">
        <v>98</v>
      </c>
      <c r="C19" s="8"/>
      <c r="D19" s="1"/>
      <c r="E19" s="8"/>
      <c r="F19" s="1"/>
      <c r="G19" s="8"/>
      <c r="H19" s="1"/>
      <c r="I19" s="50">
        <f>SeriesA!G20</f>
        <v>3000000</v>
      </c>
      <c r="J19" s="10">
        <f ca="1">SeriesA!H20</f>
        <v>695607</v>
      </c>
      <c r="K19" s="1"/>
      <c r="L19" s="8"/>
      <c r="M19" s="1"/>
      <c r="N19" s="51">
        <v>2250000</v>
      </c>
      <c r="O19" s="8">
        <f ca="1">IFERROR(ROUND(N19/$O$23,0),0)</f>
        <v>303759</v>
      </c>
      <c r="P19" s="1"/>
      <c r="Q19" s="8"/>
      <c r="R19" s="1"/>
      <c r="S19" s="8">
        <f ca="1">E19+C19+J19+O19</f>
        <v>999366</v>
      </c>
      <c r="T19" s="46">
        <f ca="1">S19/$S$21</f>
        <v>4.112501693882431E-2</v>
      </c>
      <c r="U19" s="1"/>
      <c r="V19" s="1"/>
      <c r="W19" s="1"/>
    </row>
    <row r="20" spans="1:23" x14ac:dyDescent="0.2">
      <c r="A20" s="1"/>
      <c r="B20" s="42" t="s">
        <v>110</v>
      </c>
      <c r="C20" s="8"/>
      <c r="D20" s="1"/>
      <c r="E20" s="8"/>
      <c r="F20" s="1"/>
      <c r="G20" s="8"/>
      <c r="H20" s="1"/>
      <c r="I20" s="1"/>
      <c r="J20" s="8"/>
      <c r="K20" s="1"/>
      <c r="L20" s="8"/>
      <c r="M20" s="1"/>
      <c r="N20" s="51">
        <v>15000000</v>
      </c>
      <c r="O20" s="8">
        <f ca="1">IFERROR(ROUND(N20/$O$23,0),0)</f>
        <v>2025057</v>
      </c>
      <c r="P20" s="1"/>
      <c r="Q20" s="8"/>
      <c r="R20" s="1"/>
      <c r="S20" s="8">
        <f ca="1">E20+C20+J20+O20</f>
        <v>2025057</v>
      </c>
      <c r="T20" s="46">
        <f ca="1">S20/$S$21</f>
        <v>8.3333336762592233E-2</v>
      </c>
      <c r="U20" s="1"/>
      <c r="V20" s="1"/>
      <c r="W20" s="1"/>
    </row>
    <row r="21" spans="1:23" x14ac:dyDescent="0.2">
      <c r="A21" s="1"/>
      <c r="B21" s="43" t="s">
        <v>69</v>
      </c>
      <c r="C21" s="16">
        <f>C14+SUM(C16:C20)</f>
        <v>9740263</v>
      </c>
      <c r="D21" s="69">
        <f>SUM(D8:D20)</f>
        <v>9825000</v>
      </c>
      <c r="E21" s="16">
        <f>SUM(E8:E20)</f>
        <v>2382031</v>
      </c>
      <c r="F21" s="1"/>
      <c r="G21" s="16">
        <f ca="1">G12</f>
        <v>1789847</v>
      </c>
      <c r="H21" s="1"/>
      <c r="I21" s="69">
        <f>SUM(I16:I20)</f>
        <v>20000000</v>
      </c>
      <c r="J21" s="16">
        <f ca="1">SUM(J16:J20)</f>
        <v>4637380</v>
      </c>
      <c r="K21" s="1"/>
      <c r="L21" s="16">
        <f>L12</f>
        <v>0</v>
      </c>
      <c r="M21" s="1"/>
      <c r="N21" s="23">
        <f>SUM(N16:N20)</f>
        <v>30000000</v>
      </c>
      <c r="O21" s="16">
        <f ca="1">SUM(O16:O20)</f>
        <v>4050114</v>
      </c>
      <c r="P21" s="1"/>
      <c r="Q21" s="16">
        <f ca="1">Q12</f>
        <v>1701048</v>
      </c>
      <c r="R21" s="1"/>
      <c r="S21" s="17">
        <f ca="1">SUM(S16:S20)+S14</f>
        <v>24300683</v>
      </c>
      <c r="T21" s="65">
        <f ca="1">SUM(T16:T20)+T14</f>
        <v>1</v>
      </c>
      <c r="U21" s="1"/>
      <c r="V21" s="1"/>
      <c r="W21" s="1"/>
    </row>
    <row r="22" spans="1:23" ht="13.75" customHeight="1" thickBot="1" x14ac:dyDescent="0.25">
      <c r="A22" s="1"/>
      <c r="B22" s="19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55"/>
      <c r="U22" s="1"/>
      <c r="V22" s="1"/>
      <c r="W22" s="1"/>
    </row>
    <row r="23" spans="1:23" ht="13.75" customHeight="1" thickBot="1" x14ac:dyDescent="0.25">
      <c r="A23" s="1"/>
      <c r="B23" s="43" t="s">
        <v>100</v>
      </c>
      <c r="C23" s="1"/>
      <c r="D23" s="1"/>
      <c r="E23" s="67">
        <f>SeriesA!E24</f>
        <v>4.1246319529565065</v>
      </c>
      <c r="F23" s="1"/>
      <c r="G23" s="1"/>
      <c r="H23" s="1"/>
      <c r="I23" s="1"/>
      <c r="J23" s="67">
        <f ca="1">SeriesA!H24</f>
        <v>4.3127798286543353</v>
      </c>
      <c r="K23" s="1"/>
      <c r="L23" s="1"/>
      <c r="M23" s="1"/>
      <c r="N23" s="1"/>
      <c r="O23" s="63">
        <f ca="1">O25/S21</f>
        <v>7.4071992132896014</v>
      </c>
      <c r="P23" s="1"/>
      <c r="Q23" s="1"/>
      <c r="R23" s="1"/>
      <c r="S23" s="1"/>
      <c r="T23" s="55"/>
      <c r="U23" s="1"/>
      <c r="V23" s="1"/>
      <c r="W23" s="1"/>
    </row>
    <row r="24" spans="1:23" x14ac:dyDescent="0.2">
      <c r="A24" s="1"/>
      <c r="B24" s="19" t="s">
        <v>70</v>
      </c>
      <c r="C24" s="1"/>
      <c r="D24" s="1"/>
      <c r="E24" s="68">
        <f>SeriesA!E25</f>
        <v>40175000</v>
      </c>
      <c r="F24" s="1"/>
      <c r="G24" s="1"/>
      <c r="H24" s="1"/>
      <c r="I24" s="1"/>
      <c r="J24" s="68">
        <f>SeriesA!H25</f>
        <v>60000000</v>
      </c>
      <c r="K24" s="1"/>
      <c r="L24" s="1"/>
      <c r="M24" s="1"/>
      <c r="N24" s="1"/>
      <c r="O24" s="64">
        <f>O25-N21</f>
        <v>150000000</v>
      </c>
      <c r="P24" s="1"/>
      <c r="Q24" s="1"/>
      <c r="R24" s="1"/>
      <c r="S24" s="1"/>
      <c r="T24" s="55"/>
      <c r="U24" s="1"/>
      <c r="V24" s="1"/>
      <c r="W24" s="1"/>
    </row>
    <row r="25" spans="1:23" ht="13.75" customHeight="1" thickBot="1" x14ac:dyDescent="0.25">
      <c r="A25" s="1"/>
      <c r="B25" s="20" t="s">
        <v>71</v>
      </c>
      <c r="C25" s="18"/>
      <c r="D25" s="18"/>
      <c r="E25" s="66">
        <f>SeriesA!E26</f>
        <v>50000000</v>
      </c>
      <c r="F25" s="18"/>
      <c r="G25" s="18"/>
      <c r="H25" s="18"/>
      <c r="I25" s="18"/>
      <c r="J25" s="66">
        <f>SeriesA!H26</f>
        <v>80000000</v>
      </c>
      <c r="K25" s="18"/>
      <c r="L25" s="18"/>
      <c r="M25" s="18"/>
      <c r="N25" s="18"/>
      <c r="O25" s="62">
        <v>180000000</v>
      </c>
      <c r="P25" s="18"/>
      <c r="Q25" s="18"/>
      <c r="R25" s="18"/>
      <c r="S25" s="18"/>
      <c r="T25" s="56"/>
      <c r="U25" s="1"/>
      <c r="V25" s="1"/>
      <c r="W25" s="1"/>
    </row>
    <row r="26" spans="1:23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x14ac:dyDescent="0.2">
      <c r="A27" s="1"/>
      <c r="B27" s="31" t="s">
        <v>75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x14ac:dyDescent="0.2">
      <c r="A29" s="1"/>
      <c r="B29" s="1" t="s">
        <v>77</v>
      </c>
      <c r="C29" s="5">
        <f>O24/J25-1</f>
        <v>0.875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x14ac:dyDescent="0.2">
      <c r="A30" s="1"/>
      <c r="B30" s="1" t="s">
        <v>72</v>
      </c>
      <c r="C30" s="60">
        <v>30000000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x14ac:dyDescent="0.2">
      <c r="A31" s="1"/>
      <c r="B31" s="1" t="s">
        <v>76</v>
      </c>
      <c r="C31" s="5">
        <f>C30/O25</f>
        <v>0.16666666666666666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96A83-CB1C-BC4F-9AED-6F7CB85C5B5F}">
  <dimension ref="A1:X81"/>
  <sheetViews>
    <sheetView showGridLines="0" tabSelected="1" workbookViewId="0"/>
  </sheetViews>
  <sheetFormatPr baseColWidth="10" defaultRowHeight="16" x14ac:dyDescent="0.2"/>
  <cols>
    <col min="1" max="1" width="11.1640625" customWidth="1"/>
    <col min="2" max="2" width="26.33203125" customWidth="1"/>
    <col min="3" max="3" width="13" customWidth="1"/>
    <col min="4" max="4" width="16.83203125" customWidth="1"/>
    <col min="5" max="6" width="11.1640625" customWidth="1"/>
    <col min="7" max="7" width="11.83203125" customWidth="1"/>
    <col min="8" max="8" width="11.1640625" customWidth="1"/>
    <col min="9" max="24" width="17.5" customWidth="1"/>
  </cols>
  <sheetData>
    <row r="1" spans="1:24" x14ac:dyDescent="0.2">
      <c r="A1" s="1"/>
      <c r="B1" s="2" t="s">
        <v>121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4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24" x14ac:dyDescent="0.2">
      <c r="A3" s="1"/>
      <c r="B3" s="11" t="s">
        <v>81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1:24" x14ac:dyDescent="0.2">
      <c r="A4" s="1"/>
      <c r="B4" s="1" t="s">
        <v>82</v>
      </c>
      <c r="C4" s="1"/>
      <c r="D4" s="1"/>
      <c r="E4" s="1"/>
      <c r="F4" s="1"/>
      <c r="G4" s="1"/>
      <c r="H4" s="1"/>
      <c r="I4" s="32">
        <f>+I7/I5</f>
        <v>8333333.333333333</v>
      </c>
      <c r="J4" s="32">
        <f>+J7/J5</f>
        <v>11666666.666666666</v>
      </c>
      <c r="K4" s="32">
        <f>+K7/K5</f>
        <v>15000000</v>
      </c>
      <c r="L4" s="32">
        <f>+L7/L5</f>
        <v>18333333.333333332</v>
      </c>
      <c r="M4" s="32">
        <f>+M7/M5</f>
        <v>21666666.666666668</v>
      </c>
      <c r="N4" s="32">
        <f>+N7/N5</f>
        <v>25000000</v>
      </c>
      <c r="O4" s="32">
        <f>+O7/O5</f>
        <v>28333333.333333332</v>
      </c>
      <c r="P4" s="32">
        <f>+P7/P5</f>
        <v>31666666.666666668</v>
      </c>
      <c r="Q4" s="32">
        <f>+Q7/Q5</f>
        <v>35000000</v>
      </c>
      <c r="R4" s="32">
        <f>+R7/R5</f>
        <v>38333333.333333336</v>
      </c>
      <c r="S4" s="32">
        <f>+S7/S5</f>
        <v>41666666.666666664</v>
      </c>
      <c r="T4" s="32">
        <f>+T7/T5</f>
        <v>45000000</v>
      </c>
      <c r="U4" s="32">
        <f>+U7/U5</f>
        <v>48333333.333333336</v>
      </c>
      <c r="V4" s="32">
        <f>+V7/V5</f>
        <v>51666666.666666664</v>
      </c>
      <c r="W4" s="32">
        <f>+W7/W5</f>
        <v>55000000</v>
      </c>
      <c r="X4" s="32">
        <f>+X7/X5</f>
        <v>58333333.333333336</v>
      </c>
    </row>
    <row r="5" spans="1:24" x14ac:dyDescent="0.2">
      <c r="A5" s="1"/>
      <c r="B5" s="1" t="s">
        <v>83</v>
      </c>
      <c r="C5" s="1"/>
      <c r="D5" s="1"/>
      <c r="E5" s="1"/>
      <c r="F5" s="1"/>
      <c r="G5" s="1"/>
      <c r="H5" s="1"/>
      <c r="I5" s="3">
        <v>6</v>
      </c>
      <c r="J5" s="3">
        <f>+I5</f>
        <v>6</v>
      </c>
      <c r="K5" s="3">
        <f>+J5</f>
        <v>6</v>
      </c>
      <c r="L5" s="3">
        <f>+K5</f>
        <v>6</v>
      </c>
      <c r="M5" s="3">
        <f>+L5</f>
        <v>6</v>
      </c>
      <c r="N5" s="3">
        <f>+M5</f>
        <v>6</v>
      </c>
      <c r="O5" s="3">
        <f>+N5</f>
        <v>6</v>
      </c>
      <c r="P5" s="3">
        <f>+O5</f>
        <v>6</v>
      </c>
      <c r="Q5" s="3">
        <f>+P5</f>
        <v>6</v>
      </c>
      <c r="R5" s="3">
        <f>+Q5</f>
        <v>6</v>
      </c>
      <c r="S5" s="3">
        <f>+R5</f>
        <v>6</v>
      </c>
      <c r="T5" s="3">
        <f>+S5</f>
        <v>6</v>
      </c>
      <c r="U5" s="3">
        <f>+T5</f>
        <v>6</v>
      </c>
      <c r="V5" s="3">
        <f>+U5</f>
        <v>6</v>
      </c>
      <c r="W5" s="3">
        <f>+V5</f>
        <v>6</v>
      </c>
      <c r="X5" s="3">
        <f>+W5</f>
        <v>6</v>
      </c>
    </row>
    <row r="6" spans="1:24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 x14ac:dyDescent="0.2">
      <c r="A7" s="1"/>
      <c r="B7" s="31" t="s">
        <v>84</v>
      </c>
      <c r="C7" s="1"/>
      <c r="D7" s="1"/>
      <c r="E7" s="1"/>
      <c r="F7" s="1"/>
      <c r="G7" s="1"/>
      <c r="H7" s="1"/>
      <c r="I7" s="72">
        <v>50000000</v>
      </c>
      <c r="J7" s="76">
        <f>+I7+20000000</f>
        <v>70000000</v>
      </c>
      <c r="K7" s="76">
        <f>+J7+20000000</f>
        <v>90000000</v>
      </c>
      <c r="L7" s="76">
        <f>+K7+20000000</f>
        <v>110000000</v>
      </c>
      <c r="M7" s="76">
        <f>+L7+20000000</f>
        <v>130000000</v>
      </c>
      <c r="N7" s="76">
        <f>+M7+20000000</f>
        <v>150000000</v>
      </c>
      <c r="O7" s="76">
        <f>+N7+20000000</f>
        <v>170000000</v>
      </c>
      <c r="P7" s="76">
        <f>+O7+20000000</f>
        <v>190000000</v>
      </c>
      <c r="Q7" s="76">
        <f>+P7+20000000</f>
        <v>210000000</v>
      </c>
      <c r="R7" s="76">
        <f>+Q7+20000000</f>
        <v>230000000</v>
      </c>
      <c r="S7" s="76">
        <f>+R7+20000000</f>
        <v>250000000</v>
      </c>
      <c r="T7" s="76">
        <f>+S7+20000000</f>
        <v>270000000</v>
      </c>
      <c r="U7" s="76">
        <f>+T7+20000000</f>
        <v>290000000</v>
      </c>
      <c r="V7" s="76">
        <f>+U7+20000000</f>
        <v>310000000</v>
      </c>
      <c r="W7" s="76">
        <f>+V7+20000000</f>
        <v>330000000</v>
      </c>
      <c r="X7" s="76">
        <f>+W7+20000000</f>
        <v>350000000</v>
      </c>
    </row>
    <row r="8" spans="1:24" x14ac:dyDescent="0.2">
      <c r="A8" s="1"/>
      <c r="B8" s="1" t="s">
        <v>122</v>
      </c>
      <c r="C8" s="1"/>
      <c r="D8" s="1"/>
      <c r="E8" s="1"/>
      <c r="F8" s="1"/>
      <c r="G8" s="1"/>
      <c r="H8" s="1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</row>
    <row r="9" spans="1:24" x14ac:dyDescent="0.2">
      <c r="A9" s="1"/>
      <c r="B9" s="1" t="s">
        <v>123</v>
      </c>
      <c r="C9" s="1"/>
      <c r="D9" s="1"/>
      <c r="E9" s="1"/>
      <c r="F9" s="1"/>
      <c r="G9" s="1"/>
      <c r="H9" s="1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</row>
    <row r="10" spans="1:24" x14ac:dyDescent="0.2">
      <c r="A10" s="1"/>
      <c r="B10" s="1" t="s">
        <v>124</v>
      </c>
      <c r="C10" s="1"/>
      <c r="D10" s="1"/>
      <c r="E10" s="1"/>
      <c r="F10" s="1"/>
      <c r="G10" s="1"/>
      <c r="H10" s="1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</row>
    <row r="11" spans="1:24" x14ac:dyDescent="0.2">
      <c r="A11" s="1"/>
      <c r="B11" s="1" t="s">
        <v>125</v>
      </c>
      <c r="C11" s="1"/>
      <c r="D11" s="1"/>
      <c r="E11" s="9">
        <v>1.4999999999999999E-2</v>
      </c>
      <c r="F11" s="1"/>
      <c r="G11" s="1"/>
      <c r="H11" s="1"/>
      <c r="I11" s="77">
        <f>+-$E$11*I7</f>
        <v>-750000</v>
      </c>
      <c r="J11" s="77">
        <f>+-$E$11*J7</f>
        <v>-1050000</v>
      </c>
      <c r="K11" s="77">
        <f>+-$E$11*K7</f>
        <v>-1350000</v>
      </c>
      <c r="L11" s="77">
        <f>+-$E$11*L7</f>
        <v>-1650000</v>
      </c>
      <c r="M11" s="77">
        <f>+-$E$11*M7</f>
        <v>-1950000</v>
      </c>
      <c r="N11" s="77">
        <f>+-$E$11*N7</f>
        <v>-2250000</v>
      </c>
      <c r="O11" s="77">
        <f>+-$E$11*O7</f>
        <v>-2550000</v>
      </c>
      <c r="P11" s="77">
        <f>+-$E$11*P7</f>
        <v>-2850000</v>
      </c>
      <c r="Q11" s="77">
        <f>+-$E$11*Q7</f>
        <v>-3150000</v>
      </c>
      <c r="R11" s="77">
        <f>+-$E$11*R7</f>
        <v>-3450000</v>
      </c>
      <c r="S11" s="77">
        <f>+-$E$11*S7</f>
        <v>-3750000</v>
      </c>
      <c r="T11" s="77">
        <f>+-$E$11*T7</f>
        <v>-4050000</v>
      </c>
      <c r="U11" s="77">
        <f>+-$E$11*U7</f>
        <v>-4350000</v>
      </c>
      <c r="V11" s="77">
        <f>+-$E$11*V7</f>
        <v>-4650000</v>
      </c>
      <c r="W11" s="77">
        <f>+-$E$11*W7</f>
        <v>-4950000</v>
      </c>
      <c r="X11" s="77">
        <f>+-$E$11*X7</f>
        <v>-5250000</v>
      </c>
    </row>
    <row r="12" spans="1:24" x14ac:dyDescent="0.2">
      <c r="A12" s="1"/>
      <c r="B12" s="31" t="s">
        <v>85</v>
      </c>
      <c r="C12" s="1"/>
      <c r="D12" s="1"/>
      <c r="E12" s="1"/>
      <c r="F12" s="1"/>
      <c r="G12" s="1"/>
      <c r="H12" s="1"/>
      <c r="I12" s="78">
        <f>+I7+SUM(I8:I11)</f>
        <v>49250000</v>
      </c>
      <c r="J12" s="78">
        <f>+J7+SUM(J8:J11)</f>
        <v>68950000</v>
      </c>
      <c r="K12" s="78">
        <f>+K7+SUM(K8:K11)</f>
        <v>88650000</v>
      </c>
      <c r="L12" s="78">
        <f>+L7+SUM(L8:L11)</f>
        <v>108350000</v>
      </c>
      <c r="M12" s="78">
        <f>+M7+SUM(M8:M11)</f>
        <v>128050000</v>
      </c>
      <c r="N12" s="78">
        <f>+N7+SUM(N8:N11)</f>
        <v>147750000</v>
      </c>
      <c r="O12" s="78">
        <f>+O7+SUM(O8:O11)</f>
        <v>167450000</v>
      </c>
      <c r="P12" s="78">
        <f>+P7+SUM(P8:P11)</f>
        <v>187150000</v>
      </c>
      <c r="Q12" s="78">
        <f>+Q7+SUM(Q8:Q11)</f>
        <v>206850000</v>
      </c>
      <c r="R12" s="78">
        <f>+R7+SUM(R8:R11)</f>
        <v>226550000</v>
      </c>
      <c r="S12" s="78">
        <f>+S7+SUM(S8:S11)</f>
        <v>246250000</v>
      </c>
      <c r="T12" s="78">
        <f>+T7+SUM(T8:T11)</f>
        <v>265950000</v>
      </c>
      <c r="U12" s="78">
        <f>+U7+SUM(U8:U11)</f>
        <v>285650000</v>
      </c>
      <c r="V12" s="78">
        <f>+V7+SUM(V8:V11)</f>
        <v>305350000</v>
      </c>
      <c r="W12" s="78">
        <f>+W7+SUM(W8:W11)</f>
        <v>325050000</v>
      </c>
      <c r="X12" s="78">
        <f>+X7+SUM(X8:X11)</f>
        <v>344750000</v>
      </c>
    </row>
    <row r="13" spans="1:24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 x14ac:dyDescent="0.2">
      <c r="A14" s="1"/>
      <c r="B14" s="1" t="s">
        <v>86</v>
      </c>
      <c r="C14" s="1"/>
      <c r="D14" s="1"/>
      <c r="E14" s="9">
        <v>0.1</v>
      </c>
      <c r="F14" s="1"/>
      <c r="G14" s="1"/>
      <c r="H14" s="1"/>
      <c r="I14" s="57">
        <f ca="1">+IF(I12&lt;(SUM(I19:I21)+($E$14*I12)),$E$14*I12,0)</f>
        <v>0</v>
      </c>
      <c r="J14" s="57">
        <f ca="1">+IF(J12&lt;(SUM(J19:J21)+($E$14*J12)),$E$14*J12,0)</f>
        <v>0</v>
      </c>
      <c r="K14" s="57">
        <f ca="1">+IF(K12&lt;(SUM(K19:K21)+($E$14*K12)),$E$14*K12,0)</f>
        <v>0</v>
      </c>
      <c r="L14" s="57">
        <f ca="1">+IF(L12&lt;(SUM(L19:L21)+($E$14*L12)),$E$14*L12,0)</f>
        <v>0</v>
      </c>
      <c r="M14" s="57">
        <f ca="1">+IF(M12&lt;(SUM(M19:M21)+($E$14*M12)),$E$14*M12,0)</f>
        <v>0</v>
      </c>
      <c r="N14" s="57">
        <f ca="1">+IF(N12&lt;(SUM(N19:N21)+($E$14*N12)),$E$14*N12,0)</f>
        <v>0</v>
      </c>
      <c r="O14" s="57">
        <f ca="1">+IF(O12&lt;(SUM(O19:O21)+($E$14*O12)),$E$14*O12,0)</f>
        <v>0</v>
      </c>
      <c r="P14" s="57">
        <f ca="1">+IF(P12&lt;(SUM(P19:P21)+($E$14*P12)),$E$14*P12,0)</f>
        <v>0</v>
      </c>
      <c r="Q14" s="57">
        <f ca="1">+IF(Q12&lt;(SUM(Q19:Q21)+($E$14*Q12)),$E$14*Q12,0)</f>
        <v>0</v>
      </c>
      <c r="R14" s="57">
        <f ca="1">+IF(R12&lt;(SUM(R19:R21)+($E$14*R12)),$E$14*R12,0)</f>
        <v>0</v>
      </c>
      <c r="S14" s="57">
        <f ca="1">+IF(S12&lt;(SUM(S19:S21)+($E$14*S12)),$E$14*S12,0)</f>
        <v>0</v>
      </c>
      <c r="T14" s="57">
        <f ca="1">+IF(T12&lt;(SUM(T19:T21)+($E$14*T12)),$E$14*T12,0)</f>
        <v>0</v>
      </c>
      <c r="U14" s="57">
        <f ca="1">+IF(U12&lt;(SUM(U19:U21)+($E$14*U12)),$E$14*U12,0)</f>
        <v>0</v>
      </c>
      <c r="V14" s="57">
        <f ca="1">+IF(V12&lt;(SUM(V19:V21)+($E$14*V12)),$E$14*V12,0)</f>
        <v>0</v>
      </c>
      <c r="W14" s="57">
        <f ca="1">+IF(W12&lt;(SUM(W19:W21)+($E$14*W12)),$E$14*W12,0)</f>
        <v>0</v>
      </c>
      <c r="X14" s="57">
        <f ca="1">+IF(X12&lt;(SUM(X19:X21)+($E$14*X12)),$E$14*X12,0)</f>
        <v>0</v>
      </c>
    </row>
    <row r="15" spans="1:24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 x14ac:dyDescent="0.2">
      <c r="A16" s="1"/>
      <c r="B16" s="31" t="s">
        <v>87</v>
      </c>
      <c r="C16" s="1"/>
      <c r="D16" s="1"/>
      <c r="E16" s="1"/>
      <c r="F16" s="1"/>
      <c r="G16" s="1"/>
      <c r="H16" s="1"/>
      <c r="I16" s="57">
        <f ca="1">+I12-I14</f>
        <v>49250000</v>
      </c>
      <c r="J16" s="57">
        <f ca="1">+J12-J14</f>
        <v>68950000</v>
      </c>
      <c r="K16" s="57">
        <f ca="1">+K12-K14</f>
        <v>88650000</v>
      </c>
      <c r="L16" s="57">
        <f ca="1">+L12-L14</f>
        <v>108350000</v>
      </c>
      <c r="M16" s="57">
        <f ca="1">+M12-M14</f>
        <v>128050000</v>
      </c>
      <c r="N16" s="57">
        <f ca="1">+N12-N14</f>
        <v>147750000</v>
      </c>
      <c r="O16" s="57">
        <f ca="1">+O12-O14</f>
        <v>167450000</v>
      </c>
      <c r="P16" s="57">
        <f ca="1">+P12-P14</f>
        <v>187150000</v>
      </c>
      <c r="Q16" s="57">
        <f ca="1">+Q12-Q14</f>
        <v>206850000</v>
      </c>
      <c r="R16" s="57">
        <f ca="1">+R12-R14</f>
        <v>226550000</v>
      </c>
      <c r="S16" s="57">
        <f ca="1">+S12-S14</f>
        <v>246250000</v>
      </c>
      <c r="T16" s="57">
        <f ca="1">+T12-T14</f>
        <v>265950000</v>
      </c>
      <c r="U16" s="57">
        <f ca="1">+U12-U14</f>
        <v>285650000</v>
      </c>
      <c r="V16" s="57">
        <f ca="1">+V12-V14</f>
        <v>305350000</v>
      </c>
      <c r="W16" s="57">
        <f ca="1">+W12-W14</f>
        <v>325050000</v>
      </c>
      <c r="X16" s="57">
        <f ca="1">+X12-X14</f>
        <v>344750000</v>
      </c>
    </row>
    <row r="17" spans="1:24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x14ac:dyDescent="0.2">
      <c r="A18" s="1"/>
      <c r="B18" s="1"/>
      <c r="C18" s="1"/>
      <c r="D18" s="1"/>
      <c r="E18" s="31" t="s">
        <v>88</v>
      </c>
      <c r="F18" s="31" t="s">
        <v>89</v>
      </c>
      <c r="G18" s="31" t="s">
        <v>62</v>
      </c>
      <c r="H18" s="31" t="s">
        <v>61</v>
      </c>
      <c r="I18" s="31" t="s">
        <v>90</v>
      </c>
      <c r="J18" s="31" t="s">
        <v>90</v>
      </c>
      <c r="K18" s="31" t="s">
        <v>90</v>
      </c>
      <c r="L18" s="31" t="s">
        <v>90</v>
      </c>
      <c r="M18" s="31" t="s">
        <v>90</v>
      </c>
      <c r="N18" s="31" t="s">
        <v>90</v>
      </c>
      <c r="O18" s="31" t="s">
        <v>90</v>
      </c>
      <c r="P18" s="31" t="s">
        <v>90</v>
      </c>
      <c r="Q18" s="31" t="s">
        <v>90</v>
      </c>
      <c r="R18" s="31" t="s">
        <v>90</v>
      </c>
      <c r="S18" s="31" t="s">
        <v>90</v>
      </c>
      <c r="T18" s="31" t="s">
        <v>90</v>
      </c>
      <c r="U18" s="31" t="s">
        <v>90</v>
      </c>
      <c r="V18" s="31" t="s">
        <v>90</v>
      </c>
      <c r="W18" s="31" t="s">
        <v>90</v>
      </c>
      <c r="X18" s="31" t="s">
        <v>90</v>
      </c>
    </row>
    <row r="19" spans="1:24" x14ac:dyDescent="0.2">
      <c r="A19" s="3" t="s">
        <v>91</v>
      </c>
      <c r="B19" s="1" t="str">
        <f>CONCATENATE("Max Series ",A19," per Share before Convert to Common")</f>
        <v>Max Series A per Share before Convert to Common</v>
      </c>
      <c r="C19" s="1"/>
      <c r="D19" s="1"/>
      <c r="E19" s="47">
        <v>1</v>
      </c>
      <c r="F19" s="61">
        <f ca="1">SeriesA!H24</f>
        <v>4.3127798286543353</v>
      </c>
      <c r="G19" s="21">
        <f ca="1">SUM(SeriesA!H17:'SeriesA'!H20)</f>
        <v>4637380</v>
      </c>
      <c r="H19" s="22">
        <f ca="1">I19/SUM($I$19:$I$21)</f>
        <v>0.67057833550820789</v>
      </c>
      <c r="I19" s="45">
        <f ca="1">+$G19*$F19*$E19</f>
        <v>19999998.921805043</v>
      </c>
      <c r="J19" s="45">
        <f ca="1">+$G19*$F19*$E19</f>
        <v>19999998.921805043</v>
      </c>
      <c r="K19" s="45">
        <f ca="1">+$G19*$F19*$E19</f>
        <v>19999998.921805043</v>
      </c>
      <c r="L19" s="45">
        <f ca="1">+$G19*$F19*$E19</f>
        <v>19999998.921805043</v>
      </c>
      <c r="M19" s="45">
        <f ca="1">+$G19*$F19*$E19</f>
        <v>19999998.921805043</v>
      </c>
      <c r="N19" s="45">
        <f ca="1">+$G19*$F19*$E19</f>
        <v>19999998.921805043</v>
      </c>
      <c r="O19" s="45">
        <f ca="1">+$G19*$F19*$E19</f>
        <v>19999998.921805043</v>
      </c>
      <c r="P19" s="45">
        <f ca="1">+$G19*$F19*$E19</f>
        <v>19999998.921805043</v>
      </c>
      <c r="Q19" s="45">
        <f ca="1">+$G19*$F19*$E19</f>
        <v>19999998.921805043</v>
      </c>
      <c r="R19" s="45">
        <f ca="1">+$G19*$F19*$E19</f>
        <v>19999998.921805043</v>
      </c>
      <c r="S19" s="45">
        <f ca="1">+$G19*$F19*$E19</f>
        <v>19999998.921805043</v>
      </c>
      <c r="T19" s="45">
        <f ca="1">+$G19*$F19*$E19</f>
        <v>19999998.921805043</v>
      </c>
      <c r="U19" s="45">
        <f ca="1">+$G19*$F19*$E19</f>
        <v>19999998.921805043</v>
      </c>
      <c r="V19" s="45">
        <f ca="1">+$G19*$F19*$E19</f>
        <v>19999998.921805043</v>
      </c>
      <c r="W19" s="45">
        <f ca="1">+$G19*$F19*$E19</f>
        <v>19999998.921805043</v>
      </c>
      <c r="X19" s="45">
        <f ca="1">+$G19*$F19*$E19</f>
        <v>19999998.921805043</v>
      </c>
    </row>
    <row r="20" spans="1:24" x14ac:dyDescent="0.2">
      <c r="A20" s="3" t="s">
        <v>26</v>
      </c>
      <c r="B20" s="1" t="str">
        <f>CONCATENATE("Max Series ",A20," per Share before Convert to Common")</f>
        <v>Max Series SAFE per Share before Convert to Common</v>
      </c>
      <c r="C20" s="1"/>
      <c r="D20" s="1"/>
      <c r="E20" s="47">
        <v>1</v>
      </c>
      <c r="F20" s="61">
        <f>SeriesA!E24</f>
        <v>4.1246319529565065</v>
      </c>
      <c r="G20" s="21">
        <f>SUM(SeriesA!E17:'SeriesA'!E18)</f>
        <v>2382031</v>
      </c>
      <c r="H20" s="22">
        <f ca="1">I20/SUM($I$19:$I$21)</f>
        <v>0.32942166449179211</v>
      </c>
      <c r="I20" s="45">
        <f>+$G20*$F20*$E20</f>
        <v>9825001.1755329408</v>
      </c>
      <c r="J20" s="45">
        <f>+$G20*$F20*$E20</f>
        <v>9825001.1755329408</v>
      </c>
      <c r="K20" s="45">
        <f>+$G20*$F20*$E20</f>
        <v>9825001.1755329408</v>
      </c>
      <c r="L20" s="45">
        <f>+$G20*$F20*$E20</f>
        <v>9825001.1755329408</v>
      </c>
      <c r="M20" s="45">
        <f>+$G20*$F20*$E20</f>
        <v>9825001.1755329408</v>
      </c>
      <c r="N20" s="45">
        <f>+$G20*$F20*$E20</f>
        <v>9825001.1755329408</v>
      </c>
      <c r="O20" s="45">
        <f>+$G20*$F20*$E20</f>
        <v>9825001.1755329408</v>
      </c>
      <c r="P20" s="45">
        <f>+$G20*$F20*$E20</f>
        <v>9825001.1755329408</v>
      </c>
      <c r="Q20" s="45">
        <f>+$G20*$F20*$E20</f>
        <v>9825001.1755329408</v>
      </c>
      <c r="R20" s="45">
        <f>+$G20*$F20*$E20</f>
        <v>9825001.1755329408</v>
      </c>
      <c r="S20" s="45">
        <f>+$G20*$F20*$E20</f>
        <v>9825001.1755329408</v>
      </c>
      <c r="T20" s="45">
        <f>+$G20*$F20*$E20</f>
        <v>9825001.1755329408</v>
      </c>
      <c r="U20" s="45">
        <f>+$G20*$F20*$E20</f>
        <v>9825001.1755329408</v>
      </c>
      <c r="V20" s="45">
        <f>+$G20*$F20*$E20</f>
        <v>9825001.1755329408</v>
      </c>
      <c r="W20" s="45">
        <f>+$G20*$F20*$E20</f>
        <v>9825001.1755329408</v>
      </c>
      <c r="X20" s="45">
        <f>+$G20*$F20*$E20</f>
        <v>9825001.1755329408</v>
      </c>
    </row>
    <row r="21" spans="1:24" x14ac:dyDescent="0.2">
      <c r="A21" s="1"/>
      <c r="B21" s="1"/>
      <c r="C21" s="1"/>
      <c r="D21" s="1"/>
      <c r="E21" s="1"/>
      <c r="F21" s="1"/>
      <c r="G21" s="1"/>
      <c r="H21" s="1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</row>
    <row r="22" spans="1:24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x14ac:dyDescent="0.2">
      <c r="A23" s="1"/>
      <c r="B23" s="31" t="s">
        <v>92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x14ac:dyDescent="0.2">
      <c r="A24" s="1" t="str">
        <f>A19</f>
        <v>A</v>
      </c>
      <c r="B24" s="1" t="str">
        <f>CONCATENATE("Aggregate Series ",A24," Preference at Point of Sale")</f>
        <v>Aggregate Series A Preference at Point of Sale</v>
      </c>
      <c r="C24" s="1"/>
      <c r="D24" s="1"/>
      <c r="E24" s="1"/>
      <c r="F24" s="1"/>
      <c r="G24" s="1"/>
      <c r="H24" s="1"/>
      <c r="I24" s="49">
        <f ca="1">I19</f>
        <v>19999998.921805043</v>
      </c>
      <c r="J24" s="49">
        <f ca="1">J19</f>
        <v>19999998.921805043</v>
      </c>
      <c r="K24" s="49">
        <f ca="1">K19</f>
        <v>19999998.921805043</v>
      </c>
      <c r="L24" s="49">
        <f ca="1">L19</f>
        <v>19999998.921805043</v>
      </c>
      <c r="M24" s="49">
        <f ca="1">M19</f>
        <v>19999998.921805043</v>
      </c>
      <c r="N24" s="49">
        <f ca="1">N19</f>
        <v>19999998.921805043</v>
      </c>
      <c r="O24" s="49">
        <f ca="1">O19</f>
        <v>19999998.921805043</v>
      </c>
      <c r="P24" s="49">
        <f ca="1">P19</f>
        <v>19999998.921805043</v>
      </c>
      <c r="Q24" s="49">
        <f ca="1">Q19</f>
        <v>19999998.921805043</v>
      </c>
      <c r="R24" s="49">
        <f ca="1">R19</f>
        <v>19999998.921805043</v>
      </c>
      <c r="S24" s="49">
        <f ca="1">S19</f>
        <v>19999998.921805043</v>
      </c>
      <c r="T24" s="49">
        <f ca="1">T19</f>
        <v>19999998.921805043</v>
      </c>
      <c r="U24" s="49">
        <f ca="1">U19</f>
        <v>19999998.921805043</v>
      </c>
      <c r="V24" s="49">
        <f ca="1">V19</f>
        <v>19999998.921805043</v>
      </c>
      <c r="W24" s="49">
        <f ca="1">W19</f>
        <v>19999998.921805043</v>
      </c>
      <c r="X24" s="49">
        <f ca="1">X19</f>
        <v>19999998.921805043</v>
      </c>
    </row>
    <row r="25" spans="1:24" x14ac:dyDescent="0.2">
      <c r="A25" s="1" t="str">
        <f>A24</f>
        <v>A</v>
      </c>
      <c r="B25" s="1" t="str">
        <f>CONCATENATE("Does Series ",A25," Convert/Lose Preference?")</f>
        <v>Does Series A Convert/Lose Preference?</v>
      </c>
      <c r="C25" s="1"/>
      <c r="D25" s="1"/>
      <c r="E25" s="1"/>
      <c r="F25" s="1"/>
      <c r="G25" s="1"/>
      <c r="H25" s="1"/>
      <c r="I25" s="49" t="str">
        <f ca="1">IF($F$19&lt;I$38,"yes","no")</f>
        <v>no</v>
      </c>
      <c r="J25" s="49" t="str">
        <f ca="1">IF($F$19&lt;J$38,"yes","no")</f>
        <v>no</v>
      </c>
      <c r="K25" s="49" t="str">
        <f ca="1">IF($F$19&lt;K$38,"yes","no")</f>
        <v>yes</v>
      </c>
      <c r="L25" s="49" t="str">
        <f ca="1">IF($F$19&lt;L$38,"yes","no")</f>
        <v>yes</v>
      </c>
      <c r="M25" s="49" t="str">
        <f ca="1">IF($F$19&lt;M$38,"yes","no")</f>
        <v>yes</v>
      </c>
      <c r="N25" s="49" t="str">
        <f ca="1">IF($F$19&lt;N$38,"yes","no")</f>
        <v>yes</v>
      </c>
      <c r="O25" s="49" t="str">
        <f ca="1">IF($F$19&lt;O$38,"yes","no")</f>
        <v>yes</v>
      </c>
      <c r="P25" s="49" t="str">
        <f ca="1">IF($F$19&lt;P$38,"yes","no")</f>
        <v>yes</v>
      </c>
      <c r="Q25" s="49" t="str">
        <f ca="1">IF($F$19&lt;Q$38,"yes","no")</f>
        <v>yes</v>
      </c>
      <c r="R25" s="49" t="str">
        <f ca="1">IF($F$19&lt;R$38,"yes","no")</f>
        <v>yes</v>
      </c>
      <c r="S25" s="49" t="str">
        <f ca="1">IF($F$19&lt;S$38,"yes","no")</f>
        <v>yes</v>
      </c>
      <c r="T25" s="49" t="str">
        <f ca="1">IF($F$19&lt;T$38,"yes","no")</f>
        <v>yes</v>
      </c>
      <c r="U25" s="49" t="str">
        <f ca="1">IF($F$19&lt;U$38,"yes","no")</f>
        <v>yes</v>
      </c>
      <c r="V25" s="49" t="str">
        <f ca="1">IF($F$19&lt;V$38,"yes","no")</f>
        <v>yes</v>
      </c>
      <c r="W25" s="49" t="str">
        <f ca="1">IF($F$19&lt;W$38,"yes","no")</f>
        <v>yes</v>
      </c>
      <c r="X25" s="49" t="str">
        <f ca="1">IF($F$19&lt;X$38,"yes","no")</f>
        <v>yes</v>
      </c>
    </row>
    <row r="26" spans="1:24" x14ac:dyDescent="0.2">
      <c r="A26" s="1" t="str">
        <f>A25</f>
        <v>A</v>
      </c>
      <c r="B26" s="1" t="str">
        <f>CONCATENATE("Series ",A26," total Preferred Payment")</f>
        <v>Series A total Preferred Payment</v>
      </c>
      <c r="C26" s="1"/>
      <c r="D26" s="1"/>
      <c r="E26" s="1"/>
      <c r="F26" s="1"/>
      <c r="G26" s="1"/>
      <c r="H26" s="1"/>
      <c r="I26" s="49">
        <f ca="1">+IF(I14=0,IF(I25="yes",0,I$19),$H$19*I16)</f>
        <v>19999998.921805043</v>
      </c>
      <c r="J26" s="49">
        <f ca="1">+IF(J14=0,IF(J25="yes",0,J$19),$H$19*J16)</f>
        <v>19999998.921805043</v>
      </c>
      <c r="K26" s="49">
        <f ca="1">+IF(K14=0,IF(K25="yes",0,K$19),$H$19*K16)</f>
        <v>0</v>
      </c>
      <c r="L26" s="49">
        <f ca="1">+IF(L14=0,IF(L25="yes",0,L$19),$H$19*L16)</f>
        <v>0</v>
      </c>
      <c r="M26" s="49">
        <f ca="1">+IF(M14=0,IF(M25="yes",0,M$19),$H$19*M16)</f>
        <v>0</v>
      </c>
      <c r="N26" s="49">
        <f ca="1">+IF(N14=0,IF(N25="yes",0,N$19),$H$19*N16)</f>
        <v>0</v>
      </c>
      <c r="O26" s="49">
        <f ca="1">+IF(O14=0,IF(O25="yes",0,O$19),$H$19*O16)</f>
        <v>0</v>
      </c>
      <c r="P26" s="49">
        <f ca="1">+IF(P14=0,IF(P25="yes",0,P$19),$H$19*P16)</f>
        <v>0</v>
      </c>
      <c r="Q26" s="49">
        <f ca="1">+IF(Q14=0,IF(Q25="yes",0,Q$19),$H$19*Q16)</f>
        <v>0</v>
      </c>
      <c r="R26" s="49">
        <f ca="1">+IF(R14=0,IF(R25="yes",0,R$19),$H$19*R16)</f>
        <v>0</v>
      </c>
      <c r="S26" s="49">
        <f ca="1">+IF(S14=0,IF(S25="yes",0,S$19),$H$19*S16)</f>
        <v>0</v>
      </c>
      <c r="T26" s="49">
        <f ca="1">+IF(T14=0,IF(T25="yes",0,T$19),$H$19*T16)</f>
        <v>0</v>
      </c>
      <c r="U26" s="49">
        <f ca="1">+IF(U14=0,IF(U25="yes",0,U$19),$H$19*U16)</f>
        <v>0</v>
      </c>
      <c r="V26" s="49">
        <f ca="1">+IF(V14=0,IF(V25="yes",0,V$19),$H$19*V16)</f>
        <v>0</v>
      </c>
      <c r="W26" s="49">
        <f ca="1">+IF(W14=0,IF(W25="yes",0,W$19),$H$19*W16)</f>
        <v>0</v>
      </c>
      <c r="X26" s="49">
        <f ca="1">+IF(X14=0,IF(X25="yes",0,X$19),$H$19*X16)</f>
        <v>0</v>
      </c>
    </row>
    <row r="27" spans="1:24" x14ac:dyDescent="0.2">
      <c r="A27" s="1" t="str">
        <f>A26</f>
        <v>A</v>
      </c>
      <c r="B27" s="1" t="str">
        <f>CONCATENATE("Series ",A27," Preferred Payment per Share")</f>
        <v>Series A Preferred Payment per Share</v>
      </c>
      <c r="C27" s="1"/>
      <c r="D27" s="1"/>
      <c r="E27" s="1"/>
      <c r="F27" s="1"/>
      <c r="G27" s="1"/>
      <c r="H27" s="1"/>
      <c r="I27" s="49">
        <f ca="1">+I26/$G$19</f>
        <v>4.3127798286543353</v>
      </c>
      <c r="J27" s="49">
        <f ca="1">+J26/$G$19</f>
        <v>4.3127798286543353</v>
      </c>
      <c r="K27" s="49">
        <f ca="1">+K26/$G$19</f>
        <v>0</v>
      </c>
      <c r="L27" s="49">
        <f ca="1">+L26/$G$19</f>
        <v>0</v>
      </c>
      <c r="M27" s="49">
        <f ca="1">+M26/$G$19</f>
        <v>0</v>
      </c>
      <c r="N27" s="49">
        <f ca="1">+N26/$G$19</f>
        <v>0</v>
      </c>
      <c r="O27" s="49">
        <f ca="1">+O26/$G$19</f>
        <v>0</v>
      </c>
      <c r="P27" s="49">
        <f ca="1">+P26/$G$19</f>
        <v>0</v>
      </c>
      <c r="Q27" s="49">
        <f ca="1">+Q26/$G$19</f>
        <v>0</v>
      </c>
      <c r="R27" s="49">
        <f ca="1">+R26/$G$19</f>
        <v>0</v>
      </c>
      <c r="S27" s="49">
        <f ca="1">+S26/$G$19</f>
        <v>0</v>
      </c>
      <c r="T27" s="49">
        <f ca="1">+T26/$G$19</f>
        <v>0</v>
      </c>
      <c r="U27" s="49">
        <f ca="1">+U26/$G$19</f>
        <v>0</v>
      </c>
      <c r="V27" s="49">
        <f ca="1">+V26/$G$19</f>
        <v>0</v>
      </c>
      <c r="W27" s="49">
        <f ca="1">+W26/$G$19</f>
        <v>0</v>
      </c>
      <c r="X27" s="49">
        <f ca="1">+X26/$G$19</f>
        <v>0</v>
      </c>
    </row>
    <row r="28" spans="1:24" x14ac:dyDescent="0.2">
      <c r="A28" s="1"/>
      <c r="B28" s="1"/>
      <c r="C28" s="1"/>
      <c r="D28" s="1"/>
      <c r="E28" s="1"/>
      <c r="F28" s="1"/>
      <c r="G28" s="1"/>
      <c r="H28" s="1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</row>
    <row r="29" spans="1:24" x14ac:dyDescent="0.2">
      <c r="A29" s="1" t="str">
        <f>A20</f>
        <v>SAFE</v>
      </c>
      <c r="B29" s="1" t="str">
        <f>CONCATENATE("Aggregate Series ",A29," Preference at Point of Sale")</f>
        <v>Aggregate Series SAFE Preference at Point of Sale</v>
      </c>
      <c r="C29" s="1"/>
      <c r="D29" s="1"/>
      <c r="E29" s="1"/>
      <c r="F29" s="1"/>
      <c r="G29" s="1"/>
      <c r="H29" s="1"/>
      <c r="I29" s="49">
        <f>I20</f>
        <v>9825001.1755329408</v>
      </c>
      <c r="J29" s="49">
        <f>J20</f>
        <v>9825001.1755329408</v>
      </c>
      <c r="K29" s="49">
        <f>K20</f>
        <v>9825001.1755329408</v>
      </c>
      <c r="L29" s="49">
        <f>L20</f>
        <v>9825001.1755329408</v>
      </c>
      <c r="M29" s="49">
        <f>M20</f>
        <v>9825001.1755329408</v>
      </c>
      <c r="N29" s="49">
        <f>N20</f>
        <v>9825001.1755329408</v>
      </c>
      <c r="O29" s="49">
        <f>O20</f>
        <v>9825001.1755329408</v>
      </c>
      <c r="P29" s="49">
        <f>P20</f>
        <v>9825001.1755329408</v>
      </c>
      <c r="Q29" s="49">
        <f>Q20</f>
        <v>9825001.1755329408</v>
      </c>
      <c r="R29" s="49">
        <f>R20</f>
        <v>9825001.1755329408</v>
      </c>
      <c r="S29" s="49">
        <f>S20</f>
        <v>9825001.1755329408</v>
      </c>
      <c r="T29" s="49">
        <f>T20</f>
        <v>9825001.1755329408</v>
      </c>
      <c r="U29" s="49">
        <f>U20</f>
        <v>9825001.1755329408</v>
      </c>
      <c r="V29" s="49">
        <f>V20</f>
        <v>9825001.1755329408</v>
      </c>
      <c r="W29" s="49">
        <f>W20</f>
        <v>9825001.1755329408</v>
      </c>
      <c r="X29" s="49">
        <f>X20</f>
        <v>9825001.1755329408</v>
      </c>
    </row>
    <row r="30" spans="1:24" x14ac:dyDescent="0.2">
      <c r="A30" s="1" t="str">
        <f>A29</f>
        <v>SAFE</v>
      </c>
      <c r="B30" s="1" t="str">
        <f>CONCATENATE("Does Series ",A30," Convert/Lose Preference?")</f>
        <v>Does Series SAFE Convert/Lose Preference?</v>
      </c>
      <c r="C30" s="1"/>
      <c r="D30" s="1"/>
      <c r="E30" s="1"/>
      <c r="F30" s="1"/>
      <c r="G30" s="1"/>
      <c r="H30" s="1"/>
      <c r="I30" s="49" t="str">
        <f ca="1">+IFERROR(IF($F$20&lt;I$38,"yes","no"),0)</f>
        <v>no</v>
      </c>
      <c r="J30" s="49" t="str">
        <f ca="1">+IFERROR(IF($F$20&lt;J$38,"yes","no"),0)</f>
        <v>no</v>
      </c>
      <c r="K30" s="49" t="str">
        <f ca="1">+IFERROR(IF($F$20&lt;K$38,"yes","no"),0)</f>
        <v>yes</v>
      </c>
      <c r="L30" s="49" t="str">
        <f ca="1">+IFERROR(IF($F$20&lt;L$38,"yes","no"),0)</f>
        <v>yes</v>
      </c>
      <c r="M30" s="49" t="str">
        <f ca="1">+IFERROR(IF($F$20&lt;M$38,"yes","no"),0)</f>
        <v>yes</v>
      </c>
      <c r="N30" s="49" t="str">
        <f ca="1">+IFERROR(IF($F$20&lt;N$38,"yes","no"),0)</f>
        <v>yes</v>
      </c>
      <c r="O30" s="49" t="str">
        <f ca="1">+IFERROR(IF($F$20&lt;O$38,"yes","no"),0)</f>
        <v>yes</v>
      </c>
      <c r="P30" s="49" t="str">
        <f ca="1">+IFERROR(IF($F$20&lt;P$38,"yes","no"),0)</f>
        <v>yes</v>
      </c>
      <c r="Q30" s="49" t="str">
        <f ca="1">+IFERROR(IF($F$20&lt;Q$38,"yes","no"),0)</f>
        <v>yes</v>
      </c>
      <c r="R30" s="49" t="str">
        <f ca="1">+IFERROR(IF($F$20&lt;R$38,"yes","no"),0)</f>
        <v>yes</v>
      </c>
      <c r="S30" s="49" t="str">
        <f ca="1">+IFERROR(IF($F$20&lt;S$38,"yes","no"),0)</f>
        <v>yes</v>
      </c>
      <c r="T30" s="49" t="str">
        <f ca="1">+IFERROR(IF($F$20&lt;T$38,"yes","no"),0)</f>
        <v>yes</v>
      </c>
      <c r="U30" s="49" t="str">
        <f ca="1">+IFERROR(IF($F$20&lt;U$38,"yes","no"),0)</f>
        <v>yes</v>
      </c>
      <c r="V30" s="49" t="str">
        <f ca="1">+IFERROR(IF($F$20&lt;V$38,"yes","no"),0)</f>
        <v>yes</v>
      </c>
      <c r="W30" s="49" t="str">
        <f ca="1">+IFERROR(IF($F$20&lt;W$38,"yes","no"),0)</f>
        <v>yes</v>
      </c>
      <c r="X30" s="49" t="str">
        <f ca="1">+IFERROR(IF($F$20&lt;X$38,"yes","no"),0)</f>
        <v>yes</v>
      </c>
    </row>
    <row r="31" spans="1:24" x14ac:dyDescent="0.2">
      <c r="A31" s="1" t="str">
        <f>A30</f>
        <v>SAFE</v>
      </c>
      <c r="B31" s="1" t="str">
        <f>CONCATENATE("Series ",A31," total Preferred Payment")</f>
        <v>Series SAFE total Preferred Payment</v>
      </c>
      <c r="C31" s="1"/>
      <c r="D31" s="1"/>
      <c r="E31" s="1"/>
      <c r="F31" s="1"/>
      <c r="G31" s="1"/>
      <c r="H31" s="1"/>
      <c r="I31" s="49">
        <f ca="1">+IF(I14=0,IF(I30="yes",0,I$20),$H$20*I16)</f>
        <v>9825001.1755329408</v>
      </c>
      <c r="J31" s="49">
        <f ca="1">+IF(J14=0,IF(J30="yes",0,J$20),$H$20*J16)</f>
        <v>9825001.1755329408</v>
      </c>
      <c r="K31" s="49">
        <f ca="1">+IF(K14=0,IF(K30="yes",0,K$20),$H$20*K16)</f>
        <v>0</v>
      </c>
      <c r="L31" s="49">
        <f ca="1">+IF(L14=0,IF(L30="yes",0,L$20),$H$20*L16)</f>
        <v>0</v>
      </c>
      <c r="M31" s="49">
        <f ca="1">+IF(M14=0,IF(M30="yes",0,M$20),$H$20*M16)</f>
        <v>0</v>
      </c>
      <c r="N31" s="49">
        <f ca="1">+IF(N14=0,IF(N30="yes",0,N$20),$H$20*N16)</f>
        <v>0</v>
      </c>
      <c r="O31" s="49">
        <f ca="1">+IF(O14=0,IF(O30="yes",0,O$20),$H$20*O16)</f>
        <v>0</v>
      </c>
      <c r="P31" s="49">
        <f ca="1">+IF(P14=0,IF(P30="yes",0,P$20),$H$20*P16)</f>
        <v>0</v>
      </c>
      <c r="Q31" s="49">
        <f ca="1">+IF(Q14=0,IF(Q30="yes",0,Q$20),$H$20*Q16)</f>
        <v>0</v>
      </c>
      <c r="R31" s="49">
        <f ca="1">+IF(R14=0,IF(R30="yes",0,R$20),$H$20*R16)</f>
        <v>0</v>
      </c>
      <c r="S31" s="49">
        <f ca="1">+IF(S14=0,IF(S30="yes",0,S$20),$H$20*S16)</f>
        <v>0</v>
      </c>
      <c r="T31" s="49">
        <f ca="1">+IF(T14=0,IF(T30="yes",0,T$20),$H$20*T16)</f>
        <v>0</v>
      </c>
      <c r="U31" s="49">
        <f ca="1">+IF(U14=0,IF(U30="yes",0,U$20),$H$20*U16)</f>
        <v>0</v>
      </c>
      <c r="V31" s="49">
        <f ca="1">+IF(V14=0,IF(V30="yes",0,V$20),$H$20*V16)</f>
        <v>0</v>
      </c>
      <c r="W31" s="49">
        <f ca="1">+IF(W14=0,IF(W30="yes",0,W$20),$H$20*W16)</f>
        <v>0</v>
      </c>
      <c r="X31" s="49">
        <f ca="1">+IF(X14=0,IF(X30="yes",0,X$20),$H$20*X16)</f>
        <v>0</v>
      </c>
    </row>
    <row r="32" spans="1:24" x14ac:dyDescent="0.2">
      <c r="A32" s="1" t="str">
        <f>A31</f>
        <v>SAFE</v>
      </c>
      <c r="B32" s="1" t="str">
        <f>CONCATENATE("Series ",A32," Preferred Payment per Share")</f>
        <v>Series SAFE Preferred Payment per Share</v>
      </c>
      <c r="C32" s="1"/>
      <c r="D32" s="1"/>
      <c r="E32" s="1"/>
      <c r="F32" s="1"/>
      <c r="G32" s="1"/>
      <c r="H32" s="1"/>
      <c r="I32" s="49">
        <f ca="1">+I31/$G$20</f>
        <v>4.1246319529565065</v>
      </c>
      <c r="J32" s="49">
        <f ca="1">+J31/$G$20</f>
        <v>4.1246319529565065</v>
      </c>
      <c r="K32" s="49">
        <f ca="1">+K31/$G$20</f>
        <v>0</v>
      </c>
      <c r="L32" s="49">
        <f ca="1">+L31/$G$20</f>
        <v>0</v>
      </c>
      <c r="M32" s="49">
        <f ca="1">+M31/$G$20</f>
        <v>0</v>
      </c>
      <c r="N32" s="49">
        <f ca="1">+N31/$G$20</f>
        <v>0</v>
      </c>
      <c r="O32" s="49">
        <f ca="1">+O31/$G$20</f>
        <v>0</v>
      </c>
      <c r="P32" s="49">
        <f ca="1">+P31/$G$20</f>
        <v>0</v>
      </c>
      <c r="Q32" s="49">
        <f ca="1">+Q31/$G$20</f>
        <v>0</v>
      </c>
      <c r="R32" s="49">
        <f ca="1">+R31/$G$20</f>
        <v>0</v>
      </c>
      <c r="S32" s="49">
        <f ca="1">+S31/$G$20</f>
        <v>0</v>
      </c>
      <c r="T32" s="49">
        <f ca="1">+T31/$G$20</f>
        <v>0</v>
      </c>
      <c r="U32" s="49">
        <f ca="1">+U31/$G$20</f>
        <v>0</v>
      </c>
      <c r="V32" s="49">
        <f ca="1">+V31/$G$20</f>
        <v>0</v>
      </c>
      <c r="W32" s="49">
        <f ca="1">+W31/$G$20</f>
        <v>0</v>
      </c>
      <c r="X32" s="49">
        <f ca="1">+X31/$G$20</f>
        <v>0</v>
      </c>
    </row>
    <row r="33" spans="1:24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x14ac:dyDescent="0.2">
      <c r="A34" s="1"/>
      <c r="B34" s="11" t="s">
        <v>93</v>
      </c>
      <c r="C34" s="1"/>
      <c r="D34" s="1"/>
      <c r="E34" s="1"/>
      <c r="F34" s="1"/>
      <c r="G34" s="1"/>
      <c r="H34" s="1"/>
      <c r="I34" s="57">
        <f ca="1">+I16-I26-I31</f>
        <v>19424999.902662016</v>
      </c>
      <c r="J34" s="57">
        <f ca="1">+J16-J26-J31</f>
        <v>39124999.902662024</v>
      </c>
      <c r="K34" s="57">
        <f ca="1">+K16-K26-K31</f>
        <v>88650000</v>
      </c>
      <c r="L34" s="57">
        <f ca="1">+L16-L26-L31</f>
        <v>108350000</v>
      </c>
      <c r="M34" s="57">
        <f ca="1">+M16-M26-M31</f>
        <v>128050000</v>
      </c>
      <c r="N34" s="57">
        <f ca="1">+N16-N26-N31</f>
        <v>147750000</v>
      </c>
      <c r="O34" s="57">
        <f ca="1">+O16-O26-O31</f>
        <v>167450000</v>
      </c>
      <c r="P34" s="57">
        <f ca="1">+P16-P26-P31</f>
        <v>187150000</v>
      </c>
      <c r="Q34" s="57">
        <f ca="1">+Q16-Q26-Q31</f>
        <v>206850000</v>
      </c>
      <c r="R34" s="57">
        <f ca="1">+R16-R26-R31</f>
        <v>226550000</v>
      </c>
      <c r="S34" s="57">
        <f ca="1">+S16-S26-S31</f>
        <v>246250000</v>
      </c>
      <c r="T34" s="57">
        <f ca="1">+T16-T26-T31</f>
        <v>265950000</v>
      </c>
      <c r="U34" s="57">
        <f ca="1">+U16-U26-U31</f>
        <v>285650000</v>
      </c>
      <c r="V34" s="57">
        <f ca="1">+V16-V26-V31</f>
        <v>305350000</v>
      </c>
      <c r="W34" s="57">
        <f ca="1">+W16-W26-W31</f>
        <v>325050000</v>
      </c>
      <c r="X34" s="57">
        <f ca="1">+X16-X26-X31</f>
        <v>344750000</v>
      </c>
    </row>
    <row r="35" spans="1:24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x14ac:dyDescent="0.2">
      <c r="A36" s="1"/>
      <c r="B36" s="31" t="s">
        <v>94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x14ac:dyDescent="0.2">
      <c r="A37" s="1"/>
      <c r="B37" s="1" t="s">
        <v>109</v>
      </c>
      <c r="C37" s="1"/>
      <c r="D37" s="1"/>
      <c r="E37" s="1"/>
      <c r="F37" s="1"/>
      <c r="G37" s="1"/>
      <c r="H37" s="1"/>
      <c r="I37" s="21">
        <f ca="1">SeriesA!$L$15+IF('PostA Returns'!I25="yes",'PostA Returns'!$G$19,0)+IF('PostA Returns'!I30="yes",'PostA Returns'!$G$20,0)</f>
        <v>11530110</v>
      </c>
      <c r="J37" s="21">
        <f ca="1">SeriesA!$L$15+IF('PostA Returns'!J25="yes",'PostA Returns'!$G$19,0)+IF('PostA Returns'!J30="yes",'PostA Returns'!$G$20,0)</f>
        <v>11530110</v>
      </c>
      <c r="K37" s="21">
        <f ca="1">SeriesA!$L$15+IF('PostA Returns'!K25="yes",'PostA Returns'!$G$19,0)+IF('PostA Returns'!K30="yes",'PostA Returns'!$G$20,0)</f>
        <v>18549521</v>
      </c>
      <c r="L37" s="21">
        <f ca="1">SeriesA!$L$15+IF('PostA Returns'!L25="yes",'PostA Returns'!$G$19,0)+IF('PostA Returns'!L30="yes",'PostA Returns'!$G$20,0)</f>
        <v>18549521</v>
      </c>
      <c r="M37" s="21">
        <f ca="1">SeriesA!$L$15+IF('PostA Returns'!M25="yes",'PostA Returns'!$G$19,0)+IF('PostA Returns'!M30="yes",'PostA Returns'!$G$20,0)</f>
        <v>18549521</v>
      </c>
      <c r="N37" s="21">
        <f ca="1">SeriesA!$L$15+IF('PostA Returns'!N25="yes",'PostA Returns'!$G$19,0)+IF('PostA Returns'!N30="yes",'PostA Returns'!$G$20,0)</f>
        <v>18549521</v>
      </c>
      <c r="O37" s="21">
        <f ca="1">SeriesA!$L$15+IF('PostA Returns'!O25="yes",'PostA Returns'!$G$19,0)+IF('PostA Returns'!O30="yes",'PostA Returns'!$G$20,0)</f>
        <v>18549521</v>
      </c>
      <c r="P37" s="21">
        <f ca="1">SeriesA!$L$15+IF('PostA Returns'!P25="yes",'PostA Returns'!$G$19,0)+IF('PostA Returns'!P30="yes",'PostA Returns'!$G$20,0)</f>
        <v>18549521</v>
      </c>
      <c r="Q37" s="21">
        <f ca="1">SeriesA!$L$15+IF('PostA Returns'!Q25="yes",'PostA Returns'!$G$19,0)+IF('PostA Returns'!Q30="yes",'PostA Returns'!$G$20,0)</f>
        <v>18549521</v>
      </c>
      <c r="R37" s="21">
        <f ca="1">SeriesA!$L$15+IF('PostA Returns'!R25="yes",'PostA Returns'!$G$19,0)+IF('PostA Returns'!R30="yes",'PostA Returns'!$G$20,0)</f>
        <v>18549521</v>
      </c>
      <c r="S37" s="21">
        <f ca="1">SeriesA!$L$15+IF('PostA Returns'!S25="yes",'PostA Returns'!$G$19,0)+IF('PostA Returns'!S30="yes",'PostA Returns'!$G$20,0)</f>
        <v>18549521</v>
      </c>
      <c r="T37" s="21">
        <f ca="1">SeriesA!$L$15+IF('PostA Returns'!T25="yes",'PostA Returns'!$G$19,0)+IF('PostA Returns'!T30="yes",'PostA Returns'!$G$20,0)</f>
        <v>18549521</v>
      </c>
      <c r="U37" s="21">
        <f ca="1">SeriesA!$L$15+IF('PostA Returns'!U25="yes",'PostA Returns'!$G$19,0)+IF('PostA Returns'!U30="yes",'PostA Returns'!$G$20,0)</f>
        <v>18549521</v>
      </c>
      <c r="V37" s="21">
        <f ca="1">SeriesA!$L$15+IF('PostA Returns'!V25="yes",'PostA Returns'!$G$19,0)+IF('PostA Returns'!V30="yes",'PostA Returns'!$G$20,0)</f>
        <v>18549521</v>
      </c>
      <c r="W37" s="21">
        <f ca="1">SeriesA!$L$15+IF('PostA Returns'!W25="yes",'PostA Returns'!$G$19,0)+IF('PostA Returns'!W30="yes",'PostA Returns'!$G$20,0)</f>
        <v>18549521</v>
      </c>
      <c r="X37" s="21">
        <f ca="1">SeriesA!$L$15+IF('PostA Returns'!X25="yes",'PostA Returns'!$G$19,0)+IF('PostA Returns'!X30="yes",'PostA Returns'!$G$20,0)</f>
        <v>18549521</v>
      </c>
    </row>
    <row r="38" spans="1:24" x14ac:dyDescent="0.2">
      <c r="A38" s="1"/>
      <c r="B38" s="1" t="s">
        <v>126</v>
      </c>
      <c r="C38" s="1"/>
      <c r="D38" s="1"/>
      <c r="E38" s="1"/>
      <c r="F38" s="1"/>
      <c r="G38" s="1"/>
      <c r="H38" s="1"/>
      <c r="I38" s="73">
        <f ca="1">+IFERROR(I34/I37,0)</f>
        <v>1.6847193914595799</v>
      </c>
      <c r="J38" s="73">
        <f ca="1">+IFERROR(J34/J37,0)</f>
        <v>3.3932893877562336</v>
      </c>
      <c r="K38" s="73">
        <f ca="1">+IFERROR(K34/K37,0)</f>
        <v>4.7790991476275853</v>
      </c>
      <c r="L38" s="73">
        <f ca="1">+IFERROR(L34/L37,0)</f>
        <v>5.8411211804337162</v>
      </c>
      <c r="M38" s="73">
        <f ca="1">+IFERROR(M34/M37,0)</f>
        <v>6.9031432132398463</v>
      </c>
      <c r="N38" s="73">
        <f ca="1">+IFERROR(N34/N37,0)</f>
        <v>7.9651652460459763</v>
      </c>
      <c r="O38" s="73">
        <f ca="1">+IFERROR(O34/O37,0)</f>
        <v>9.0271872788521055</v>
      </c>
      <c r="P38" s="73">
        <f ca="1">+IFERROR(P34/P37,0)</f>
        <v>10.089209311658236</v>
      </c>
      <c r="Q38" s="73">
        <f ca="1">+IFERROR(Q34/Q37,0)</f>
        <v>11.151231344464367</v>
      </c>
      <c r="R38" s="73">
        <f ca="1">+IFERROR(R34/R37,0)</f>
        <v>12.213253377270497</v>
      </c>
      <c r="S38" s="73">
        <f ca="1">+IFERROR(S34/S37,0)</f>
        <v>13.275275410076627</v>
      </c>
      <c r="T38" s="73">
        <f ca="1">+IFERROR(T34/T37,0)</f>
        <v>14.337297442882758</v>
      </c>
      <c r="U38" s="73">
        <f ca="1">+IFERROR(U34/U37,0)</f>
        <v>15.399319475688888</v>
      </c>
      <c r="V38" s="73">
        <f ca="1">+IFERROR(V34/V37,0)</f>
        <v>16.461341508495018</v>
      </c>
      <c r="W38" s="73">
        <f ca="1">+IFERROR(W34/W37,0)</f>
        <v>17.523363541301148</v>
      </c>
      <c r="X38" s="73">
        <f ca="1">+IFERROR(X34/X37,0)</f>
        <v>18.585385574107278</v>
      </c>
    </row>
    <row r="39" spans="1:24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 x14ac:dyDescent="0.2">
      <c r="A41" s="1"/>
      <c r="B41" s="31" t="s">
        <v>95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 x14ac:dyDescent="0.2">
      <c r="A42" s="1" t="str">
        <f>A19</f>
        <v>A</v>
      </c>
      <c r="B42" s="1" t="str">
        <f>CONCATENATE("Series ",A42)</f>
        <v>Series A</v>
      </c>
      <c r="C42" s="1"/>
      <c r="D42" s="1"/>
      <c r="E42" s="1"/>
      <c r="F42" s="1"/>
      <c r="G42" s="1"/>
      <c r="H42" s="1"/>
      <c r="I42" s="45">
        <f ca="1">+IF(I25="yes",I38,I27)</f>
        <v>4.3127798286543353</v>
      </c>
      <c r="J42" s="45">
        <f ca="1">+IF(J25="yes",J38,J27)</f>
        <v>4.3127798286543353</v>
      </c>
      <c r="K42" s="45">
        <f ca="1">+IF(K25="yes",K38,K27)</f>
        <v>4.7790991476275853</v>
      </c>
      <c r="L42" s="45">
        <f ca="1">+IF(L25="yes",L38,L27)</f>
        <v>5.8411211804337162</v>
      </c>
      <c r="M42" s="45">
        <f ca="1">+IF(M25="yes",M38,M27)</f>
        <v>6.9031432132398463</v>
      </c>
      <c r="N42" s="45">
        <f ca="1">+IF(N25="yes",N38,N27)</f>
        <v>7.9651652460459763</v>
      </c>
      <c r="O42" s="45">
        <f ca="1">+IF(O25="yes",O38,O27)</f>
        <v>9.0271872788521055</v>
      </c>
      <c r="P42" s="45">
        <f ca="1">+IF(P25="yes",P38,P27)</f>
        <v>10.089209311658236</v>
      </c>
      <c r="Q42" s="45">
        <f ca="1">+IF(Q25="yes",Q38,Q27)</f>
        <v>11.151231344464367</v>
      </c>
      <c r="R42" s="45">
        <f ca="1">+IF(R25="yes",R38,R27)</f>
        <v>12.213253377270497</v>
      </c>
      <c r="S42" s="45">
        <f ca="1">+IF(S25="yes",S38,S27)</f>
        <v>13.275275410076627</v>
      </c>
      <c r="T42" s="45">
        <f ca="1">+IF(T25="yes",T38,T27)</f>
        <v>14.337297442882758</v>
      </c>
      <c r="U42" s="45">
        <f ca="1">+IF(U25="yes",U38,U27)</f>
        <v>15.399319475688888</v>
      </c>
      <c r="V42" s="45">
        <f ca="1">+IF(V25="yes",V38,V27)</f>
        <v>16.461341508495018</v>
      </c>
      <c r="W42" s="45">
        <f ca="1">+IF(W25="yes",W38,W27)</f>
        <v>17.523363541301148</v>
      </c>
      <c r="X42" s="45">
        <f ca="1">+IF(X25="yes",X38,X27)</f>
        <v>18.585385574107278</v>
      </c>
    </row>
    <row r="43" spans="1:24" x14ac:dyDescent="0.2">
      <c r="A43" s="1" t="str">
        <f>A20</f>
        <v>SAFE</v>
      </c>
      <c r="B43" s="1" t="str">
        <f>CONCATENATE("Series ",A43)</f>
        <v>Series SAFE</v>
      </c>
      <c r="C43" s="1"/>
      <c r="D43" s="1"/>
      <c r="E43" s="1"/>
      <c r="F43" s="1"/>
      <c r="G43" s="1"/>
      <c r="H43" s="1"/>
      <c r="I43" s="45">
        <f ca="1">+IF(I30="yes",I38,I32)</f>
        <v>4.1246319529565065</v>
      </c>
      <c r="J43" s="45">
        <f ca="1">+IF(J30="yes",J38,J32)</f>
        <v>4.1246319529565065</v>
      </c>
      <c r="K43" s="45">
        <f ca="1">+IF(K30="yes",K38,K32)</f>
        <v>4.7790991476275853</v>
      </c>
      <c r="L43" s="45">
        <f ca="1">+IF(L30="yes",L38,L32)</f>
        <v>5.8411211804337162</v>
      </c>
      <c r="M43" s="45">
        <f ca="1">+IF(M30="yes",M38,M32)</f>
        <v>6.9031432132398463</v>
      </c>
      <c r="N43" s="45">
        <f ca="1">+IF(N30="yes",N38,N32)</f>
        <v>7.9651652460459763</v>
      </c>
      <c r="O43" s="45">
        <f ca="1">+IF(O30="yes",O38,O32)</f>
        <v>9.0271872788521055</v>
      </c>
      <c r="P43" s="45">
        <f ca="1">+IF(P30="yes",P38,P32)</f>
        <v>10.089209311658236</v>
      </c>
      <c r="Q43" s="45">
        <f ca="1">+IF(Q30="yes",Q38,Q32)</f>
        <v>11.151231344464367</v>
      </c>
      <c r="R43" s="45">
        <f ca="1">+IF(R30="yes",R38,R32)</f>
        <v>12.213253377270497</v>
      </c>
      <c r="S43" s="45">
        <f ca="1">+IF(S30="yes",S38,S32)</f>
        <v>13.275275410076627</v>
      </c>
      <c r="T43" s="45">
        <f ca="1">+IF(T30="yes",T38,T32)</f>
        <v>14.337297442882758</v>
      </c>
      <c r="U43" s="45">
        <f ca="1">+IF(U30="yes",U38,U32)</f>
        <v>15.399319475688888</v>
      </c>
      <c r="V43" s="45">
        <f ca="1">+IF(V30="yes",V38,V32)</f>
        <v>16.461341508495018</v>
      </c>
      <c r="W43" s="45">
        <f ca="1">+IF(W30="yes",W38,W32)</f>
        <v>17.523363541301148</v>
      </c>
      <c r="X43" s="45">
        <f ca="1">+IF(X30="yes",X38,X32)</f>
        <v>18.585385574107278</v>
      </c>
    </row>
    <row r="44" spans="1:24" x14ac:dyDescent="0.2">
      <c r="A44" s="1"/>
      <c r="B44" s="1" t="s">
        <v>78</v>
      </c>
      <c r="C44" s="1"/>
      <c r="D44" s="1"/>
      <c r="E44" s="1"/>
      <c r="F44" s="1"/>
      <c r="G44" s="1"/>
      <c r="H44" s="1"/>
      <c r="I44" s="45">
        <f ca="1">+I38</f>
        <v>1.6847193914595799</v>
      </c>
      <c r="J44" s="45">
        <f ca="1">+J38</f>
        <v>3.3932893877562336</v>
      </c>
      <c r="K44" s="45">
        <f ca="1">+K38</f>
        <v>4.7790991476275853</v>
      </c>
      <c r="L44" s="45">
        <f ca="1">+L38</f>
        <v>5.8411211804337162</v>
      </c>
      <c r="M44" s="45">
        <f ca="1">+M38</f>
        <v>6.9031432132398463</v>
      </c>
      <c r="N44" s="45">
        <f ca="1">+N38</f>
        <v>7.9651652460459763</v>
      </c>
      <c r="O44" s="45">
        <f ca="1">+O38</f>
        <v>9.0271872788521055</v>
      </c>
      <c r="P44" s="45">
        <f ca="1">+P38</f>
        <v>10.089209311658236</v>
      </c>
      <c r="Q44" s="45">
        <f ca="1">+Q38</f>
        <v>11.151231344464367</v>
      </c>
      <c r="R44" s="45">
        <f ca="1">+R38</f>
        <v>12.213253377270497</v>
      </c>
      <c r="S44" s="45">
        <f ca="1">+S38</f>
        <v>13.275275410076627</v>
      </c>
      <c r="T44" s="45">
        <f ca="1">+T38</f>
        <v>14.337297442882758</v>
      </c>
      <c r="U44" s="45">
        <f ca="1">+U38</f>
        <v>15.399319475688888</v>
      </c>
      <c r="V44" s="45">
        <f ca="1">+V38</f>
        <v>16.461341508495018</v>
      </c>
      <c r="W44" s="45">
        <f ca="1">+W38</f>
        <v>17.523363541301148</v>
      </c>
      <c r="X44" s="45">
        <f ca="1">+X38</f>
        <v>18.585385574107278</v>
      </c>
    </row>
    <row r="45" spans="1:24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 x14ac:dyDescent="0.2">
      <c r="A46" s="1"/>
      <c r="B46" s="31" t="s">
        <v>96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 x14ac:dyDescent="0.2">
      <c r="A47" s="1"/>
      <c r="B47" s="1" t="str">
        <f>B42</f>
        <v>Series A</v>
      </c>
      <c r="C47" s="1"/>
      <c r="D47" s="1"/>
      <c r="E47" s="1"/>
      <c r="F47" s="1"/>
      <c r="G47" s="1"/>
      <c r="H47" s="1"/>
      <c r="I47" s="45">
        <f ca="1">+I42*$G$19</f>
        <v>19999998.921805043</v>
      </c>
      <c r="J47" s="45">
        <f ca="1">+J42*$G$19</f>
        <v>19999998.921805043</v>
      </c>
      <c r="K47" s="45">
        <f ca="1">+K42*$G$19</f>
        <v>22162498.805225212</v>
      </c>
      <c r="L47" s="45">
        <f ca="1">+L42*$G$19</f>
        <v>27087498.539719708</v>
      </c>
      <c r="M47" s="45">
        <f ca="1">+M42*$G$19</f>
        <v>32012498.274214197</v>
      </c>
      <c r="N47" s="45">
        <f ca="1">+N42*$G$19</f>
        <v>36937498.008708693</v>
      </c>
      <c r="O47" s="45">
        <f ca="1">+O42*$G$19</f>
        <v>41862497.743203178</v>
      </c>
      <c r="P47" s="45">
        <f ca="1">+P42*$G$19</f>
        <v>46787497.47769767</v>
      </c>
      <c r="Q47" s="45">
        <f ca="1">+Q42*$G$19</f>
        <v>51712497.21219217</v>
      </c>
      <c r="R47" s="45">
        <f ca="1">+R42*$G$19</f>
        <v>56637496.946686663</v>
      </c>
      <c r="S47" s="45">
        <f ca="1">+S42*$G$19</f>
        <v>61562496.681181148</v>
      </c>
      <c r="T47" s="45">
        <f ca="1">+T42*$G$19</f>
        <v>66487496.41567564</v>
      </c>
      <c r="U47" s="45">
        <f ca="1">+U42*$G$19</f>
        <v>71412496.150170133</v>
      </c>
      <c r="V47" s="45">
        <f ca="1">+V42*$G$19</f>
        <v>76337495.884664625</v>
      </c>
      <c r="W47" s="45">
        <f ca="1">+W42*$G$19</f>
        <v>81262495.619159117</v>
      </c>
      <c r="X47" s="45">
        <f ca="1">+X42*$G$19</f>
        <v>86187495.35365361</v>
      </c>
    </row>
    <row r="48" spans="1:24" x14ac:dyDescent="0.2">
      <c r="A48" s="1"/>
      <c r="B48" s="1" t="str">
        <f>B43</f>
        <v>Series SAFE</v>
      </c>
      <c r="C48" s="1"/>
      <c r="D48" s="1"/>
      <c r="E48" s="1"/>
      <c r="F48" s="1"/>
      <c r="G48" s="1"/>
      <c r="H48" s="1"/>
      <c r="I48" s="45">
        <f ca="1">+I43*$G$20</f>
        <v>9825001.1755329408</v>
      </c>
      <c r="J48" s="45">
        <f ca="1">+J43*$G$20</f>
        <v>9825001.1755329408</v>
      </c>
      <c r="K48" s="45">
        <f ca="1">+K43*$G$20</f>
        <v>11383962.321722485</v>
      </c>
      <c r="L48" s="45">
        <f ca="1">+L43*$G$20</f>
        <v>13913731.726549705</v>
      </c>
      <c r="M48" s="45">
        <f ca="1">+M43*$G$20</f>
        <v>16443501.131376924</v>
      </c>
      <c r="N48" s="45">
        <f ca="1">+N43*$G$20</f>
        <v>18973270.536204144</v>
      </c>
      <c r="O48" s="45">
        <f ca="1">+O43*$G$20</f>
        <v>21503039.941031359</v>
      </c>
      <c r="P48" s="45">
        <f ca="1">+P43*$G$20</f>
        <v>24032809.345858578</v>
      </c>
      <c r="Q48" s="45">
        <f ca="1">+Q43*$G$20</f>
        <v>26562578.7506858</v>
      </c>
      <c r="R48" s="45">
        <f ca="1">+R43*$G$20</f>
        <v>29092348.155513022</v>
      </c>
      <c r="S48" s="45">
        <f ca="1">+S43*$G$20</f>
        <v>31622117.560340241</v>
      </c>
      <c r="T48" s="45">
        <f ca="1">+T43*$G$20</f>
        <v>34151886.965167455</v>
      </c>
      <c r="U48" s="45">
        <f ca="1">+U43*$G$20</f>
        <v>36681656.369994678</v>
      </c>
      <c r="V48" s="45">
        <f ca="1">+V43*$G$20</f>
        <v>39211425.774821892</v>
      </c>
      <c r="W48" s="45">
        <f ca="1">+W43*$G$20</f>
        <v>41741195.179649115</v>
      </c>
      <c r="X48" s="45">
        <f ca="1">+X43*$G$20</f>
        <v>44270964.584476329</v>
      </c>
    </row>
    <row r="49" spans="1:24" x14ac:dyDescent="0.2">
      <c r="A49" s="1"/>
      <c r="B49" s="1" t="str">
        <f>B44</f>
        <v>Common</v>
      </c>
      <c r="C49" s="1"/>
      <c r="D49" s="1"/>
      <c r="E49" s="1"/>
      <c r="F49" s="1"/>
      <c r="G49" s="1"/>
      <c r="H49" s="1"/>
      <c r="I49" s="45">
        <f ca="1">+I44*(SeriesA!$C$15)</f>
        <v>16409609.954016263</v>
      </c>
      <c r="J49" s="45">
        <f ca="1">+J44*(SeriesA!$C$15)</f>
        <v>33051531.071854696</v>
      </c>
      <c r="K49" s="45">
        <f ca="1">+K44*(SeriesA!$C$15)</f>
        <v>46549682.60096851</v>
      </c>
      <c r="L49" s="45">
        <f ca="1">+L44*(SeriesA!$C$15)</f>
        <v>56894056.512294851</v>
      </c>
      <c r="M49" s="45">
        <f ca="1">+M44*(SeriesA!$C$15)</f>
        <v>67238430.423621178</v>
      </c>
      <c r="N49" s="45">
        <f ca="1">+N44*(SeriesA!$C$15)</f>
        <v>77582804.334947526</v>
      </c>
      <c r="O49" s="45">
        <f ca="1">+O44*(SeriesA!$C$15)</f>
        <v>87927178.246273845</v>
      </c>
      <c r="P49" s="45">
        <f ca="1">+P44*(SeriesA!$C$15)</f>
        <v>98271552.157600179</v>
      </c>
      <c r="Q49" s="45">
        <f ca="1">+Q44*(SeriesA!$C$15)</f>
        <v>108615926.06892653</v>
      </c>
      <c r="R49" s="45">
        <f ca="1">+R44*(SeriesA!$C$15)</f>
        <v>118960299.98025286</v>
      </c>
      <c r="S49" s="45">
        <f ca="1">+S44*(SeriesA!$C$15)</f>
        <v>129304673.8915792</v>
      </c>
      <c r="T49" s="45">
        <f ca="1">+T44*(SeriesA!$C$15)</f>
        <v>139649047.80290553</v>
      </c>
      <c r="U49" s="45">
        <f ca="1">+U44*(SeriesA!$C$15)</f>
        <v>149993421.71423188</v>
      </c>
      <c r="V49" s="45">
        <f ca="1">+V44*(SeriesA!$C$15)</f>
        <v>160337795.6255582</v>
      </c>
      <c r="W49" s="45">
        <f ca="1">+W44*(SeriesA!$C$15)</f>
        <v>170682169.53688455</v>
      </c>
      <c r="X49" s="45">
        <f ca="1">+X44*(SeriesA!$C$15)</f>
        <v>181026543.44821087</v>
      </c>
    </row>
    <row r="50" spans="1:24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 x14ac:dyDescent="0.2">
      <c r="A51" s="1"/>
      <c r="B51" s="1"/>
      <c r="C51" s="1"/>
      <c r="D51" s="1"/>
      <c r="E51" s="1"/>
      <c r="F51" s="1"/>
      <c r="G51" s="1"/>
      <c r="H51" s="1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</row>
    <row r="52" spans="1:24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 x14ac:dyDescent="0.2">
      <c r="A53" s="1"/>
      <c r="B53" s="31" t="s">
        <v>101</v>
      </c>
      <c r="C53" s="1"/>
      <c r="D53" s="1"/>
      <c r="E53" s="1"/>
      <c r="F53" s="1"/>
      <c r="G53" s="1"/>
      <c r="H53" s="1"/>
      <c r="I53" s="1" t="s">
        <v>57</v>
      </c>
      <c r="J53" s="1" t="s">
        <v>57</v>
      </c>
      <c r="K53" s="1" t="s">
        <v>57</v>
      </c>
      <c r="L53" s="1" t="s">
        <v>57</v>
      </c>
      <c r="M53" s="1" t="s">
        <v>57</v>
      </c>
      <c r="N53" s="1" t="s">
        <v>57</v>
      </c>
      <c r="O53" s="1" t="s">
        <v>57</v>
      </c>
      <c r="P53" s="1" t="s">
        <v>57</v>
      </c>
      <c r="Q53" s="1" t="s">
        <v>57</v>
      </c>
      <c r="R53" s="1" t="s">
        <v>57</v>
      </c>
      <c r="S53" s="1" t="s">
        <v>57</v>
      </c>
      <c r="T53" s="1" t="s">
        <v>57</v>
      </c>
      <c r="U53" s="1" t="s">
        <v>57</v>
      </c>
      <c r="V53" s="1" t="s">
        <v>57</v>
      </c>
      <c r="W53" s="1" t="s">
        <v>57</v>
      </c>
      <c r="X53" s="1" t="s">
        <v>57</v>
      </c>
    </row>
    <row r="54" spans="1:24" x14ac:dyDescent="0.2">
      <c r="A54" s="1"/>
      <c r="B54" s="1" t="s">
        <v>8</v>
      </c>
      <c r="C54" s="1"/>
      <c r="D54" s="1"/>
      <c r="E54" s="1"/>
      <c r="F54" s="1"/>
      <c r="G54" s="1"/>
      <c r="H54" s="1"/>
      <c r="I54" s="45">
        <f ca="1">(I$42*SeriesA!$H10)+(I$43*SeriesA!$E10)+(I$44*SeriesA!$C10)</f>
        <v>6064989.809254488</v>
      </c>
      <c r="J54" s="45">
        <f ca="1">(J$42*SeriesA!$H10)+(J$43*SeriesA!$E10)+(J$44*SeriesA!$C10)</f>
        <v>12215841.795922441</v>
      </c>
      <c r="K54" s="45">
        <f ca="1">(K$42*SeriesA!$H10)+(K$43*SeriesA!$E10)+(K$44*SeriesA!$C10)</f>
        <v>17204756.931459308</v>
      </c>
      <c r="L54" s="45">
        <f ca="1">(L$42*SeriesA!$H10)+(L$43*SeriesA!$E10)+(L$44*SeriesA!$C10)</f>
        <v>21028036.249561377</v>
      </c>
      <c r="M54" s="45">
        <f ca="1">(M$42*SeriesA!$H10)+(M$43*SeriesA!$E10)+(M$44*SeriesA!$C10)</f>
        <v>24851315.567663446</v>
      </c>
      <c r="N54" s="45">
        <f ca="1">(N$42*SeriesA!$H10)+(N$43*SeriesA!$E10)+(N$44*SeriesA!$C10)</f>
        <v>28674594.885765515</v>
      </c>
      <c r="O54" s="45">
        <f ca="1">(O$42*SeriesA!$H10)+(O$43*SeriesA!$E10)+(O$44*SeriesA!$C10)</f>
        <v>32497874.203867581</v>
      </c>
      <c r="P54" s="45">
        <f ca="1">(P$42*SeriesA!$H10)+(P$43*SeriesA!$E10)+(P$44*SeriesA!$C10)</f>
        <v>36321153.521969646</v>
      </c>
      <c r="Q54" s="45">
        <f ca="1">(Q$42*SeriesA!$H10)+(Q$43*SeriesA!$E10)+(Q$44*SeriesA!$C10)</f>
        <v>40144432.840071723</v>
      </c>
      <c r="R54" s="45">
        <f ca="1">(R$42*SeriesA!$H10)+(R$43*SeriesA!$E10)+(R$44*SeriesA!$C10)</f>
        <v>43967712.158173792</v>
      </c>
      <c r="S54" s="45">
        <f ca="1">(S$42*SeriesA!$H10)+(S$43*SeriesA!$E10)+(S$44*SeriesA!$C10)</f>
        <v>47790991.476275861</v>
      </c>
      <c r="T54" s="45">
        <f ca="1">(T$42*SeriesA!$H10)+(T$43*SeriesA!$E10)+(T$44*SeriesA!$C10)</f>
        <v>51614270.79437793</v>
      </c>
      <c r="U54" s="45">
        <f ca="1">(U$42*SeriesA!$H10)+(U$43*SeriesA!$E10)+(U$44*SeriesA!$C10)</f>
        <v>55437550.112479992</v>
      </c>
      <c r="V54" s="45">
        <f ca="1">(V$42*SeriesA!$H10)+(V$43*SeriesA!$E10)+(V$44*SeriesA!$C10)</f>
        <v>59260829.430582061</v>
      </c>
      <c r="W54" s="45">
        <f ca="1">(W$42*SeriesA!$H10)+(W$43*SeriesA!$E10)+(W$44*SeriesA!$C10)</f>
        <v>63084108.748684131</v>
      </c>
      <c r="X54" s="45">
        <f ca="1">(X$42*SeriesA!$H10)+(X$43*SeriesA!$E10)+(X$44*SeriesA!$C10)</f>
        <v>66907388.0667862</v>
      </c>
    </row>
    <row r="55" spans="1:24" x14ac:dyDescent="0.2">
      <c r="A55" s="1"/>
      <c r="B55" s="1" t="s">
        <v>9</v>
      </c>
      <c r="C55" s="1"/>
      <c r="D55" s="1"/>
      <c r="E55" s="1"/>
      <c r="F55" s="1"/>
      <c r="G55" s="1"/>
      <c r="H55" s="1"/>
      <c r="I55" s="45">
        <f ca="1">(I$42*SeriesA!$H11)+(I$43*SeriesA!$E11)+(I$44*SeriesA!$C11)</f>
        <v>6064989.809254488</v>
      </c>
      <c r="J55" s="45">
        <f ca="1">(J$42*SeriesA!$H11)+(J$43*SeriesA!$E11)+(J$44*SeriesA!$C11)</f>
        <v>12215841.795922441</v>
      </c>
      <c r="K55" s="45">
        <f ca="1">(K$42*SeriesA!$H11)+(K$43*SeriesA!$E11)+(K$44*SeriesA!$C11)</f>
        <v>17204756.931459308</v>
      </c>
      <c r="L55" s="45">
        <f ca="1">(L$42*SeriesA!$H11)+(L$43*SeriesA!$E11)+(L$44*SeriesA!$C11)</f>
        <v>21028036.249561377</v>
      </c>
      <c r="M55" s="45">
        <f ca="1">(M$42*SeriesA!$H11)+(M$43*SeriesA!$E11)+(M$44*SeriesA!$C11)</f>
        <v>24851315.567663446</v>
      </c>
      <c r="N55" s="45">
        <f ca="1">(N$42*SeriesA!$H11)+(N$43*SeriesA!$E11)+(N$44*SeriesA!$C11)</f>
        <v>28674594.885765515</v>
      </c>
      <c r="O55" s="45">
        <f ca="1">(O$42*SeriesA!$H11)+(O$43*SeriesA!$E11)+(O$44*SeriesA!$C11)</f>
        <v>32497874.203867581</v>
      </c>
      <c r="P55" s="45">
        <f ca="1">(P$42*SeriesA!$H11)+(P$43*SeriesA!$E11)+(P$44*SeriesA!$C11)</f>
        <v>36321153.521969646</v>
      </c>
      <c r="Q55" s="45">
        <f ca="1">(Q$42*SeriesA!$H11)+(Q$43*SeriesA!$E11)+(Q$44*SeriesA!$C11)</f>
        <v>40144432.840071723</v>
      </c>
      <c r="R55" s="45">
        <f ca="1">(R$42*SeriesA!$H11)+(R$43*SeriesA!$E11)+(R$44*SeriesA!$C11)</f>
        <v>43967712.158173792</v>
      </c>
      <c r="S55" s="45">
        <f ca="1">(S$42*SeriesA!$H11)+(S$43*SeriesA!$E11)+(S$44*SeriesA!$C11)</f>
        <v>47790991.476275861</v>
      </c>
      <c r="T55" s="45">
        <f ca="1">(T$42*SeriesA!$H11)+(T$43*SeriesA!$E11)+(T$44*SeriesA!$C11)</f>
        <v>51614270.79437793</v>
      </c>
      <c r="U55" s="45">
        <f ca="1">(U$42*SeriesA!$H11)+(U$43*SeriesA!$E11)+(U$44*SeriesA!$C11)</f>
        <v>55437550.112479992</v>
      </c>
      <c r="V55" s="45">
        <f ca="1">(V$42*SeriesA!$H11)+(V$43*SeriesA!$E11)+(V$44*SeriesA!$C11)</f>
        <v>59260829.430582061</v>
      </c>
      <c r="W55" s="45">
        <f ca="1">(W$42*SeriesA!$H11)+(W$43*SeriesA!$E11)+(W$44*SeriesA!$C11)</f>
        <v>63084108.748684131</v>
      </c>
      <c r="X55" s="45">
        <f ca="1">(X$42*SeriesA!$H11)+(X$43*SeriesA!$E11)+(X$44*SeriesA!$C11)</f>
        <v>66907388.0667862</v>
      </c>
    </row>
    <row r="56" spans="1:24" ht="13.5" customHeight="1" x14ac:dyDescent="0.2">
      <c r="A56" s="1"/>
      <c r="B56" s="1" t="s">
        <v>107</v>
      </c>
      <c r="C56" s="1"/>
      <c r="D56" s="1"/>
      <c r="E56" s="1"/>
      <c r="F56" s="1"/>
      <c r="G56" s="1"/>
      <c r="H56" s="1"/>
      <c r="I56" s="45">
        <f ca="1">(I$42*SeriesA!$H12)+(I$43*SeriesA!$E12)+(I$44*SeriesA!$C12)</f>
        <v>3814735.3888727985</v>
      </c>
      <c r="J56" s="45">
        <f ca="1">(J$42*SeriesA!$H12)+(J$43*SeriesA!$E12)+(J$44*SeriesA!$C12)</f>
        <v>7683476.0600372562</v>
      </c>
      <c r="K56" s="45">
        <f ca="1">(K$42*SeriesA!$H12)+(K$43*SeriesA!$E12)+(K$44*SeriesA!$C12)</f>
        <v>10821385.886460356</v>
      </c>
      <c r="L56" s="45">
        <f ca="1">(L$42*SeriesA!$H12)+(L$43*SeriesA!$E12)+(L$44*SeriesA!$C12)</f>
        <v>13226138.305673771</v>
      </c>
      <c r="M56" s="45">
        <f ca="1">(M$42*SeriesA!$H12)+(M$43*SeriesA!$E12)+(M$44*SeriesA!$C12)</f>
        <v>15630890.724887183</v>
      </c>
      <c r="N56" s="45">
        <f ca="1">(N$42*SeriesA!$H12)+(N$43*SeriesA!$E12)+(N$44*SeriesA!$C12)</f>
        <v>18035643.144100595</v>
      </c>
      <c r="O56" s="45">
        <f ca="1">(O$42*SeriesA!$H12)+(O$43*SeriesA!$E12)+(O$44*SeriesA!$C12)</f>
        <v>20440395.563314006</v>
      </c>
      <c r="P56" s="45">
        <f ca="1">(P$42*SeriesA!$H12)+(P$43*SeriesA!$E12)+(P$44*SeriesA!$C12)</f>
        <v>22845147.982527416</v>
      </c>
      <c r="Q56" s="45">
        <f ca="1">(Q$42*SeriesA!$H12)+(Q$43*SeriesA!$E12)+(Q$44*SeriesA!$C12)</f>
        <v>25249900.401740834</v>
      </c>
      <c r="R56" s="45">
        <f ca="1">(R$42*SeriesA!$H12)+(R$43*SeriesA!$E12)+(R$44*SeriesA!$C12)</f>
        <v>27654652.820954245</v>
      </c>
      <c r="S56" s="45">
        <f ca="1">(S$42*SeriesA!$H12)+(S$43*SeriesA!$E12)+(S$44*SeriesA!$C12)</f>
        <v>30059405.240167659</v>
      </c>
      <c r="T56" s="45">
        <f ca="1">(T$42*SeriesA!$H12)+(T$43*SeriesA!$E12)+(T$44*SeriesA!$C12)</f>
        <v>32464157.659381073</v>
      </c>
      <c r="U56" s="45">
        <f ca="1">(U$42*SeriesA!$H12)+(U$43*SeriesA!$E12)+(U$44*SeriesA!$C12)</f>
        <v>34868910.078594483</v>
      </c>
      <c r="V56" s="45">
        <f ca="1">(V$42*SeriesA!$H12)+(V$43*SeriesA!$E12)+(V$44*SeriesA!$C12)</f>
        <v>37273662.497807898</v>
      </c>
      <c r="W56" s="45">
        <f ca="1">(W$42*SeriesA!$H12)+(W$43*SeriesA!$E12)+(W$44*SeriesA!$C12)</f>
        <v>39678414.917021312</v>
      </c>
      <c r="X56" s="45">
        <f ca="1">(X$42*SeriesA!$H12)+(X$43*SeriesA!$E12)+(X$44*SeriesA!$C12)</f>
        <v>42083167.336234719</v>
      </c>
    </row>
    <row r="57" spans="1:24" ht="13.5" customHeight="1" x14ac:dyDescent="0.2">
      <c r="A57" s="1"/>
      <c r="B57" s="1" t="s">
        <v>79</v>
      </c>
      <c r="C57" s="1"/>
      <c r="D57" s="1"/>
      <c r="E57" s="1"/>
      <c r="F57" s="1"/>
      <c r="G57" s="1"/>
      <c r="H57" s="1"/>
      <c r="I57" s="45">
        <f ca="1">(I$42*SeriesA!$H13)+(I$43*SeriesA!$E13)+(I$44*SeriesA!$C13)</f>
        <v>355211.29065351223</v>
      </c>
      <c r="J57" s="45">
        <f ca="1">(J$42*SeriesA!$H13)+(J$43*SeriesA!$E13)+(J$44*SeriesA!$C13)</f>
        <v>715451.31438268756</v>
      </c>
      <c r="K57" s="45">
        <f ca="1">(K$42*SeriesA!$H13)+(K$43*SeriesA!$E13)+(K$44*SeriesA!$C13)</f>
        <v>1007639.601583243</v>
      </c>
      <c r="L57" s="45">
        <f ca="1">(L$42*SeriesA!$H13)+(L$43*SeriesA!$E13)+(L$44*SeriesA!$C13)</f>
        <v>1231559.513046186</v>
      </c>
      <c r="M57" s="45">
        <f ca="1">(M$42*SeriesA!$H13)+(M$43*SeriesA!$E13)+(M$44*SeriesA!$C13)</f>
        <v>1455479.4245091288</v>
      </c>
      <c r="N57" s="45">
        <f ca="1">(N$42*SeriesA!$H13)+(N$43*SeriesA!$E13)+(N$44*SeriesA!$C13)</f>
        <v>1679399.3359720719</v>
      </c>
      <c r="O57" s="45">
        <f ca="1">(O$42*SeriesA!$H13)+(O$43*SeriesA!$E13)+(O$44*SeriesA!$C13)</f>
        <v>1903319.2474350145</v>
      </c>
      <c r="P57" s="45">
        <f ca="1">(P$42*SeriesA!$H13)+(P$43*SeriesA!$E13)+(P$44*SeriesA!$C13)</f>
        <v>2127239.1588979573</v>
      </c>
      <c r="Q57" s="45">
        <f ca="1">(Q$42*SeriesA!$H13)+(Q$43*SeriesA!$E13)+(Q$44*SeriesA!$C13)</f>
        <v>2351159.0703609008</v>
      </c>
      <c r="R57" s="45">
        <f ca="1">(R$42*SeriesA!$H13)+(R$43*SeriesA!$E13)+(R$44*SeriesA!$C13)</f>
        <v>2575078.9818238434</v>
      </c>
      <c r="S57" s="45">
        <f ca="1">(S$42*SeriesA!$H13)+(S$43*SeriesA!$E13)+(S$44*SeriesA!$C13)</f>
        <v>2798998.8932867865</v>
      </c>
      <c r="T57" s="45">
        <f ca="1">(T$42*SeriesA!$H13)+(T$43*SeriesA!$E13)+(T$44*SeriesA!$C13)</f>
        <v>3022918.8047497291</v>
      </c>
      <c r="U57" s="45">
        <f ca="1">(U$42*SeriesA!$H13)+(U$43*SeriesA!$E13)+(U$44*SeriesA!$C13)</f>
        <v>3246838.7162126722</v>
      </c>
      <c r="V57" s="45">
        <f ca="1">(V$42*SeriesA!$H13)+(V$43*SeriesA!$E13)+(V$44*SeriesA!$C13)</f>
        <v>3470758.6276756148</v>
      </c>
      <c r="W57" s="45">
        <f ca="1">(W$42*SeriesA!$H13)+(W$43*SeriesA!$E13)+(W$44*SeriesA!$C13)</f>
        <v>3694678.5391385579</v>
      </c>
      <c r="X57" s="45">
        <f ca="1">(X$42*SeriesA!$H13)+(X$43*SeriesA!$E13)+(X$44*SeriesA!$C13)</f>
        <v>3918598.4506015009</v>
      </c>
    </row>
    <row r="58" spans="1:24" x14ac:dyDescent="0.2">
      <c r="A58" s="1"/>
      <c r="B58" s="1" t="s">
        <v>80</v>
      </c>
      <c r="C58" s="1"/>
      <c r="D58" s="1"/>
      <c r="E58" s="1"/>
      <c r="F58" s="1"/>
      <c r="G58" s="1"/>
      <c r="H58" s="1"/>
      <c r="I58" s="45">
        <f ca="1">(I$42*SeriesA!$H14)+(I$43*SeriesA!$E14)+(I$44*(SeriesA!$C14+SeriesA!$J14))</f>
        <v>3125073.6046267306</v>
      </c>
      <c r="J58" s="45">
        <f ca="1">(J$42*SeriesA!$H14)+(J$43*SeriesA!$E14)+(J$44*(SeriesA!$C14+SeriesA!$J14))</f>
        <v>6294388.9363972014</v>
      </c>
      <c r="K58" s="45">
        <f ca="1">(K$42*SeriesA!$H14)+(K$43*SeriesA!$E14)+(K$44*(SeriesA!$C14+SeriesA!$J14))</f>
        <v>8864999.5220900849</v>
      </c>
      <c r="L58" s="45">
        <f ca="1">(L$42*SeriesA!$H14)+(L$43*SeriesA!$E14)+(L$44*(SeriesA!$C14+SeriesA!$J14))</f>
        <v>10834999.415887883</v>
      </c>
      <c r="M58" s="45">
        <f ca="1">(M$42*SeriesA!$H14)+(M$43*SeriesA!$E14)+(M$44*(SeriesA!$C14+SeriesA!$J14))</f>
        <v>12804999.309685679</v>
      </c>
      <c r="N58" s="45">
        <f ca="1">(N$42*SeriesA!$H14)+(N$43*SeriesA!$E14)+(N$44*(SeriesA!$C14+SeriesA!$J14))</f>
        <v>14774999.203483475</v>
      </c>
      <c r="O58" s="45">
        <f ca="1">(O$42*SeriesA!$H14)+(O$43*SeriesA!$E14)+(O$44*(SeriesA!$C14+SeriesA!$J14))</f>
        <v>16744999.097281272</v>
      </c>
      <c r="P58" s="45">
        <f ca="1">(P$42*SeriesA!$H14)+(P$43*SeriesA!$E14)+(P$44*(SeriesA!$C14+SeriesA!$J14))</f>
        <v>18714998.991079066</v>
      </c>
      <c r="Q58" s="45">
        <f ca="1">(Q$42*SeriesA!$H14)+(Q$43*SeriesA!$E14)+(Q$44*(SeriesA!$C14+SeriesA!$J14))</f>
        <v>20684998.884876866</v>
      </c>
      <c r="R58" s="45">
        <f ca="1">(R$42*SeriesA!$H14)+(R$43*SeriesA!$E14)+(R$44*(SeriesA!$C14+SeriesA!$J14))</f>
        <v>22654998.778674662</v>
      </c>
      <c r="S58" s="45">
        <f ca="1">(S$42*SeriesA!$H14)+(S$43*SeriesA!$E14)+(S$44*(SeriesA!$C14+SeriesA!$J14))</f>
        <v>24624998.672472462</v>
      </c>
      <c r="T58" s="45">
        <f ca="1">(T$42*SeriesA!$H14)+(T$43*SeriesA!$E14)+(T$44*(SeriesA!$C14+SeriesA!$J14))</f>
        <v>26594998.566270258</v>
      </c>
      <c r="U58" s="45">
        <f ca="1">(U$42*SeriesA!$H14)+(U$43*SeriesA!$E14)+(U$44*(SeriesA!$C14+SeriesA!$J14))</f>
        <v>28564998.460068054</v>
      </c>
      <c r="V58" s="45">
        <f ca="1">(V$42*SeriesA!$H14)+(V$43*SeriesA!$E14)+(V$44*(SeriesA!$C14+SeriesA!$J14))</f>
        <v>30534998.353865851</v>
      </c>
      <c r="W58" s="45">
        <f ca="1">(W$42*SeriesA!$H14)+(W$43*SeriesA!$E14)+(W$44*(SeriesA!$C14+SeriesA!$J14))</f>
        <v>32504998.247663647</v>
      </c>
      <c r="X58" s="45">
        <f ca="1">(X$42*SeriesA!$H14)+(X$43*SeriesA!$E14)+(X$44*(SeriesA!$C14+SeriesA!$J14))</f>
        <v>34474998.141461439</v>
      </c>
    </row>
    <row r="59" spans="1:24" x14ac:dyDescent="0.2">
      <c r="A59" s="1"/>
      <c r="B59" s="1" t="s">
        <v>42</v>
      </c>
      <c r="C59" s="1"/>
      <c r="D59" s="1"/>
      <c r="E59" s="1"/>
      <c r="F59" s="1"/>
      <c r="G59" s="1"/>
      <c r="H59" s="1"/>
      <c r="I59" s="45">
        <f ca="1">(I$42*SeriesA!$H17)+(I$43*SeriesA!$E17)+(I$44*SeriesA!$C17)</f>
        <v>12999999.753551252</v>
      </c>
      <c r="J59" s="45">
        <f ca="1">(J$42*SeriesA!$H17)+(J$43*SeriesA!$E17)+(J$44*SeriesA!$C17)</f>
        <v>12999999.753551252</v>
      </c>
      <c r="K59" s="45">
        <f ca="1">(K$42*SeriesA!$H17)+(K$43*SeriesA!$E17)+(K$44*SeriesA!$C17)</f>
        <v>14810007.697772894</v>
      </c>
      <c r="L59" s="45">
        <f ca="1">(L$42*SeriesA!$H17)+(L$43*SeriesA!$E17)+(L$44*SeriesA!$C17)</f>
        <v>18101120.519500211</v>
      </c>
      <c r="M59" s="45">
        <f ca="1">(M$42*SeriesA!$H17)+(M$43*SeriesA!$E17)+(M$44*SeriesA!$C17)</f>
        <v>21392233.341227517</v>
      </c>
      <c r="N59" s="45">
        <f ca="1">(N$42*SeriesA!$H17)+(N$43*SeriesA!$E17)+(N$44*SeriesA!$C17)</f>
        <v>24683346.16295483</v>
      </c>
      <c r="O59" s="45">
        <f ca="1">(O$42*SeriesA!$H17)+(O$43*SeriesA!$E17)+(O$44*SeriesA!$C17)</f>
        <v>27974458.984682135</v>
      </c>
      <c r="P59" s="45">
        <f ca="1">(P$42*SeriesA!$H17)+(P$43*SeriesA!$E17)+(P$44*SeriesA!$C17)</f>
        <v>31265571.806409448</v>
      </c>
      <c r="Q59" s="45">
        <f ca="1">(Q$42*SeriesA!$H17)+(Q$43*SeriesA!$E17)+(Q$44*SeriesA!$C17)</f>
        <v>34556684.628136761</v>
      </c>
      <c r="R59" s="45">
        <f ca="1">(R$42*SeriesA!$H17)+(R$43*SeriesA!$E17)+(R$44*SeriesA!$C17)</f>
        <v>37847797.449864075</v>
      </c>
      <c r="S59" s="45">
        <f ca="1">(S$42*SeriesA!$H17)+(S$43*SeriesA!$E17)+(S$44*SeriesA!$C17)</f>
        <v>41138910.27159138</v>
      </c>
      <c r="T59" s="45">
        <f ca="1">(T$42*SeriesA!$H17)+(T$43*SeriesA!$E17)+(T$44*SeriesA!$C17)</f>
        <v>44430023.093318686</v>
      </c>
      <c r="U59" s="45">
        <f ca="1">(U$42*SeriesA!$H17)+(U$43*SeriesA!$E17)+(U$44*SeriesA!$C17)</f>
        <v>47721135.915046006</v>
      </c>
      <c r="V59" s="45">
        <f ca="1">(V$42*SeriesA!$H17)+(V$43*SeriesA!$E17)+(V$44*SeriesA!$C17)</f>
        <v>51012248.736773312</v>
      </c>
      <c r="W59" s="45">
        <f ca="1">(W$42*SeriesA!$H17)+(W$43*SeriesA!$E17)+(W$44*SeriesA!$C17)</f>
        <v>54303361.558500618</v>
      </c>
      <c r="X59" s="45">
        <f ca="1">(X$42*SeriesA!$H17)+(X$43*SeriesA!$E17)+(X$44*SeriesA!$C17)</f>
        <v>57594474.380227931</v>
      </c>
    </row>
    <row r="60" spans="1:24" x14ac:dyDescent="0.2">
      <c r="A60" s="1"/>
      <c r="B60" s="1" t="s">
        <v>111</v>
      </c>
      <c r="C60" s="1"/>
      <c r="D60" s="1"/>
      <c r="E60" s="1"/>
      <c r="F60" s="1"/>
      <c r="G60" s="1"/>
      <c r="H60" s="1"/>
      <c r="I60" s="45">
        <f ca="1">(I$42*SeriesA!$H18)+(I$43*SeriesA!$E18)+(I$44*SeriesA!$C18)</f>
        <v>1825001.1524329477</v>
      </c>
      <c r="J60" s="45">
        <f ca="1">(J$42*SeriesA!$H18)+(J$43*SeriesA!$E18)+(J$44*SeriesA!$C18)</f>
        <v>1825001.1524329477</v>
      </c>
      <c r="K60" s="45">
        <f ca="1">(K$42*SeriesA!$H18)+(K$43*SeriesA!$E18)+(K$44*SeriesA!$C18)</f>
        <v>2114579.3252558918</v>
      </c>
      <c r="L60" s="45">
        <f ca="1">(L$42*SeriesA!$H18)+(L$43*SeriesA!$E18)+(L$44*SeriesA!$C18)</f>
        <v>2584485.841979424</v>
      </c>
      <c r="M60" s="45">
        <f ca="1">(M$42*SeriesA!$H18)+(M$43*SeriesA!$E18)+(M$44*SeriesA!$C18)</f>
        <v>3054392.3587029553</v>
      </c>
      <c r="N60" s="45">
        <f ca="1">(N$42*SeriesA!$H18)+(N$43*SeriesA!$E18)+(N$44*SeriesA!$C18)</f>
        <v>3524298.8754264871</v>
      </c>
      <c r="O60" s="45">
        <f ca="1">(O$42*SeriesA!$H18)+(O$43*SeriesA!$E18)+(O$44*SeriesA!$C18)</f>
        <v>3994205.3921500179</v>
      </c>
      <c r="P60" s="45">
        <f ca="1">(P$42*SeriesA!$H18)+(P$43*SeriesA!$E18)+(P$44*SeriesA!$C18)</f>
        <v>4464111.9088735497</v>
      </c>
      <c r="Q60" s="45">
        <f ca="1">(Q$42*SeriesA!$H18)+(Q$43*SeriesA!$E18)+(Q$44*SeriesA!$C18)</f>
        <v>4934018.4255970819</v>
      </c>
      <c r="R60" s="45">
        <f ca="1">(R$42*SeriesA!$H18)+(R$43*SeriesA!$E18)+(R$44*SeriesA!$C18)</f>
        <v>5403924.9423206132</v>
      </c>
      <c r="S60" s="45">
        <f ca="1">(S$42*SeriesA!$H18)+(S$43*SeriesA!$E18)+(S$44*SeriesA!$C18)</f>
        <v>5873831.4590441445</v>
      </c>
      <c r="T60" s="45">
        <f ca="1">(T$42*SeriesA!$H18)+(T$43*SeriesA!$E18)+(T$44*SeriesA!$C18)</f>
        <v>6343737.9757676767</v>
      </c>
      <c r="U60" s="45">
        <f ca="1">(U$42*SeriesA!$H18)+(U$43*SeriesA!$E18)+(U$44*SeriesA!$C18)</f>
        <v>6813644.492491208</v>
      </c>
      <c r="V60" s="45">
        <f ca="1">(V$42*SeriesA!$H18)+(V$43*SeriesA!$E18)+(V$44*SeriesA!$C18)</f>
        <v>7283551.0092147393</v>
      </c>
      <c r="W60" s="45">
        <f ca="1">(W$42*SeriesA!$H18)+(W$43*SeriesA!$E18)+(W$44*SeriesA!$C18)</f>
        <v>7753457.5259382706</v>
      </c>
      <c r="X60" s="45">
        <f ca="1">(X$42*SeriesA!$H18)+(X$43*SeriesA!$E18)+(X$44*SeriesA!$C18)</f>
        <v>8223364.0426618028</v>
      </c>
    </row>
    <row r="61" spans="1:24" x14ac:dyDescent="0.2">
      <c r="A61" s="1"/>
      <c r="B61" s="1" t="s">
        <v>118</v>
      </c>
      <c r="C61" s="1"/>
      <c r="D61" s="1"/>
      <c r="E61" s="1"/>
      <c r="F61" s="1"/>
      <c r="G61" s="1"/>
      <c r="H61" s="1"/>
      <c r="I61" s="45">
        <f ca="1">(I$42*SeriesA!$H19)+(I$43*SeriesA!$E19)+(I$44*SeriesA!$C19)</f>
        <v>11999999.353083026</v>
      </c>
      <c r="J61" s="45">
        <f ca="1">(J$42*SeriesA!$H19)+(J$43*SeriesA!$E19)+(J$44*SeriesA!$C19)</f>
        <v>11999999.353083026</v>
      </c>
      <c r="K61" s="45">
        <f ca="1">(K$42*SeriesA!$H19)+(K$43*SeriesA!$E19)+(K$44*SeriesA!$C19)</f>
        <v>13297499.283135127</v>
      </c>
      <c r="L61" s="45">
        <f ca="1">(L$42*SeriesA!$H19)+(L$43*SeriesA!$E19)+(L$44*SeriesA!$C19)</f>
        <v>16252499.123831823</v>
      </c>
      <c r="M61" s="45">
        <f ca="1">(M$42*SeriesA!$H19)+(M$43*SeriesA!$E19)+(M$44*SeriesA!$C19)</f>
        <v>19207498.96452852</v>
      </c>
      <c r="N61" s="45">
        <f ca="1">(N$42*SeriesA!$H19)+(N$43*SeriesA!$E19)+(N$44*SeriesA!$C19)</f>
        <v>22162498.805225212</v>
      </c>
      <c r="O61" s="45">
        <f ca="1">(O$42*SeriesA!$H19)+(O$43*SeriesA!$E19)+(O$44*SeriesA!$C19)</f>
        <v>25117498.645921905</v>
      </c>
      <c r="P61" s="45">
        <f ca="1">(P$42*SeriesA!$H19)+(P$43*SeriesA!$E19)+(P$44*SeriesA!$C19)</f>
        <v>28072498.486618601</v>
      </c>
      <c r="Q61" s="45">
        <f ca="1">(Q$42*SeriesA!$H19)+(Q$43*SeriesA!$E19)+(Q$44*SeriesA!$C19)</f>
        <v>31027498.327315301</v>
      </c>
      <c r="R61" s="45">
        <f ca="1">(R$42*SeriesA!$H19)+(R$43*SeriesA!$E19)+(R$44*SeriesA!$C19)</f>
        <v>33982498.168011993</v>
      </c>
      <c r="S61" s="45">
        <f ca="1">(S$42*SeriesA!$H19)+(S$43*SeriesA!$E19)+(S$44*SeriesA!$C19)</f>
        <v>36937498.008708693</v>
      </c>
      <c r="T61" s="45">
        <f ca="1">(T$42*SeriesA!$H19)+(T$43*SeriesA!$E19)+(T$44*SeriesA!$C19)</f>
        <v>39892497.849405386</v>
      </c>
      <c r="U61" s="45">
        <f ca="1">(U$42*SeriesA!$H19)+(U$43*SeriesA!$E19)+(U$44*SeriesA!$C19)</f>
        <v>42847497.690102078</v>
      </c>
      <c r="V61" s="45">
        <f ca="1">(V$42*SeriesA!$H19)+(V$43*SeriesA!$E19)+(V$44*SeriesA!$C19)</f>
        <v>45802497.530798778</v>
      </c>
      <c r="W61" s="45">
        <f ca="1">(W$42*SeriesA!$H19)+(W$43*SeriesA!$E19)+(W$44*SeriesA!$C19)</f>
        <v>48757497.37149547</v>
      </c>
      <c r="X61" s="45">
        <f ca="1">(X$42*SeriesA!$H19)+(X$43*SeriesA!$E19)+(X$44*SeriesA!$C19)</f>
        <v>51712497.212192163</v>
      </c>
    </row>
    <row r="62" spans="1:24" x14ac:dyDescent="0.2">
      <c r="A62" s="1"/>
      <c r="B62" s="1" t="s">
        <v>98</v>
      </c>
      <c r="C62" s="1"/>
      <c r="D62" s="1"/>
      <c r="E62" s="1"/>
      <c r="F62" s="1"/>
      <c r="G62" s="1"/>
      <c r="H62" s="1"/>
      <c r="I62" s="45">
        <f ca="1">(I$42*SeriesA!$H20)+(I$43*SeriesA!$E20)+(I$44*SeriesA!$C20)</f>
        <v>2999999.8382707564</v>
      </c>
      <c r="J62" s="45">
        <f ca="1">(J$42*SeriesA!$H20)+(J$43*SeriesA!$E20)+(J$44*SeriesA!$C20)</f>
        <v>2999999.8382707564</v>
      </c>
      <c r="K62" s="45">
        <f ca="1">(K$42*SeriesA!$H20)+(K$43*SeriesA!$E20)+(K$44*SeriesA!$C20)</f>
        <v>3324374.8207837818</v>
      </c>
      <c r="L62" s="45">
        <f ca="1">(L$42*SeriesA!$H20)+(L$43*SeriesA!$E20)+(L$44*SeriesA!$C20)</f>
        <v>4063124.7809579559</v>
      </c>
      <c r="M62" s="45">
        <f ca="1">(M$42*SeriesA!$H20)+(M$43*SeriesA!$E20)+(M$44*SeriesA!$C20)</f>
        <v>4801874.7411321299</v>
      </c>
      <c r="N62" s="45">
        <f ca="1">(N$42*SeriesA!$H20)+(N$43*SeriesA!$E20)+(N$44*SeriesA!$C20)</f>
        <v>5540624.701306303</v>
      </c>
      <c r="O62" s="45">
        <f ca="1">(O$42*SeriesA!$H20)+(O$43*SeriesA!$E20)+(O$44*SeriesA!$C20)</f>
        <v>6279374.6614804761</v>
      </c>
      <c r="P62" s="45">
        <f ca="1">(P$42*SeriesA!$H20)+(P$43*SeriesA!$E20)+(P$44*SeriesA!$C20)</f>
        <v>7018124.6216546502</v>
      </c>
      <c r="Q62" s="45">
        <f ca="1">(Q$42*SeriesA!$H20)+(Q$43*SeriesA!$E20)+(Q$44*SeriesA!$C20)</f>
        <v>7756874.5818288252</v>
      </c>
      <c r="R62" s="45">
        <f ca="1">(R$42*SeriesA!$H20)+(R$43*SeriesA!$E20)+(R$44*SeriesA!$C20)</f>
        <v>8495624.5420029983</v>
      </c>
      <c r="S62" s="45">
        <f ca="1">(S$42*SeriesA!$H20)+(S$43*SeriesA!$E20)+(S$44*SeriesA!$C20)</f>
        <v>9234374.5021771733</v>
      </c>
      <c r="T62" s="45">
        <f ca="1">(T$42*SeriesA!$H20)+(T$43*SeriesA!$E20)+(T$44*SeriesA!$C20)</f>
        <v>9973124.4623513464</v>
      </c>
      <c r="U62" s="45">
        <f ca="1">(U$42*SeriesA!$H20)+(U$43*SeriesA!$E20)+(U$44*SeriesA!$C20)</f>
        <v>10711874.42252552</v>
      </c>
      <c r="V62" s="45">
        <f ca="1">(V$42*SeriesA!$H20)+(V$43*SeriesA!$E20)+(V$44*SeriesA!$C20)</f>
        <v>11450624.382699694</v>
      </c>
      <c r="W62" s="45">
        <f ca="1">(W$42*SeriesA!$H20)+(W$43*SeriesA!$E20)+(W$44*SeriesA!$C20)</f>
        <v>12189374.342873868</v>
      </c>
      <c r="X62" s="45">
        <f ca="1">(X$42*SeriesA!$H20)+(X$43*SeriesA!$E20)+(X$44*SeriesA!$C20)</f>
        <v>12928124.303048041</v>
      </c>
    </row>
    <row r="63" spans="1:24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 x14ac:dyDescent="0.2">
      <c r="A64" s="1"/>
      <c r="B64" s="1" t="s">
        <v>106</v>
      </c>
      <c r="C64" s="1"/>
      <c r="D64" s="1"/>
      <c r="E64" s="1"/>
      <c r="F64" s="1"/>
      <c r="G64" s="1"/>
      <c r="H64" s="1"/>
      <c r="I64" s="74">
        <f ca="1">+SUM(I54:I62)-I16</f>
        <v>0</v>
      </c>
      <c r="J64" s="74">
        <f ca="1">+SUM(J54:J62)-J16</f>
        <v>0</v>
      </c>
      <c r="K64" s="74">
        <f ca="1">+SUM(K54:K62)-K16</f>
        <v>0</v>
      </c>
      <c r="L64" s="74">
        <f ca="1">+SUM(L54:L62)-L16</f>
        <v>0</v>
      </c>
      <c r="M64" s="74">
        <f ca="1">+SUM(M54:M62)-M16</f>
        <v>0</v>
      </c>
      <c r="N64" s="74">
        <f ca="1">+SUM(N54:N62)-N16</f>
        <v>0</v>
      </c>
      <c r="O64" s="74">
        <f ca="1">+SUM(O54:O62)-O16</f>
        <v>0</v>
      </c>
      <c r="P64" s="74">
        <f ca="1">+SUM(P54:P62)-P16</f>
        <v>0</v>
      </c>
      <c r="Q64" s="74">
        <f ca="1">+SUM(Q54:Q62)-Q16</f>
        <v>0</v>
      </c>
      <c r="R64" s="74">
        <f ca="1">+SUM(R54:R62)-R16</f>
        <v>0</v>
      </c>
      <c r="S64" s="74">
        <f ca="1">+SUM(S54:S62)-S16</f>
        <v>0</v>
      </c>
      <c r="T64" s="74">
        <f ca="1">+SUM(T54:T62)-T16</f>
        <v>0</v>
      </c>
      <c r="U64" s="74">
        <f ca="1">+SUM(U54:U62)-U16</f>
        <v>0</v>
      </c>
      <c r="V64" s="74">
        <f ca="1">+SUM(V54:V62)-V16</f>
        <v>0</v>
      </c>
      <c r="W64" s="74">
        <f ca="1">+SUM(W54:W62)-W16</f>
        <v>0</v>
      </c>
      <c r="X64" s="74">
        <f ca="1">+SUM(X54:X62)-X16</f>
        <v>0</v>
      </c>
    </row>
    <row r="65" spans="1:24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 x14ac:dyDescent="0.2">
      <c r="A66" s="1"/>
      <c r="B66" s="52" t="s">
        <v>112</v>
      </c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70"/>
    </row>
    <row r="67" spans="1:24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 x14ac:dyDescent="0.2">
      <c r="A68" s="1"/>
      <c r="B68" s="1" t="s">
        <v>113</v>
      </c>
      <c r="C68" s="1"/>
      <c r="D68" s="1"/>
      <c r="E68" s="1"/>
      <c r="F68" s="1"/>
      <c r="G68" s="1"/>
      <c r="H68" s="1"/>
      <c r="I68" s="45">
        <f ca="1">+I61</f>
        <v>11999999.353083026</v>
      </c>
      <c r="J68" s="45">
        <f ca="1">+J61</f>
        <v>11999999.353083026</v>
      </c>
      <c r="K68" s="45">
        <f ca="1">+K61</f>
        <v>13297499.283135127</v>
      </c>
      <c r="L68" s="45">
        <f ca="1">+L61</f>
        <v>16252499.123831823</v>
      </c>
      <c r="M68" s="45">
        <f ca="1">+M61</f>
        <v>19207498.96452852</v>
      </c>
      <c r="N68" s="45">
        <f ca="1">+N61</f>
        <v>22162498.805225212</v>
      </c>
      <c r="O68" s="45">
        <f ca="1">+O61</f>
        <v>25117498.645921905</v>
      </c>
      <c r="P68" s="45">
        <f ca="1">+P61</f>
        <v>28072498.486618601</v>
      </c>
      <c r="Q68" s="45">
        <f ca="1">+Q61</f>
        <v>31027498.327315301</v>
      </c>
      <c r="R68" s="45">
        <f ca="1">+R61</f>
        <v>33982498.168011993</v>
      </c>
      <c r="S68" s="45">
        <f ca="1">+S61</f>
        <v>36937498.008708693</v>
      </c>
      <c r="T68" s="45">
        <f ca="1">+T61</f>
        <v>39892497.849405386</v>
      </c>
      <c r="U68" s="45">
        <f ca="1">+U61</f>
        <v>42847497.690102078</v>
      </c>
      <c r="V68" s="45">
        <f ca="1">+V61</f>
        <v>45802497.530798778</v>
      </c>
      <c r="W68" s="45">
        <f ca="1">+W61</f>
        <v>48757497.37149547</v>
      </c>
      <c r="X68" s="45">
        <f ca="1">+X61</f>
        <v>51712497.212192163</v>
      </c>
    </row>
    <row r="69" spans="1:24" x14ac:dyDescent="0.2">
      <c r="A69" s="1"/>
      <c r="B69" s="1" t="s">
        <v>114</v>
      </c>
      <c r="C69" s="1"/>
      <c r="D69" s="1"/>
      <c r="E69" s="1"/>
      <c r="F69" s="1"/>
      <c r="G69" s="1"/>
      <c r="H69" s="1"/>
      <c r="I69" s="58">
        <f>SeriesA!$G$19</f>
        <v>12000000</v>
      </c>
      <c r="J69" s="58">
        <f>SeriesA!$G$19</f>
        <v>12000000</v>
      </c>
      <c r="K69" s="58">
        <f>SeriesA!$G$19</f>
        <v>12000000</v>
      </c>
      <c r="L69" s="58">
        <f>SeriesA!$G$19</f>
        <v>12000000</v>
      </c>
      <c r="M69" s="58">
        <f>SeriesA!$G$19</f>
        <v>12000000</v>
      </c>
      <c r="N69" s="58">
        <f>SeriesA!$G$19</f>
        <v>12000000</v>
      </c>
      <c r="O69" s="58">
        <f>SeriesA!$G$19</f>
        <v>12000000</v>
      </c>
      <c r="P69" s="58">
        <f>SeriesA!$G$19</f>
        <v>12000000</v>
      </c>
      <c r="Q69" s="58">
        <f>SeriesA!$G$19</f>
        <v>12000000</v>
      </c>
      <c r="R69" s="58">
        <f>SeriesA!$G$19</f>
        <v>12000000</v>
      </c>
      <c r="S69" s="58">
        <f>SeriesA!$G$19</f>
        <v>12000000</v>
      </c>
      <c r="T69" s="58">
        <f>SeriesA!$G$19</f>
        <v>12000000</v>
      </c>
      <c r="U69" s="58">
        <f>SeriesA!$G$19</f>
        <v>12000000</v>
      </c>
      <c r="V69" s="58">
        <f>SeriesA!$G$19</f>
        <v>12000000</v>
      </c>
      <c r="W69" s="58">
        <f>SeriesA!$G$19</f>
        <v>12000000</v>
      </c>
      <c r="X69" s="58">
        <f>SeriesA!$G$19</f>
        <v>12000000</v>
      </c>
    </row>
    <row r="70" spans="1:24" x14ac:dyDescent="0.2">
      <c r="A70" s="1"/>
      <c r="B70" s="1" t="s">
        <v>102</v>
      </c>
      <c r="C70" s="1"/>
      <c r="D70" s="1"/>
      <c r="E70" s="1"/>
      <c r="F70" s="1"/>
      <c r="G70" s="1"/>
      <c r="H70" s="1"/>
      <c r="I70" s="45">
        <f ca="1">I68-I69</f>
        <v>-0.64691697433590889</v>
      </c>
      <c r="J70" s="45">
        <f ca="1">J68-J69</f>
        <v>-0.64691697433590889</v>
      </c>
      <c r="K70" s="45">
        <f ca="1">K68-K69</f>
        <v>1297499.2831351273</v>
      </c>
      <c r="L70" s="45">
        <f ca="1">L68-L69</f>
        <v>4252499.1238318235</v>
      </c>
      <c r="M70" s="45">
        <f ca="1">M68-M69</f>
        <v>7207498.9645285197</v>
      </c>
      <c r="N70" s="45">
        <f ca="1">N68-N69</f>
        <v>10162498.805225212</v>
      </c>
      <c r="O70" s="45">
        <f ca="1">O68-O69</f>
        <v>13117498.645921905</v>
      </c>
      <c r="P70" s="45">
        <f ca="1">P68-P69</f>
        <v>16072498.486618601</v>
      </c>
      <c r="Q70" s="45">
        <f ca="1">Q68-Q69</f>
        <v>19027498.327315301</v>
      </c>
      <c r="R70" s="45">
        <f ca="1">R68-R69</f>
        <v>21982498.168011993</v>
      </c>
      <c r="S70" s="45">
        <f ca="1">S68-S69</f>
        <v>24937498.008708693</v>
      </c>
      <c r="T70" s="45">
        <f ca="1">T68-T69</f>
        <v>27892497.849405386</v>
      </c>
      <c r="U70" s="45">
        <f ca="1">U68-U69</f>
        <v>30847497.690102078</v>
      </c>
      <c r="V70" s="45">
        <f ca="1">V68-V69</f>
        <v>33802497.530798778</v>
      </c>
      <c r="W70" s="45">
        <f ca="1">W68-W69</f>
        <v>36757497.37149547</v>
      </c>
      <c r="X70" s="45">
        <f ca="1">X68-X69</f>
        <v>39712497.212192163</v>
      </c>
    </row>
    <row r="71" spans="1:24" x14ac:dyDescent="0.2">
      <c r="A71" s="1"/>
      <c r="B71" s="1" t="s">
        <v>115</v>
      </c>
      <c r="C71" s="1"/>
      <c r="D71" s="1"/>
      <c r="E71" s="1"/>
      <c r="F71" s="1"/>
      <c r="G71" s="1"/>
      <c r="H71" s="1"/>
      <c r="I71" s="47">
        <f ca="1">I68/I69</f>
        <v>0.99999994609025211</v>
      </c>
      <c r="J71" s="47">
        <f ca="1">J68/J69</f>
        <v>0.99999994609025211</v>
      </c>
      <c r="K71" s="47">
        <f ca="1">K68/K69</f>
        <v>1.1081249402612605</v>
      </c>
      <c r="L71" s="47">
        <f ca="1">L68/L69</f>
        <v>1.3543749269859853</v>
      </c>
      <c r="M71" s="47">
        <f ca="1">M68/M69</f>
        <v>1.60062491371071</v>
      </c>
      <c r="N71" s="47">
        <f ca="1">N68/N69</f>
        <v>1.8468749004354343</v>
      </c>
      <c r="O71" s="47">
        <f ca="1">O68/O69</f>
        <v>2.0931248871601587</v>
      </c>
      <c r="P71" s="47">
        <f ca="1">P68/P69</f>
        <v>2.3393748738848834</v>
      </c>
      <c r="Q71" s="47">
        <f ca="1">Q68/Q69</f>
        <v>2.5856248606096086</v>
      </c>
      <c r="R71" s="47">
        <f ca="1">R68/R69</f>
        <v>2.8318748473343329</v>
      </c>
      <c r="S71" s="47">
        <f ca="1">S68/S69</f>
        <v>3.0781248340590577</v>
      </c>
      <c r="T71" s="47">
        <f ca="1">T68/T69</f>
        <v>3.324374820783782</v>
      </c>
      <c r="U71" s="47">
        <f ca="1">U68/U69</f>
        <v>3.5706248075085063</v>
      </c>
      <c r="V71" s="47">
        <f ca="1">V68/V69</f>
        <v>3.8168747942332315</v>
      </c>
      <c r="W71" s="47">
        <f ca="1">W68/W69</f>
        <v>4.0631247809579563</v>
      </c>
      <c r="X71" s="47">
        <f ca="1">X68/X69</f>
        <v>4.3093747676826801</v>
      </c>
    </row>
    <row r="72" spans="1:24" x14ac:dyDescent="0.2">
      <c r="A72" s="1"/>
      <c r="B72" s="1" t="s">
        <v>116</v>
      </c>
      <c r="C72" s="1"/>
      <c r="D72" s="1"/>
      <c r="E72" s="1"/>
      <c r="F72" s="1"/>
      <c r="G72" s="1"/>
      <c r="H72" s="1"/>
      <c r="I72" s="47">
        <f ca="1">+I42/SeriesA!$H$24</f>
        <v>1</v>
      </c>
      <c r="J72" s="47">
        <f ca="1">+J42/SeriesA!$H$24</f>
        <v>1</v>
      </c>
      <c r="K72" s="47">
        <f ca="1">+K42/SeriesA!$H$24</f>
        <v>1.108125</v>
      </c>
      <c r="L72" s="47">
        <f ca="1">+L42/SeriesA!$H$24</f>
        <v>1.3543750000000001</v>
      </c>
      <c r="M72" s="47">
        <f ca="1">+M42/SeriesA!$H$24</f>
        <v>1.6006250000000002</v>
      </c>
      <c r="N72" s="47">
        <f ca="1">+N42/SeriesA!$H$24</f>
        <v>1.8468750000000003</v>
      </c>
      <c r="O72" s="47">
        <f ca="1">+O42/SeriesA!$H$24</f>
        <v>2.0931250000000001</v>
      </c>
      <c r="P72" s="47">
        <f ca="1">+P42/SeriesA!$H$24</f>
        <v>2.339375</v>
      </c>
      <c r="Q72" s="47">
        <f ca="1">+Q42/SeriesA!$H$24</f>
        <v>2.5856250000000003</v>
      </c>
      <c r="R72" s="47">
        <f ca="1">+R42/SeriesA!$H$24</f>
        <v>2.8318750000000006</v>
      </c>
      <c r="S72" s="47">
        <f ca="1">+S42/SeriesA!$H$24</f>
        <v>3.0781250000000004</v>
      </c>
      <c r="T72" s="47">
        <f ca="1">+T42/SeriesA!$H$24</f>
        <v>3.3243750000000003</v>
      </c>
      <c r="U72" s="47">
        <f ca="1">+U42/SeriesA!$H$24</f>
        <v>3.5706250000000006</v>
      </c>
      <c r="V72" s="47">
        <f ca="1">+V42/SeriesA!$H$24</f>
        <v>3.8168750000000005</v>
      </c>
      <c r="W72" s="47">
        <f ca="1">+W42/SeriesA!$H$24</f>
        <v>4.0631250000000003</v>
      </c>
      <c r="X72" s="47">
        <f ca="1">+X42/SeriesA!$H$24</f>
        <v>4.3093750000000002</v>
      </c>
    </row>
    <row r="73" spans="1:24" x14ac:dyDescent="0.2">
      <c r="A73" s="1"/>
      <c r="B73" s="1" t="s">
        <v>103</v>
      </c>
      <c r="C73" s="1"/>
      <c r="D73" s="1"/>
      <c r="E73" s="1"/>
      <c r="F73" s="1"/>
      <c r="G73" s="1"/>
      <c r="H73" s="1"/>
      <c r="I73" s="5">
        <f ca="1">XIRR(I75:I76,$D$75:$D$76)</f>
        <v>-2.0861625671386721E-8</v>
      </c>
      <c r="J73" s="5">
        <f ca="1">XIRR(J75:J76,$D$75:$D$76)</f>
        <v>-2.0861625671386721E-8</v>
      </c>
      <c r="K73" s="5">
        <f ca="1">XIRR(K75:K76,$D$75:$D$76)</f>
        <v>3.4783151745796201E-2</v>
      </c>
      <c r="L73" s="5">
        <f ca="1">XIRR(L75:L76,$D$75:$D$76)</f>
        <v>0.10629997849464418</v>
      </c>
      <c r="M73" s="5">
        <f ca="1">XIRR(M75:M76,$D$75:$D$76)</f>
        <v>0.16959200501441959</v>
      </c>
      <c r="N73" s="5">
        <f ca="1">XIRR(N75:N76,$D$75:$D$76)</f>
        <v>0.22668049931526185</v>
      </c>
      <c r="O73" s="5">
        <f ca="1">XIRR(O75:O76,$D$75:$D$76)</f>
        <v>0.27889282107353219</v>
      </c>
      <c r="P73" s="5">
        <f ca="1">XIRR(P75:P76,$D$75:$D$76)</f>
        <v>0.32715306878089911</v>
      </c>
      <c r="Q73" s="5">
        <f ca="1">XIRR(Q75:Q76,$D$75:$D$76)</f>
        <v>0.37213348746299746</v>
      </c>
      <c r="R73" s="5">
        <f ca="1">XIRR(R75:R76,$D$75:$D$76)</f>
        <v>0.41434012055397029</v>
      </c>
      <c r="S73" s="5">
        <f ca="1">XIRR(S75:S76,$D$75:$D$76)</f>
        <v>0.45416460633277889</v>
      </c>
      <c r="T73" s="5">
        <f ca="1">XIRR(T75:T76,$D$75:$D$76)</f>
        <v>0.49191698431968689</v>
      </c>
      <c r="U73" s="5">
        <f ca="1">XIRR(U75:U76,$D$75:$D$76)</f>
        <v>0.52784734368324282</v>
      </c>
      <c r="V73" s="5">
        <f ca="1">XIRR(V75:V76,$D$75:$D$76)</f>
        <v>0.56216073632240293</v>
      </c>
      <c r="W73" s="5">
        <f ca="1">XIRR(W75:W76,$D$75:$D$76)</f>
        <v>0.59502763152122518</v>
      </c>
      <c r="X73" s="5">
        <f ca="1">XIRR(X75:X76,$D$75:$D$76)</f>
        <v>0.62659140229225174</v>
      </c>
    </row>
    <row r="74" spans="1:24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 x14ac:dyDescent="0.2">
      <c r="A75" s="1"/>
      <c r="B75" s="1" t="s">
        <v>104</v>
      </c>
      <c r="C75" s="1" t="s">
        <v>54</v>
      </c>
      <c r="D75" s="71">
        <v>46127</v>
      </c>
      <c r="E75" s="1"/>
      <c r="F75" s="1"/>
      <c r="G75" s="1"/>
      <c r="H75" s="1"/>
      <c r="I75" s="75">
        <f>-I69</f>
        <v>-12000000</v>
      </c>
      <c r="J75" s="75">
        <f>-J69</f>
        <v>-12000000</v>
      </c>
      <c r="K75" s="75">
        <f>-K69</f>
        <v>-12000000</v>
      </c>
      <c r="L75" s="75">
        <f>-L69</f>
        <v>-12000000</v>
      </c>
      <c r="M75" s="75">
        <f>-M69</f>
        <v>-12000000</v>
      </c>
      <c r="N75" s="75">
        <f>-N69</f>
        <v>-12000000</v>
      </c>
      <c r="O75" s="75">
        <f>-O69</f>
        <v>-12000000</v>
      </c>
      <c r="P75" s="75">
        <f>-P69</f>
        <v>-12000000</v>
      </c>
      <c r="Q75" s="75">
        <f>-Q69</f>
        <v>-12000000</v>
      </c>
      <c r="R75" s="75">
        <f>-R69</f>
        <v>-12000000</v>
      </c>
      <c r="S75" s="75">
        <f>-S69</f>
        <v>-12000000</v>
      </c>
      <c r="T75" s="75">
        <f>-T69</f>
        <v>-12000000</v>
      </c>
      <c r="U75" s="75">
        <f>-U69</f>
        <v>-12000000</v>
      </c>
      <c r="V75" s="75">
        <f>-V69</f>
        <v>-12000000</v>
      </c>
      <c r="W75" s="75">
        <f>-W69</f>
        <v>-12000000</v>
      </c>
      <c r="X75" s="75">
        <f>-X69</f>
        <v>-12000000</v>
      </c>
    </row>
    <row r="76" spans="1:24" x14ac:dyDescent="0.2">
      <c r="A76" s="1"/>
      <c r="B76" s="1"/>
      <c r="C76" s="1" t="s">
        <v>105</v>
      </c>
      <c r="D76" s="71">
        <f>DATE(YEAR(D75)+3,MONTH(D75),DAY(D75))</f>
        <v>47223</v>
      </c>
      <c r="E76" s="1"/>
      <c r="F76" s="1"/>
      <c r="G76" s="1"/>
      <c r="H76" s="1"/>
      <c r="I76" s="75">
        <f ca="1">I68</f>
        <v>11999999.353083026</v>
      </c>
      <c r="J76" s="75">
        <f ca="1">J68</f>
        <v>11999999.353083026</v>
      </c>
      <c r="K76" s="75">
        <f ca="1">K68</f>
        <v>13297499.283135127</v>
      </c>
      <c r="L76" s="75">
        <f ca="1">L68</f>
        <v>16252499.123831823</v>
      </c>
      <c r="M76" s="75">
        <f ca="1">M68</f>
        <v>19207498.96452852</v>
      </c>
      <c r="N76" s="75">
        <f ca="1">N68</f>
        <v>22162498.805225212</v>
      </c>
      <c r="O76" s="75">
        <f ca="1">O68</f>
        <v>25117498.645921905</v>
      </c>
      <c r="P76" s="75">
        <f ca="1">P68</f>
        <v>28072498.486618601</v>
      </c>
      <c r="Q76" s="75">
        <f ca="1">Q68</f>
        <v>31027498.327315301</v>
      </c>
      <c r="R76" s="75">
        <f ca="1">R68</f>
        <v>33982498.168011993</v>
      </c>
      <c r="S76" s="75">
        <f ca="1">S68</f>
        <v>36937498.008708693</v>
      </c>
      <c r="T76" s="75">
        <f ca="1">T68</f>
        <v>39892497.849405386</v>
      </c>
      <c r="U76" s="75">
        <f ca="1">U68</f>
        <v>42847497.690102078</v>
      </c>
      <c r="V76" s="75">
        <f ca="1">V68</f>
        <v>45802497.530798778</v>
      </c>
      <c r="W76" s="75">
        <f ca="1">W68</f>
        <v>48757497.37149547</v>
      </c>
      <c r="X76" s="75">
        <f ca="1">X68</f>
        <v>51712497.212192163</v>
      </c>
    </row>
    <row r="77" spans="1:24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__temp__</vt:lpstr>
      <vt:lpstr>Detailed Cap Table</vt:lpstr>
      <vt:lpstr>SAFE Investments</vt:lpstr>
      <vt:lpstr>SeriesA</vt:lpstr>
      <vt:lpstr>SeriesB</vt:lpstr>
      <vt:lpstr>PostA 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2026-04-15T22:07:30Z</dcterms:modified>
</cp:coreProperties>
</file>