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ar/folders/pk/d3fxz1r57v334zbrzvw1g9pw0000gn/T/"/>
    </mc:Choice>
  </mc:AlternateContent>
  <xr:revisionPtr revIDLastSave="0" documentId="8_{D901AAF0-B279-1641-B1E4-FC8CA3E5508A}" xr6:coauthVersionLast="47" xr6:coauthVersionMax="47" xr10:uidLastSave="{00000000-0000-0000-0000-000000000000}"/>
  <bookViews>
    <workbookView xWindow="0" yWindow="760" windowWidth="29400" windowHeight="17180" activeTab="5" xr2:uid="{00000000-000D-0000-FFFF-FFFF00000000}"/>
  </bookViews>
  <sheets>
    <sheet name="__temp__" sheetId="143" r:id="rId1"/>
    <sheet name="Detailed Cap Table" sheetId="144" r:id="rId2"/>
    <sheet name="SAFE Investments" sheetId="145" r:id="rId3"/>
    <sheet name="Series Seed" sheetId="146" r:id="rId4"/>
    <sheet name="Series A" sheetId="147" r:id="rId5"/>
    <sheet name="Series B" sheetId="148" r:id="rId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48" l="1"/>
  <c r="O26" i="148"/>
  <c r="J26" i="148"/>
  <c r="E26" i="148"/>
  <c r="O25" i="148"/>
  <c r="J25" i="148"/>
  <c r="E25" i="148"/>
  <c r="N22" i="148"/>
  <c r="L22" i="148"/>
  <c r="J22" i="148"/>
  <c r="I22" i="148"/>
  <c r="G22" i="148"/>
  <c r="D22" i="148"/>
  <c r="C22" i="148"/>
  <c r="S22" i="148"/>
  <c r="S17" i="148" s="1"/>
  <c r="D19" i="148"/>
  <c r="S18" i="148"/>
  <c r="N18" i="148"/>
  <c r="N17" i="148"/>
  <c r="N16" i="148"/>
  <c r="D16" i="148"/>
  <c r="T14" i="148"/>
  <c r="O14" i="148"/>
  <c r="L14" i="148"/>
  <c r="J14" i="148"/>
  <c r="G14" i="148"/>
  <c r="E14" i="148"/>
  <c r="D14" i="148"/>
  <c r="C14" i="148"/>
  <c r="C12" i="148"/>
  <c r="X11" i="148"/>
  <c r="C11" i="148"/>
  <c r="X10" i="148"/>
  <c r="C10" i="148"/>
  <c r="X9" i="148"/>
  <c r="C9" i="148"/>
  <c r="X8" i="148"/>
  <c r="C8" i="148"/>
  <c r="E25" i="147"/>
  <c r="L21" i="147"/>
  <c r="J21" i="147"/>
  <c r="I21" i="147"/>
  <c r="G21" i="147"/>
  <c r="D21" i="147"/>
  <c r="C21" i="147"/>
  <c r="N21" i="147"/>
  <c r="D19" i="147"/>
  <c r="D16" i="147"/>
  <c r="O14" i="147"/>
  <c r="L14" i="147"/>
  <c r="J14" i="147"/>
  <c r="G14" i="147"/>
  <c r="E14" i="147"/>
  <c r="D14" i="147"/>
  <c r="C14" i="147"/>
  <c r="S12" i="147"/>
  <c r="C12" i="147"/>
  <c r="S11" i="147"/>
  <c r="C11" i="147"/>
  <c r="S10" i="147"/>
  <c r="C10" i="147"/>
  <c r="S9" i="147"/>
  <c r="C9" i="147"/>
  <c r="S8" i="147"/>
  <c r="C8" i="147"/>
  <c r="M21" i="146"/>
  <c r="L21" i="146"/>
  <c r="M14" i="146" s="1"/>
  <c r="J21" i="146"/>
  <c r="H21" i="146"/>
  <c r="G21" i="146"/>
  <c r="E21" i="146"/>
  <c r="D21" i="146"/>
  <c r="C21" i="146"/>
  <c r="M18" i="146"/>
  <c r="L18" i="146"/>
  <c r="G18" i="146"/>
  <c r="M17" i="146"/>
  <c r="L17" i="146"/>
  <c r="G17" i="146"/>
  <c r="L15" i="146"/>
  <c r="J15" i="146"/>
  <c r="H15" i="146"/>
  <c r="G15" i="146"/>
  <c r="E15" i="146"/>
  <c r="D15" i="146"/>
  <c r="C15" i="146"/>
  <c r="L14" i="146"/>
  <c r="C14" i="146"/>
  <c r="C13" i="146"/>
  <c r="L13" i="146" s="1"/>
  <c r="M13" i="146" s="1"/>
  <c r="C12" i="146"/>
  <c r="L12" i="146" s="1"/>
  <c r="M12" i="146" s="1"/>
  <c r="M11" i="146"/>
  <c r="L11" i="146"/>
  <c r="C11" i="146"/>
  <c r="M10" i="146"/>
  <c r="L10" i="146"/>
  <c r="C10" i="146"/>
  <c r="C27" i="145"/>
  <c r="G23" i="144"/>
  <c r="H18" i="144" s="1"/>
  <c r="F23" i="144"/>
  <c r="E23" i="144"/>
  <c r="D23" i="144"/>
  <c r="C23" i="144"/>
  <c r="H21" i="144"/>
  <c r="G21" i="144"/>
  <c r="H20" i="144"/>
  <c r="G20" i="144"/>
  <c r="H19" i="144"/>
  <c r="G19" i="144"/>
  <c r="G18" i="144"/>
  <c r="H17" i="144"/>
  <c r="G17" i="144"/>
  <c r="H16" i="144"/>
  <c r="G16" i="144"/>
  <c r="H15" i="144"/>
  <c r="G15" i="144"/>
  <c r="H14" i="144"/>
  <c r="G14" i="144"/>
  <c r="H13" i="144"/>
  <c r="G13" i="144"/>
  <c r="H12" i="144"/>
  <c r="G12" i="144"/>
  <c r="H11" i="144"/>
  <c r="G11" i="144"/>
  <c r="H10" i="144"/>
  <c r="G10" i="144"/>
  <c r="H9" i="144"/>
  <c r="G9" i="144"/>
  <c r="H8" i="144"/>
  <c r="G8" i="144"/>
  <c r="H7" i="144"/>
  <c r="G7" i="144"/>
  <c r="H6" i="144"/>
  <c r="G6" i="144"/>
  <c r="H5" i="144"/>
  <c r="G5" i="144"/>
  <c r="H4" i="144"/>
  <c r="G4" i="144"/>
  <c r="S16" i="148" l="1"/>
  <c r="M15" i="146"/>
  <c r="O25" i="147" l="1"/>
  <c r="O24" i="147" s="1"/>
  <c r="C29" i="147" l="1"/>
  <c r="T26" i="148"/>
  <c r="T25" i="148" s="1"/>
  <c r="C30" i="148" l="1"/>
  <c r="T8" i="147"/>
  <c r="T9" i="147"/>
  <c r="T10" i="147"/>
  <c r="T11" i="147"/>
  <c r="T12" i="147"/>
  <c r="Q13" i="147"/>
  <c r="S13" i="147"/>
  <c r="T13" i="147"/>
  <c r="Q14" i="147"/>
  <c r="S14" i="147"/>
  <c r="T14" i="147"/>
  <c r="E16" i="147"/>
  <c r="O16" i="147"/>
  <c r="S16" i="147"/>
  <c r="T16" i="147"/>
  <c r="O17" i="147"/>
  <c r="S17" i="147"/>
  <c r="T17" i="147"/>
  <c r="O18" i="147"/>
  <c r="S18" i="147"/>
  <c r="T18" i="147"/>
  <c r="E19" i="147"/>
  <c r="S19" i="147"/>
  <c r="T19" i="147"/>
  <c r="E21" i="147"/>
  <c r="O21" i="147"/>
  <c r="Q21" i="147"/>
  <c r="S21" i="147"/>
  <c r="T21" i="147"/>
  <c r="E23" i="147"/>
  <c r="O23" i="147"/>
  <c r="Y8" i="148"/>
  <c r="Y9" i="148"/>
  <c r="Y10" i="148"/>
  <c r="Y11" i="148"/>
  <c r="Q12" i="148"/>
  <c r="X12" i="148"/>
  <c r="Y12" i="148"/>
  <c r="V13" i="148"/>
  <c r="X13" i="148"/>
  <c r="Y13" i="148"/>
  <c r="Q14" i="148"/>
  <c r="V14" i="148"/>
  <c r="X14" i="148"/>
  <c r="Y14" i="148"/>
  <c r="E16" i="148"/>
  <c r="O16" i="148"/>
  <c r="T16" i="148"/>
  <c r="X16" i="148"/>
  <c r="Y16" i="148"/>
  <c r="O17" i="148"/>
  <c r="T17" i="148"/>
  <c r="X17" i="148"/>
  <c r="Y17" i="148"/>
  <c r="O18" i="148"/>
  <c r="T18" i="148"/>
  <c r="X18" i="148"/>
  <c r="Y18" i="148"/>
  <c r="E19" i="148"/>
  <c r="X19" i="148"/>
  <c r="Y19" i="148"/>
  <c r="T20" i="148"/>
  <c r="X20" i="148"/>
  <c r="Y20" i="148"/>
  <c r="E22" i="148"/>
  <c r="O22" i="148"/>
  <c r="Q22" i="148"/>
  <c r="T22" i="148"/>
  <c r="V22" i="148"/>
  <c r="X22" i="148"/>
  <c r="Y22" i="148"/>
  <c r="E24" i="148"/>
  <c r="J24" i="148"/>
  <c r="O24" i="148"/>
  <c r="T24" i="148"/>
</calcChain>
</file>

<file path=xl/sharedStrings.xml><?xml version="1.0" encoding="utf-8"?>
<sst xmlns="http://schemas.openxmlformats.org/spreadsheetml/2006/main" count="225" uniqueCount="104">
  <si>
    <t>Total</t>
  </si>
  <si>
    <t>Current</t>
  </si>
  <si>
    <t>Shareholder</t>
  </si>
  <si>
    <t>Founders CS</t>
  </si>
  <si>
    <t>RSA</t>
  </si>
  <si>
    <t>Options</t>
  </si>
  <si>
    <t>Exercised Options</t>
  </si>
  <si>
    <t>% FDS</t>
  </si>
  <si>
    <t>Brian Hazzard</t>
  </si>
  <si>
    <t>David Wolpoff</t>
  </si>
  <si>
    <t>Ian Lee</t>
  </si>
  <si>
    <t>Kyle Haugsness</t>
  </si>
  <si>
    <t>Paul Riegle</t>
  </si>
  <si>
    <t>Chris Butts</t>
  </si>
  <si>
    <t>Maurice Granfield</t>
  </si>
  <si>
    <t>Pawan Lakshmanan</t>
  </si>
  <si>
    <t>Matthew Howe</t>
  </si>
  <si>
    <t>Andrew Ethan  Boyce-Lewis</t>
  </si>
  <si>
    <t>Eric McIntyre</t>
  </si>
  <si>
    <t>Patrick Heath</t>
  </si>
  <si>
    <t>Chris Lord</t>
  </si>
  <si>
    <t>Eric Freedman</t>
  </si>
  <si>
    <t>Miguel Bollar</t>
  </si>
  <si>
    <t>Bradly Matheson</t>
  </si>
  <si>
    <t>Cole  Proctor</t>
  </si>
  <si>
    <t>Available Options</t>
  </si>
  <si>
    <t>SAFE</t>
  </si>
  <si>
    <t>Notes</t>
  </si>
  <si>
    <t>IRA is actual investor</t>
  </si>
  <si>
    <t>Accomplice Founder Fund, L.P.</t>
  </si>
  <si>
    <t>Accomplice Fund IV, L.P</t>
  </si>
  <si>
    <t>Amir Bagherzadeh</t>
  </si>
  <si>
    <t>Elizabeth A. Donaghey Irrevocable Trust 2016</t>
  </si>
  <si>
    <t>Gunderson Partners</t>
  </si>
  <si>
    <t>Joe Arcadi</t>
  </si>
  <si>
    <t>Kamal Ravikant Capital, LP - E4</t>
  </si>
  <si>
    <t>Navel</t>
  </si>
  <si>
    <t>Maria Cirino</t>
  </si>
  <si>
    <t>Mike Viscuso</t>
  </si>
  <si>
    <t>Mozart Holdings, LLC</t>
  </si>
  <si>
    <t>Orcinus Generational Irrevocable Trust - 2024</t>
  </si>
  <si>
    <t>Owl Rock Capital III, LLC</t>
  </si>
  <si>
    <t>Accomplice</t>
  </si>
  <si>
    <t>Ralph Folz</t>
  </si>
  <si>
    <t>Ravikant Capital, LP - F3</t>
  </si>
  <si>
    <t>Sean Leach</t>
  </si>
  <si>
    <t>The Francis V. Castellucci Trust - 2020</t>
  </si>
  <si>
    <t>The Patrick M. Morley 1999 Trust,</t>
  </si>
  <si>
    <t>Tom Barsi</t>
  </si>
  <si>
    <t>Travis MacInnes</t>
  </si>
  <si>
    <t>UWS West End Family Trust</t>
  </si>
  <si>
    <t>Mark Lotke</t>
  </si>
  <si>
    <t>SIDEKICK (THINK MORE SECURITY, INC.)</t>
  </si>
  <si>
    <t xml:space="preserve">Common </t>
  </si>
  <si>
    <t xml:space="preserve">Option </t>
  </si>
  <si>
    <t>Series A</t>
  </si>
  <si>
    <t>Total Capitalization</t>
  </si>
  <si>
    <t># of</t>
  </si>
  <si>
    <t>$</t>
  </si>
  <si>
    <t>Preferred</t>
  </si>
  <si>
    <t>Pool +</t>
  </si>
  <si>
    <t>Total FD</t>
  </si>
  <si>
    <t>Shares</t>
  </si>
  <si>
    <t>Pre A</t>
  </si>
  <si>
    <t>FD</t>
  </si>
  <si>
    <t>Common Stock and Options:</t>
  </si>
  <si>
    <t>Total Common</t>
  </si>
  <si>
    <t>Preferred Rounds</t>
  </si>
  <si>
    <t>1011 Ventures</t>
  </si>
  <si>
    <t>Other Series A Investors</t>
  </si>
  <si>
    <t>Totals</t>
  </si>
  <si>
    <t>Pre-Money Valuation</t>
  </si>
  <si>
    <t>Post-Money Valuation</t>
  </si>
  <si>
    <t>Series A Assumptions:</t>
  </si>
  <si>
    <t>Total Raised</t>
  </si>
  <si>
    <t>Series B</t>
  </si>
  <si>
    <t>Pre B</t>
  </si>
  <si>
    <t>Series B Assumptions:</t>
  </si>
  <si>
    <t>% Ownership</t>
  </si>
  <si>
    <t>Pre-Money Valuation Step-up</t>
  </si>
  <si>
    <t>Other Common Shareholders</t>
  </si>
  <si>
    <t>ESOP Issued &amp; Outstanding</t>
  </si>
  <si>
    <t>ESOP Available</t>
  </si>
  <si>
    <t>Other SAFE Investors</t>
  </si>
  <si>
    <t>Other Series B Investors</t>
  </si>
  <si>
    <t>Invested</t>
  </si>
  <si>
    <t>Post A</t>
  </si>
  <si>
    <t>Transfer from Owl Rocl Capital II, LLC (Accomplice)</t>
  </si>
  <si>
    <t xml:space="preserve">% </t>
  </si>
  <si>
    <t>1011 Contribution</t>
  </si>
  <si>
    <t xml:space="preserve">Price per Share </t>
  </si>
  <si>
    <t>SAFE Conversion</t>
  </si>
  <si>
    <t>% New Money</t>
  </si>
  <si>
    <t>SAFE Valuation Cap</t>
  </si>
  <si>
    <t>Option Pool Expansion %</t>
  </si>
  <si>
    <t>Pre-Funding</t>
  </si>
  <si>
    <t>Val Cap</t>
  </si>
  <si>
    <t>($)</t>
  </si>
  <si>
    <t>SAFE Rounds</t>
  </si>
  <si>
    <t>Post-Money Valuation Cap</t>
  </si>
  <si>
    <t>SERIES A ROUND</t>
  </si>
  <si>
    <t>SERIES B ROUND</t>
  </si>
  <si>
    <t>Post B</t>
  </si>
  <si>
    <t>Option Pool Gross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</si>
</sst>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0.0%"/>
    <numFmt numFmtId="168" formatCode="_-[$$-409]* #,##0_-;_-[$$-409]* \(#,##0\)_-;_-[$$-409]* &quot;-&quot;??;_-@_-"/>
    <numFmt numFmtId="175" formatCode="_-[$$-409]* #,##0.0000_-;_-[$$-409]* \(#,##0.0000\)_-;_-[$$-409]* &quot;-&quot;??;_-@_-"/>
    <numFmt numFmtId="178" formatCode="_(&quot;$&quot;* #,##0_);_(&quot;$&quot;* \(#,##0\);_(&quot;$&quot;* &quot;-&quot;??_);_(@_)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sz val="10"/>
      <color rgb="FF0000FF"/>
      <name val="Garamond"/>
      <family val="1"/>
    </font>
    <font>
      <sz val="10"/>
      <color rgb="FF008000"/>
      <name val="Garamond"/>
      <family val="1"/>
    </font>
    <font>
      <b/>
      <sz val="12"/>
      <color theme="1"/>
      <name val="Garamond"/>
      <family val="1"/>
    </font>
    <font>
      <sz val="10"/>
      <color rgb="FF000000"/>
      <name val="Garamond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Garamond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4">
    <xf numFmtId="0" fontId="0" fillId="0" borderId="0" xfId="0"/>
    <xf numFmtId="165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3" fontId="22" fillId="0" borderId="0" xfId="0" applyNumberFormat="1" applyFont="1"/>
    <xf numFmtId="165" fontId="21" fillId="33" borderId="0" xfId="0" applyNumberFormat="1" applyFont="1" applyFill="1"/>
    <xf numFmtId="165" fontId="18" fillId="33" borderId="0" xfId="0" applyNumberFormat="1" applyFont="1" applyFill="1"/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Continuous"/>
    </xf>
    <xf numFmtId="175" fontId="0" fillId="0" borderId="0" xfId="0" applyNumberFormat="1"/>
    <xf numFmtId="168" fontId="0" fillId="0" borderId="0" xfId="0" applyNumberFormat="1"/>
    <xf numFmtId="0" fontId="0" fillId="0" borderId="12" xfId="0" applyBorder="1"/>
    <xf numFmtId="0" fontId="0" fillId="0" borderId="13" xfId="0" applyBorder="1"/>
    <xf numFmtId="168" fontId="0" fillId="0" borderId="13" xfId="0" applyNumberFormat="1" applyBorder="1"/>
    <xf numFmtId="0" fontId="0" fillId="0" borderId="15" xfId="0" applyBorder="1"/>
    <xf numFmtId="0" fontId="20" fillId="0" borderId="15" xfId="0" applyFont="1" applyBorder="1"/>
    <xf numFmtId="0" fontId="0" fillId="0" borderId="17" xfId="0" applyBorder="1"/>
    <xf numFmtId="0" fontId="0" fillId="0" borderId="16" xfId="0" applyBorder="1"/>
    <xf numFmtId="0" fontId="20" fillId="0" borderId="20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3" fontId="25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64" fontId="25" fillId="0" borderId="0" xfId="0" applyNumberFormat="1" applyFont="1" applyAlignment="1">
      <alignment horizontal="center"/>
    </xf>
    <xf numFmtId="3" fontId="24" fillId="0" borderId="0" xfId="0" applyNumberFormat="1" applyFont="1"/>
    <xf numFmtId="0" fontId="27" fillId="0" borderId="20" xfId="0" applyFont="1" applyBorder="1"/>
    <xf numFmtId="0" fontId="24" fillId="0" borderId="15" xfId="0" applyFont="1" applyBorder="1"/>
    <xf numFmtId="0" fontId="27" fillId="0" borderId="15" xfId="0" applyFont="1" applyBorder="1"/>
    <xf numFmtId="0" fontId="0" fillId="0" borderId="11" xfId="0" applyBorder="1"/>
    <xf numFmtId="0" fontId="20" fillId="0" borderId="17" xfId="0" applyFont="1" applyBorder="1" applyAlignment="1">
      <alignment horizontal="center"/>
    </xf>
    <xf numFmtId="178" fontId="0" fillId="0" borderId="0" xfId="0" applyNumberFormat="1"/>
    <xf numFmtId="0" fontId="0" fillId="0" borderId="0" xfId="0" applyBorder="1"/>
    <xf numFmtId="0" fontId="0" fillId="0" borderId="14" xfId="0" applyBorder="1"/>
    <xf numFmtId="0" fontId="0" fillId="0" borderId="24" xfId="0" applyBorder="1"/>
    <xf numFmtId="168" fontId="22" fillId="0" borderId="0" xfId="0" applyNumberFormat="1" applyFont="1"/>
    <xf numFmtId="0" fontId="0" fillId="0" borderId="24" xfId="0" applyBorder="1" applyAlignment="1">
      <alignment horizontal="center"/>
    </xf>
    <xf numFmtId="168" fontId="18" fillId="0" borderId="0" xfId="0" applyNumberFormat="1" applyFont="1"/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165" fontId="24" fillId="0" borderId="17" xfId="0" applyNumberFormat="1" applyFont="1" applyBorder="1"/>
    <xf numFmtId="165" fontId="0" fillId="0" borderId="17" xfId="0" applyNumberFormat="1" applyBorder="1"/>
    <xf numFmtId="3" fontId="0" fillId="0" borderId="10" xfId="0" applyNumberFormat="1" applyBorder="1"/>
    <xf numFmtId="165" fontId="0" fillId="0" borderId="18" xfId="0" applyNumberFormat="1" applyBorder="1"/>
    <xf numFmtId="3" fontId="0" fillId="0" borderId="11" xfId="0" applyNumberFormat="1" applyBorder="1"/>
    <xf numFmtId="168" fontId="0" fillId="0" borderId="11" xfId="0" applyNumberFormat="1" applyBorder="1"/>
    <xf numFmtId="165" fontId="0" fillId="0" borderId="19" xfId="0" applyNumberFormat="1" applyBorder="1"/>
    <xf numFmtId="168" fontId="18" fillId="0" borderId="13" xfId="0" applyNumberFormat="1" applyFont="1" applyBorder="1"/>
    <xf numFmtId="178" fontId="22" fillId="0" borderId="0" xfId="0" applyNumberFormat="1" applyFont="1"/>
    <xf numFmtId="178" fontId="21" fillId="0" borderId="0" xfId="0" applyNumberFormat="1" applyFont="1"/>
    <xf numFmtId="178" fontId="21" fillId="33" borderId="0" xfId="0" applyNumberFormat="1" applyFont="1" applyFill="1"/>
    <xf numFmtId="9" fontId="21" fillId="33" borderId="0" xfId="0" applyNumberFormat="1" applyFont="1" applyFill="1"/>
    <xf numFmtId="178" fontId="0" fillId="0" borderId="11" xfId="0" applyNumberFormat="1" applyBorder="1"/>
    <xf numFmtId="175" fontId="0" fillId="0" borderId="21" xfId="0" applyNumberFormat="1" applyBorder="1"/>
    <xf numFmtId="178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b2c3d4-e5f6-7890-abcd-ef1234567890}">
  <we:reference id="a1b2c3d4-e5f6-7890-abcd-ef1234567890" version="1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CDF2-CD8C-2F4E-8B2F-A1C837F6F6F7}">
  <dimension ref="A1"/>
  <sheetViews>
    <sheetView workbookViewId="0"/>
  </sheetViews>
  <sheetFormatPr baseColWidth="10" defaultRowHeight="16" x14ac:dyDescent="0.2"/>
  <sheetData/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3A03-374A-F143-A5C2-3801A226CE2D}">
  <dimension ref="A1:O23"/>
  <sheetViews>
    <sheetView workbookViewId="0"/>
  </sheetViews>
  <sheetFormatPr baseColWidth="10" defaultRowHeight="16" x14ac:dyDescent="0.2"/>
  <cols>
    <col min="1" max="1" width="11.5" customWidth="1"/>
    <col min="2" max="2" width="32.83203125" customWidth="1"/>
    <col min="3" max="3" width="15.5" customWidth="1"/>
    <col min="4" max="4" width="9.5" customWidth="1"/>
    <col min="5" max="5" width="13.5" customWidth="1"/>
    <col min="6" max="6" width="22.1640625" customWidth="1"/>
    <col min="7" max="7" width="14" customWidth="1"/>
    <col min="8" max="8" width="12" customWidth="1"/>
    <col min="9" max="9" width="3.33203125" customWidth="1"/>
    <col min="10" max="10" width="10.6640625" customWidth="1"/>
  </cols>
  <sheetData>
    <row r="1" spans="1:15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">
      <c r="A2" s="5"/>
      <c r="B2" s="5"/>
      <c r="C2" s="5"/>
      <c r="D2" s="5"/>
      <c r="E2" s="5"/>
      <c r="F2" s="5"/>
      <c r="G2" s="5"/>
      <c r="H2" s="29" t="s">
        <v>1</v>
      </c>
      <c r="I2" s="5"/>
      <c r="J2" s="5"/>
      <c r="K2" s="5"/>
      <c r="L2" s="5"/>
      <c r="M2" s="5"/>
      <c r="N2" s="5"/>
      <c r="O2" s="5"/>
    </row>
    <row r="3" spans="1:15" x14ac:dyDescent="0.2">
      <c r="A3" s="5"/>
      <c r="B3" s="29" t="s">
        <v>2</v>
      </c>
      <c r="C3" s="29" t="s">
        <v>3</v>
      </c>
      <c r="D3" s="29" t="s">
        <v>4</v>
      </c>
      <c r="E3" s="29" t="s">
        <v>5</v>
      </c>
      <c r="F3" s="29" t="s">
        <v>6</v>
      </c>
      <c r="G3" s="29" t="s">
        <v>0</v>
      </c>
      <c r="H3" s="29" t="s">
        <v>7</v>
      </c>
      <c r="I3" s="5"/>
      <c r="J3" s="5"/>
      <c r="K3" s="5"/>
      <c r="L3" s="5"/>
      <c r="M3" s="5"/>
      <c r="N3" s="5"/>
      <c r="O3" s="5"/>
    </row>
    <row r="4" spans="1:15" x14ac:dyDescent="0.2">
      <c r="A4" s="5"/>
      <c r="B4" s="28" t="s">
        <v>8</v>
      </c>
      <c r="C4" s="30">
        <v>3600000</v>
      </c>
      <c r="D4" s="30"/>
      <c r="E4" s="30"/>
      <c r="F4" s="30"/>
      <c r="G4" s="30">
        <f>SUM(C4:F4)</f>
        <v>3600000</v>
      </c>
      <c r="H4" s="31">
        <f>G4/$G$23</f>
        <v>0.36959987630724139</v>
      </c>
      <c r="I4" s="5"/>
      <c r="J4" s="5"/>
      <c r="K4" s="5"/>
      <c r="L4" s="5"/>
      <c r="M4" s="5"/>
      <c r="N4" s="5"/>
      <c r="O4" s="5"/>
    </row>
    <row r="5" spans="1:15" x14ac:dyDescent="0.2">
      <c r="A5" s="5"/>
      <c r="B5" s="28" t="s">
        <v>9</v>
      </c>
      <c r="C5" s="30">
        <v>3600000</v>
      </c>
      <c r="D5" s="30"/>
      <c r="E5" s="30"/>
      <c r="F5" s="30"/>
      <c r="G5" s="30">
        <f>SUM(C5:F5)</f>
        <v>3600000</v>
      </c>
      <c r="H5" s="31">
        <f>G5/$G$23</f>
        <v>0.36959987630724139</v>
      </c>
      <c r="I5" s="5"/>
      <c r="J5" s="5"/>
      <c r="K5" s="5"/>
      <c r="L5" s="5"/>
      <c r="M5" s="5"/>
      <c r="N5" s="5"/>
      <c r="O5" s="5"/>
    </row>
    <row r="6" spans="1:15" x14ac:dyDescent="0.2">
      <c r="A6" s="5"/>
      <c r="B6" s="28" t="s">
        <v>10</v>
      </c>
      <c r="C6" s="30">
        <v>222187</v>
      </c>
      <c r="D6" s="30"/>
      <c r="E6" s="30"/>
      <c r="F6" s="30"/>
      <c r="G6" s="30">
        <f>SUM(C6:F6)</f>
        <v>222187</v>
      </c>
      <c r="H6" s="31">
        <f>G6/$G$23</f>
        <v>2.28111910325214E-2</v>
      </c>
      <c r="I6" s="5"/>
      <c r="J6" s="5"/>
      <c r="K6" s="5"/>
      <c r="L6" s="5"/>
      <c r="M6" s="5"/>
      <c r="N6" s="5"/>
      <c r="O6" s="5"/>
    </row>
    <row r="7" spans="1:15" x14ac:dyDescent="0.2">
      <c r="A7" s="5"/>
      <c r="B7" s="28" t="s">
        <v>11</v>
      </c>
      <c r="C7" s="30">
        <v>592500</v>
      </c>
      <c r="D7" s="30"/>
      <c r="E7" s="30"/>
      <c r="F7" s="30"/>
      <c r="G7" s="30">
        <f>SUM(C7:F7)</f>
        <v>592500</v>
      </c>
      <c r="H7" s="31">
        <f>G7/$G$23</f>
        <v>6.0829979642233481E-2</v>
      </c>
      <c r="I7" s="5"/>
      <c r="J7" s="5"/>
      <c r="K7" s="5"/>
      <c r="L7" s="5"/>
      <c r="M7" s="5"/>
      <c r="N7" s="5"/>
      <c r="O7" s="5"/>
    </row>
    <row r="8" spans="1:15" x14ac:dyDescent="0.2">
      <c r="A8" s="5"/>
      <c r="B8" s="28" t="s">
        <v>12</v>
      </c>
      <c r="C8" s="30">
        <v>592500</v>
      </c>
      <c r="D8" s="30"/>
      <c r="E8" s="30"/>
      <c r="F8" s="30"/>
      <c r="G8" s="30">
        <f>SUM(C8:F8)</f>
        <v>592500</v>
      </c>
      <c r="H8" s="31">
        <f>G8/$G$23</f>
        <v>6.0829979642233481E-2</v>
      </c>
      <c r="I8" s="5"/>
      <c r="J8" s="5"/>
      <c r="K8" s="5"/>
      <c r="L8" s="5"/>
      <c r="M8" s="5"/>
      <c r="N8" s="5"/>
      <c r="O8" s="5"/>
    </row>
    <row r="9" spans="1:15" x14ac:dyDescent="0.2">
      <c r="A9" s="5"/>
      <c r="B9" s="28" t="s">
        <v>13</v>
      </c>
      <c r="C9" s="30">
        <v>13500</v>
      </c>
      <c r="D9" s="30">
        <v>98900</v>
      </c>
      <c r="E9" s="30"/>
      <c r="F9" s="30"/>
      <c r="G9" s="30">
        <f>SUM(C9:F9)</f>
        <v>112400</v>
      </c>
      <c r="H9" s="31">
        <f>G9/$G$23</f>
        <v>1.1539729471370537E-2</v>
      </c>
      <c r="I9" s="5"/>
      <c r="J9" s="5"/>
      <c r="K9" s="5"/>
      <c r="L9" s="5"/>
      <c r="M9" s="5"/>
      <c r="N9" s="5"/>
      <c r="O9" s="5"/>
    </row>
    <row r="10" spans="1:15" x14ac:dyDescent="0.2">
      <c r="A10" s="5"/>
      <c r="B10" s="28" t="s">
        <v>14</v>
      </c>
      <c r="C10" s="30">
        <v>9000</v>
      </c>
      <c r="D10" s="30"/>
      <c r="E10" s="30"/>
      <c r="F10" s="30"/>
      <c r="G10" s="30">
        <f>SUM(C10:F10)</f>
        <v>9000</v>
      </c>
      <c r="H10" s="31">
        <f>G10/$G$23</f>
        <v>9.2399969076810353E-4</v>
      </c>
      <c r="I10" s="5"/>
      <c r="J10" s="5"/>
      <c r="K10" s="5"/>
      <c r="L10" s="5"/>
      <c r="M10" s="5"/>
      <c r="N10" s="5"/>
      <c r="O10" s="5"/>
    </row>
    <row r="11" spans="1:15" x14ac:dyDescent="0.2">
      <c r="A11" s="5"/>
      <c r="B11" s="28" t="s">
        <v>15</v>
      </c>
      <c r="C11" s="30"/>
      <c r="D11" s="30">
        <v>95000</v>
      </c>
      <c r="E11" s="30"/>
      <c r="F11" s="30"/>
      <c r="G11" s="30">
        <f>SUM(C11:F11)</f>
        <v>95000</v>
      </c>
      <c r="H11" s="31">
        <f>G11/$G$23</f>
        <v>9.7533300692188695E-3</v>
      </c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28" t="s">
        <v>16</v>
      </c>
      <c r="C12" s="30"/>
      <c r="D12" s="30"/>
      <c r="E12" s="30">
        <v>25000</v>
      </c>
      <c r="F12" s="30"/>
      <c r="G12" s="30">
        <f>SUM(C12:F12)</f>
        <v>25000</v>
      </c>
      <c r="H12" s="31">
        <f>G12/$G$23</f>
        <v>2.5666658076891765E-3</v>
      </c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28" t="s">
        <v>17</v>
      </c>
      <c r="C13" s="30"/>
      <c r="D13" s="30"/>
      <c r="E13" s="30">
        <v>41562</v>
      </c>
      <c r="F13" s="30"/>
      <c r="G13" s="30">
        <f>SUM(C13:F13)</f>
        <v>41562</v>
      </c>
      <c r="H13" s="31">
        <f>G13/$G$23</f>
        <v>4.2670305719671019E-3</v>
      </c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28" t="s">
        <v>18</v>
      </c>
      <c r="C14" s="30"/>
      <c r="D14" s="30">
        <v>285000</v>
      </c>
      <c r="E14" s="30"/>
      <c r="F14" s="30"/>
      <c r="G14" s="30">
        <f>SUM(C14:F14)</f>
        <v>285000</v>
      </c>
      <c r="H14" s="31">
        <f>G14/$G$23</f>
        <v>2.925999020765661E-2</v>
      </c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28" t="s">
        <v>19</v>
      </c>
      <c r="C15" s="30"/>
      <c r="D15" s="30">
        <v>50000</v>
      </c>
      <c r="E15" s="30"/>
      <c r="F15" s="30"/>
      <c r="G15" s="30">
        <f>SUM(C15:F15)</f>
        <v>50000</v>
      </c>
      <c r="H15" s="31">
        <f>G15/$G$23</f>
        <v>5.133331615378353E-3</v>
      </c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28" t="s">
        <v>20</v>
      </c>
      <c r="C16" s="30"/>
      <c r="D16" s="30">
        <v>285000</v>
      </c>
      <c r="E16" s="30"/>
      <c r="F16" s="30"/>
      <c r="G16" s="30">
        <f>SUM(C16:F16)</f>
        <v>285000</v>
      </c>
      <c r="H16" s="31">
        <f>G16/$G$23</f>
        <v>2.925999020765661E-2</v>
      </c>
      <c r="I16" s="5"/>
      <c r="J16" s="5"/>
      <c r="K16" s="5"/>
      <c r="L16" s="5"/>
      <c r="M16" s="5"/>
      <c r="N16" s="5"/>
      <c r="O16" s="5"/>
    </row>
    <row r="17" spans="1:15" x14ac:dyDescent="0.2">
      <c r="A17" s="5"/>
      <c r="B17" s="28" t="s">
        <v>21</v>
      </c>
      <c r="C17" s="30"/>
      <c r="D17" s="30"/>
      <c r="E17" s="30">
        <v>96186</v>
      </c>
      <c r="F17" s="30"/>
      <c r="G17" s="30">
        <f>SUM(C17:F17)</f>
        <v>96186</v>
      </c>
      <c r="H17" s="31">
        <f>G17/$G$23</f>
        <v>9.8750926951356455E-3</v>
      </c>
      <c r="I17" s="5"/>
      <c r="J17" s="5"/>
      <c r="K17" s="5"/>
      <c r="L17" s="5"/>
      <c r="M17" s="5"/>
      <c r="N17" s="5"/>
      <c r="O17" s="5"/>
    </row>
    <row r="18" spans="1:15" x14ac:dyDescent="0.2">
      <c r="A18" s="5"/>
      <c r="B18" s="28" t="s">
        <v>22</v>
      </c>
      <c r="C18" s="30"/>
      <c r="D18" s="30"/>
      <c r="E18" s="30">
        <v>48095</v>
      </c>
      <c r="F18" s="30"/>
      <c r="G18" s="30">
        <f>SUM(C18:F18)</f>
        <v>48095</v>
      </c>
      <c r="H18" s="31">
        <f>G18/$G$23</f>
        <v>4.9377516808324371E-3</v>
      </c>
      <c r="I18" s="5"/>
      <c r="J18" s="5"/>
      <c r="K18" s="5"/>
      <c r="L18" s="5"/>
      <c r="M18" s="5"/>
      <c r="N18" s="5"/>
      <c r="O18" s="5"/>
    </row>
    <row r="19" spans="1:15" x14ac:dyDescent="0.2">
      <c r="A19" s="5"/>
      <c r="B19" s="28" t="s">
        <v>23</v>
      </c>
      <c r="C19" s="30"/>
      <c r="D19" s="30"/>
      <c r="E19" s="30"/>
      <c r="F19" s="30">
        <v>12395</v>
      </c>
      <c r="G19" s="30">
        <f>SUM(C19:F19)</f>
        <v>12395</v>
      </c>
      <c r="H19" s="31">
        <f>G19/$G$23</f>
        <v>1.2725529074522936E-3</v>
      </c>
      <c r="I19" s="5"/>
      <c r="J19" s="5"/>
      <c r="K19" s="5"/>
      <c r="L19" s="5"/>
      <c r="M19" s="5"/>
      <c r="N19" s="5"/>
      <c r="O19" s="5"/>
    </row>
    <row r="20" spans="1:15" x14ac:dyDescent="0.2">
      <c r="A20" s="5"/>
      <c r="B20" s="28" t="s">
        <v>24</v>
      </c>
      <c r="C20" s="30"/>
      <c r="D20" s="30"/>
      <c r="E20" s="30"/>
      <c r="F20" s="30">
        <v>8333</v>
      </c>
      <c r="G20" s="30">
        <f>SUM(C20:F20)</f>
        <v>8333</v>
      </c>
      <c r="H20" s="31">
        <f>G20/$G$23</f>
        <v>8.5552104701895626E-4</v>
      </c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28" t="s">
        <v>25</v>
      </c>
      <c r="C21" s="30"/>
      <c r="D21" s="30">
        <v>65105</v>
      </c>
      <c r="E21" s="30"/>
      <c r="F21" s="30"/>
      <c r="G21" s="30">
        <f>SUM(C21:F21)</f>
        <v>65105</v>
      </c>
      <c r="H21" s="31">
        <f>G21/$G$23</f>
        <v>6.6841110963841528E-3</v>
      </c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3"/>
      <c r="D22" s="3"/>
      <c r="E22" s="3"/>
      <c r="F22" s="3"/>
      <c r="G22" s="3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29" t="s">
        <v>0</v>
      </c>
      <c r="C23" s="30">
        <f>SUM(C4:C21)</f>
        <v>8629687</v>
      </c>
      <c r="D23" s="30">
        <f>SUM(D4:D21)</f>
        <v>879005</v>
      </c>
      <c r="E23" s="30">
        <f>SUM(E4:E21)</f>
        <v>210843</v>
      </c>
      <c r="F23" s="30">
        <f>SUM(F4:F21)</f>
        <v>20728</v>
      </c>
      <c r="G23" s="30">
        <f>SUM(G4:G21)</f>
        <v>9740263</v>
      </c>
      <c r="H23" s="5"/>
      <c r="I23" s="5"/>
      <c r="J23" s="5"/>
      <c r="K23" s="5"/>
      <c r="L23" s="5"/>
      <c r="M23" s="5"/>
      <c r="N23" s="5"/>
      <c r="O2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6232-3DD7-2049-B0C1-0860F8A7EDA0}">
  <dimension ref="A1:K27"/>
  <sheetViews>
    <sheetView workbookViewId="0"/>
  </sheetViews>
  <sheetFormatPr baseColWidth="10" defaultRowHeight="16" x14ac:dyDescent="0.2"/>
  <cols>
    <col min="1" max="1" width="11.5" customWidth="1"/>
    <col min="2" max="2" width="51.5" customWidth="1"/>
    <col min="3" max="3" width="12.33203125" customWidth="1"/>
    <col min="4" max="4" width="3.33203125" customWidth="1"/>
    <col min="5" max="5" width="60.1640625" customWidth="1"/>
    <col min="6" max="6" width="10.6640625" customWidth="1"/>
  </cols>
  <sheetData>
    <row r="1" spans="1:1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">
      <c r="A3" s="5"/>
      <c r="B3" s="29" t="s">
        <v>2</v>
      </c>
      <c r="C3" s="32" t="s">
        <v>26</v>
      </c>
      <c r="D3" s="5"/>
      <c r="E3" s="29" t="s">
        <v>27</v>
      </c>
      <c r="F3" s="5"/>
      <c r="G3" s="5"/>
      <c r="H3" s="5"/>
      <c r="I3" s="5"/>
      <c r="J3" s="5"/>
      <c r="K3" s="5"/>
    </row>
    <row r="4" spans="1:11" x14ac:dyDescent="0.2">
      <c r="A4" s="5"/>
      <c r="B4" s="28" t="s">
        <v>13</v>
      </c>
      <c r="C4" s="33">
        <v>25000</v>
      </c>
      <c r="D4" s="5"/>
      <c r="E4" s="28" t="s">
        <v>28</v>
      </c>
      <c r="F4" s="5"/>
      <c r="G4" s="5"/>
      <c r="H4" s="5"/>
      <c r="I4" s="5"/>
      <c r="J4" s="5"/>
      <c r="K4" s="5"/>
    </row>
    <row r="5" spans="1:11" x14ac:dyDescent="0.2">
      <c r="A5" s="5"/>
      <c r="B5" s="28" t="s">
        <v>14</v>
      </c>
      <c r="C5" s="33">
        <v>25000</v>
      </c>
      <c r="D5" s="5"/>
      <c r="E5" s="28"/>
      <c r="F5" s="5"/>
      <c r="G5" s="5"/>
      <c r="H5" s="5"/>
      <c r="I5" s="5"/>
      <c r="J5" s="5"/>
      <c r="K5" s="5"/>
    </row>
    <row r="6" spans="1:11" ht="15.75" customHeight="1" x14ac:dyDescent="0.2">
      <c r="A6" s="5"/>
      <c r="B6" s="28" t="s">
        <v>29</v>
      </c>
      <c r="C6" s="33">
        <v>137170.75</v>
      </c>
      <c r="D6" s="5"/>
      <c r="E6" s="28"/>
      <c r="F6" s="5"/>
      <c r="G6" s="5"/>
      <c r="H6" s="5"/>
      <c r="I6" s="5"/>
      <c r="J6" s="5"/>
      <c r="K6" s="5"/>
    </row>
    <row r="7" spans="1:11" ht="15.75" customHeight="1" x14ac:dyDescent="0.2">
      <c r="A7" s="5"/>
      <c r="B7" s="28" t="s">
        <v>30</v>
      </c>
      <c r="C7" s="33">
        <v>3846829.25</v>
      </c>
      <c r="D7" s="5"/>
      <c r="E7" s="28"/>
      <c r="F7" s="5"/>
      <c r="G7" s="5"/>
      <c r="H7" s="5"/>
      <c r="I7" s="5"/>
      <c r="J7" s="5"/>
      <c r="K7" s="5"/>
    </row>
    <row r="8" spans="1:11" ht="15.75" customHeight="1" x14ac:dyDescent="0.2">
      <c r="A8" s="5"/>
      <c r="B8" s="28" t="s">
        <v>31</v>
      </c>
      <c r="C8" s="33">
        <v>16566</v>
      </c>
      <c r="D8" s="5"/>
      <c r="E8" s="28" t="s">
        <v>87</v>
      </c>
      <c r="F8" s="5"/>
      <c r="G8" s="5"/>
      <c r="H8" s="5"/>
      <c r="I8" s="5"/>
      <c r="J8" s="5"/>
      <c r="K8" s="5"/>
    </row>
    <row r="9" spans="1:11" ht="15.75" customHeight="1" x14ac:dyDescent="0.2">
      <c r="A9" s="5"/>
      <c r="B9" s="28" t="s">
        <v>32</v>
      </c>
      <c r="C9" s="33">
        <v>250000</v>
      </c>
      <c r="D9" s="5"/>
      <c r="E9" s="28"/>
      <c r="F9" s="5"/>
      <c r="G9" s="5"/>
      <c r="H9" s="5"/>
      <c r="I9" s="5"/>
      <c r="J9" s="5"/>
      <c r="K9" s="5"/>
    </row>
    <row r="10" spans="1:11" ht="15.75" customHeight="1" x14ac:dyDescent="0.2">
      <c r="A10" s="5"/>
      <c r="B10" s="28" t="s">
        <v>33</v>
      </c>
      <c r="C10" s="33">
        <v>100000</v>
      </c>
      <c r="D10" s="5"/>
      <c r="E10" s="28"/>
      <c r="F10" s="5"/>
      <c r="G10" s="5"/>
      <c r="H10" s="5"/>
      <c r="I10" s="5"/>
      <c r="J10" s="5"/>
      <c r="K10" s="5"/>
    </row>
    <row r="11" spans="1:11" ht="15.75" customHeight="1" x14ac:dyDescent="0.2">
      <c r="A11" s="5"/>
      <c r="B11" s="28" t="s">
        <v>34</v>
      </c>
      <c r="C11" s="33">
        <v>300000</v>
      </c>
      <c r="D11" s="5"/>
      <c r="E11" s="28" t="s">
        <v>28</v>
      </c>
      <c r="F11" s="5"/>
      <c r="G11" s="5"/>
      <c r="H11" s="5"/>
      <c r="I11" s="5"/>
      <c r="J11" s="5"/>
      <c r="K11" s="5"/>
    </row>
    <row r="12" spans="1:11" ht="15.75" customHeight="1" x14ac:dyDescent="0.2">
      <c r="A12" s="5"/>
      <c r="B12" s="28" t="s">
        <v>35</v>
      </c>
      <c r="C12" s="33">
        <v>37500</v>
      </c>
      <c r="D12" s="5"/>
      <c r="E12" s="28" t="s">
        <v>36</v>
      </c>
      <c r="F12" s="5"/>
      <c r="G12" s="5"/>
      <c r="H12" s="5"/>
      <c r="I12" s="5"/>
      <c r="J12" s="5"/>
      <c r="K12" s="5"/>
    </row>
    <row r="13" spans="1:11" ht="15.75" customHeight="1" x14ac:dyDescent="0.2">
      <c r="A13" s="5"/>
      <c r="B13" s="28" t="s">
        <v>37</v>
      </c>
      <c r="C13" s="33">
        <v>250000</v>
      </c>
      <c r="D13" s="5"/>
      <c r="E13" s="28"/>
      <c r="F13" s="5"/>
      <c r="G13" s="5"/>
      <c r="H13" s="5"/>
      <c r="I13" s="5"/>
      <c r="J13" s="5"/>
      <c r="K13" s="5"/>
    </row>
    <row r="14" spans="1:11" ht="15.75" customHeight="1" x14ac:dyDescent="0.2">
      <c r="A14" s="5"/>
      <c r="B14" s="28" t="s">
        <v>38</v>
      </c>
      <c r="C14" s="33">
        <v>100000</v>
      </c>
      <c r="D14" s="5"/>
      <c r="E14" s="28"/>
      <c r="F14" s="5"/>
      <c r="G14" s="5"/>
      <c r="H14" s="5"/>
      <c r="I14" s="5"/>
      <c r="J14" s="5"/>
      <c r="K14" s="5"/>
    </row>
    <row r="15" spans="1:11" ht="15.75" customHeight="1" x14ac:dyDescent="0.2">
      <c r="A15" s="5"/>
      <c r="B15" s="28" t="s">
        <v>39</v>
      </c>
      <c r="C15" s="33">
        <v>41164</v>
      </c>
      <c r="D15" s="5"/>
      <c r="E15" s="28" t="s">
        <v>87</v>
      </c>
      <c r="F15" s="5"/>
      <c r="G15" s="5"/>
      <c r="H15" s="5"/>
      <c r="I15" s="5"/>
      <c r="J15" s="5"/>
      <c r="K15" s="5"/>
    </row>
    <row r="16" spans="1:11" ht="15.75" customHeight="1" x14ac:dyDescent="0.2">
      <c r="A16" s="5"/>
      <c r="B16" s="28" t="s">
        <v>40</v>
      </c>
      <c r="C16" s="33">
        <v>2328778</v>
      </c>
      <c r="D16" s="5"/>
      <c r="E16" s="28" t="s">
        <v>87</v>
      </c>
      <c r="F16" s="5"/>
      <c r="G16" s="5"/>
      <c r="H16" s="5"/>
      <c r="I16" s="5"/>
      <c r="J16" s="5"/>
      <c r="K16" s="5"/>
    </row>
    <row r="17" spans="1:11" ht="15.75" customHeight="1" x14ac:dyDescent="0.2">
      <c r="A17" s="5"/>
      <c r="B17" s="28" t="s">
        <v>41</v>
      </c>
      <c r="C17" s="33">
        <v>1506000</v>
      </c>
      <c r="D17" s="5"/>
      <c r="E17" s="28" t="s">
        <v>42</v>
      </c>
      <c r="F17" s="5"/>
      <c r="G17" s="5"/>
      <c r="H17" s="5"/>
      <c r="I17" s="5"/>
      <c r="J17" s="5"/>
      <c r="K17" s="5"/>
    </row>
    <row r="18" spans="1:11" ht="15.75" customHeight="1" x14ac:dyDescent="0.2">
      <c r="A18" s="5"/>
      <c r="B18" s="28" t="s">
        <v>43</v>
      </c>
      <c r="C18" s="33">
        <v>50000</v>
      </c>
      <c r="D18" s="5"/>
      <c r="E18" s="28"/>
      <c r="F18" s="5"/>
      <c r="G18" s="5"/>
      <c r="H18" s="5"/>
      <c r="I18" s="5"/>
      <c r="J18" s="5"/>
      <c r="K18" s="5"/>
    </row>
    <row r="19" spans="1:11" ht="15.75" customHeight="1" x14ac:dyDescent="0.2">
      <c r="A19" s="5"/>
      <c r="B19" s="28" t="s">
        <v>44</v>
      </c>
      <c r="C19" s="33">
        <v>212500</v>
      </c>
      <c r="D19" s="5"/>
      <c r="E19" s="28" t="s">
        <v>36</v>
      </c>
      <c r="F19" s="5"/>
      <c r="G19" s="5"/>
      <c r="H19" s="5"/>
      <c r="I19" s="5"/>
      <c r="J19" s="5"/>
      <c r="K19" s="5"/>
    </row>
    <row r="20" spans="1:11" ht="15.75" customHeight="1" x14ac:dyDescent="0.2">
      <c r="A20" s="5"/>
      <c r="B20" s="28" t="s">
        <v>45</v>
      </c>
      <c r="C20" s="33">
        <v>25000</v>
      </c>
      <c r="D20" s="5"/>
      <c r="E20" s="28"/>
      <c r="F20" s="5"/>
      <c r="G20" s="5"/>
      <c r="H20" s="5"/>
      <c r="I20" s="5"/>
      <c r="J20" s="5"/>
      <c r="K20" s="5"/>
    </row>
    <row r="21" spans="1:11" ht="15.75" customHeight="1" x14ac:dyDescent="0.2">
      <c r="A21" s="5"/>
      <c r="B21" s="28" t="s">
        <v>46</v>
      </c>
      <c r="C21" s="33">
        <v>61746</v>
      </c>
      <c r="D21" s="5"/>
      <c r="E21" s="28" t="s">
        <v>87</v>
      </c>
      <c r="F21" s="5"/>
      <c r="G21" s="5"/>
      <c r="H21" s="5"/>
      <c r="I21" s="5"/>
      <c r="J21" s="5"/>
      <c r="K21" s="5"/>
    </row>
    <row r="22" spans="1:11" ht="15.75" customHeight="1" x14ac:dyDescent="0.2">
      <c r="A22" s="5"/>
      <c r="B22" s="28" t="s">
        <v>47</v>
      </c>
      <c r="C22" s="33">
        <v>100000</v>
      </c>
      <c r="D22" s="5"/>
      <c r="E22" s="28"/>
      <c r="F22" s="5"/>
      <c r="G22" s="5"/>
      <c r="H22" s="5"/>
      <c r="I22" s="5"/>
      <c r="J22" s="5"/>
      <c r="K22" s="5"/>
    </row>
    <row r="23" spans="1:11" ht="15.75" customHeight="1" x14ac:dyDescent="0.2">
      <c r="A23" s="5"/>
      <c r="B23" s="28" t="s">
        <v>48</v>
      </c>
      <c r="C23" s="33">
        <v>100000</v>
      </c>
      <c r="D23" s="5"/>
      <c r="E23" s="28"/>
      <c r="F23" s="5"/>
      <c r="G23" s="5"/>
      <c r="H23" s="5"/>
      <c r="I23" s="5"/>
      <c r="J23" s="5"/>
      <c r="K23" s="5"/>
    </row>
    <row r="24" spans="1:11" ht="15.75" customHeight="1" x14ac:dyDescent="0.2">
      <c r="A24" s="5"/>
      <c r="B24" s="28" t="s">
        <v>49</v>
      </c>
      <c r="C24" s="33">
        <v>61746</v>
      </c>
      <c r="D24" s="5"/>
      <c r="E24" s="28" t="s">
        <v>87</v>
      </c>
      <c r="F24" s="5"/>
      <c r="G24" s="5"/>
      <c r="H24" s="5"/>
      <c r="I24" s="5"/>
      <c r="J24" s="5"/>
      <c r="K24" s="5"/>
    </row>
    <row r="25" spans="1:11" ht="15.75" customHeight="1" x14ac:dyDescent="0.2">
      <c r="A25" s="5"/>
      <c r="B25" s="28" t="s">
        <v>50</v>
      </c>
      <c r="C25" s="33">
        <v>250000</v>
      </c>
      <c r="D25" s="5"/>
      <c r="E25" s="28" t="s">
        <v>51</v>
      </c>
      <c r="F25" s="5"/>
      <c r="G25" s="5"/>
      <c r="H25" s="5"/>
      <c r="I25" s="5"/>
      <c r="J25" s="5"/>
      <c r="K25" s="5"/>
    </row>
    <row r="26" spans="1:11" ht="15.75" customHeight="1" x14ac:dyDescent="0.2">
      <c r="A26" s="5"/>
      <c r="B26" s="5"/>
      <c r="C26" s="4"/>
      <c r="D26" s="5"/>
      <c r="E26" s="5"/>
      <c r="F26" s="5"/>
      <c r="G26" s="5"/>
      <c r="H26" s="5"/>
      <c r="I26" s="5"/>
      <c r="J26" s="5"/>
      <c r="K26" s="5"/>
    </row>
    <row r="27" spans="1:11" ht="15.75" customHeight="1" x14ac:dyDescent="0.2">
      <c r="A27" s="5"/>
      <c r="B27" s="28" t="s">
        <v>0</v>
      </c>
      <c r="C27" s="32">
        <f>SUM(C4:C25)</f>
        <v>9825000</v>
      </c>
      <c r="D27" s="5"/>
      <c r="E27" s="5"/>
      <c r="F27" s="5"/>
      <c r="G27" s="5"/>
      <c r="H27" s="5"/>
      <c r="I27" s="5"/>
      <c r="J27" s="5"/>
      <c r="K2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4787-5B03-6349-A875-B2FF2EAE12B3}">
  <dimension ref="B1:N25"/>
  <sheetViews>
    <sheetView showGridLines="0" workbookViewId="0"/>
  </sheetViews>
  <sheetFormatPr baseColWidth="10" defaultRowHeight="16" x14ac:dyDescent="0.2"/>
  <cols>
    <col min="1" max="1" width="6.33203125" customWidth="1"/>
    <col min="2" max="2" width="35.5" customWidth="1"/>
    <col min="3" max="3" width="14.33203125" customWidth="1"/>
    <col min="4" max="4" width="17.6640625" customWidth="1"/>
    <col min="5" max="5" width="16.83203125" customWidth="1"/>
    <col min="6" max="6" width="0.5" customWidth="1"/>
    <col min="7" max="7" width="15.5" customWidth="1"/>
    <col min="8" max="8" width="16.83203125" customWidth="1"/>
    <col min="9" max="9" width="0.5" customWidth="1"/>
    <col min="10" max="10" width="13.83203125" customWidth="1"/>
    <col min="11" max="11" width="0.5" customWidth="1"/>
    <col min="12" max="12" width="14.33203125" customWidth="1"/>
    <col min="13" max="13" width="9.33203125" customWidth="1"/>
    <col min="14" max="14" width="15" customWidth="1"/>
  </cols>
  <sheetData>
    <row r="1" spans="2:14" x14ac:dyDescent="0.2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2"/>
    </row>
    <row r="2" spans="2:14" x14ac:dyDescent="0.2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2"/>
    </row>
    <row r="3" spans="2:14" x14ac:dyDescent="0.2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</row>
    <row r="4" spans="2:14" ht="15.5" customHeight="1" x14ac:dyDescent="0.2">
      <c r="B4" s="13" t="s">
        <v>52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2"/>
    </row>
    <row r="5" spans="2:14" ht="16.25" customHeight="1" thickBot="1" x14ac:dyDescent="0.2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 spans="2:14" ht="13.75" customHeight="1" thickBot="1" x14ac:dyDescent="0.25">
      <c r="C6" s="23" t="s">
        <v>53</v>
      </c>
      <c r="D6" s="23"/>
      <c r="E6" s="45"/>
      <c r="G6" s="23" t="s">
        <v>26</v>
      </c>
      <c r="H6" s="45"/>
      <c r="J6" s="23" t="s">
        <v>54</v>
      </c>
      <c r="K6" s="19"/>
      <c r="L6" s="23" t="s">
        <v>56</v>
      </c>
      <c r="M6" s="45"/>
      <c r="N6" s="7" t="s">
        <v>26</v>
      </c>
    </row>
    <row r="7" spans="2:14" x14ac:dyDescent="0.2">
      <c r="C7" s="23" t="s">
        <v>57</v>
      </c>
      <c r="D7" s="48" t="s">
        <v>58</v>
      </c>
      <c r="E7" s="27" t="s">
        <v>59</v>
      </c>
      <c r="G7" s="48" t="s">
        <v>58</v>
      </c>
      <c r="H7" s="27" t="s">
        <v>59</v>
      </c>
      <c r="J7" s="26" t="s">
        <v>60</v>
      </c>
      <c r="K7" s="41"/>
      <c r="L7" s="23" t="s">
        <v>61</v>
      </c>
      <c r="M7" s="27" t="s">
        <v>88</v>
      </c>
      <c r="N7" s="7" t="s">
        <v>96</v>
      </c>
    </row>
    <row r="8" spans="2:14" ht="13.75" customHeight="1" thickBot="1" x14ac:dyDescent="0.25">
      <c r="C8" s="25" t="s">
        <v>62</v>
      </c>
      <c r="D8" s="47" t="s">
        <v>85</v>
      </c>
      <c r="E8" s="39" t="s">
        <v>62</v>
      </c>
      <c r="G8" s="47" t="s">
        <v>85</v>
      </c>
      <c r="H8" s="39" t="s">
        <v>62</v>
      </c>
      <c r="J8" s="26" t="s">
        <v>95</v>
      </c>
      <c r="K8" s="41"/>
      <c r="L8" s="25" t="s">
        <v>62</v>
      </c>
      <c r="M8" s="39" t="s">
        <v>64</v>
      </c>
      <c r="N8" s="7" t="s">
        <v>97</v>
      </c>
    </row>
    <row r="9" spans="2:14" x14ac:dyDescent="0.2">
      <c r="B9" s="35" t="s">
        <v>65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43"/>
    </row>
    <row r="10" spans="2:14" x14ac:dyDescent="0.2">
      <c r="B10" s="36" t="s">
        <v>8</v>
      </c>
      <c r="C10" s="8">
        <f>'Detailed Cap Table'!C4</f>
        <v>3600000</v>
      </c>
      <c r="E10" s="2"/>
      <c r="G10" s="15"/>
      <c r="H10" s="2"/>
      <c r="J10" s="2"/>
      <c r="L10" s="34">
        <f>C10+E10+H10+J10</f>
        <v>3600000</v>
      </c>
      <c r="M10" s="49">
        <f>L10/$L$21</f>
        <v>0.36959987630724139</v>
      </c>
      <c r="N10" s="46">
        <v>50000000</v>
      </c>
    </row>
    <row r="11" spans="2:14" x14ac:dyDescent="0.2">
      <c r="B11" s="36" t="s">
        <v>9</v>
      </c>
      <c r="C11" s="8">
        <f>'Detailed Cap Table'!C5</f>
        <v>3600000</v>
      </c>
      <c r="E11" s="2"/>
      <c r="G11" s="15"/>
      <c r="H11" s="2"/>
      <c r="J11" s="2"/>
      <c r="L11" s="34">
        <f>C11+E11+H11+J11</f>
        <v>3600000</v>
      </c>
      <c r="M11" s="49">
        <f>L11/$L$21</f>
        <v>0.36959987630724139</v>
      </c>
    </row>
    <row r="12" spans="2:14" ht="14.5" customHeight="1" x14ac:dyDescent="0.2">
      <c r="B12" s="36" t="s">
        <v>80</v>
      </c>
      <c r="C12" s="8">
        <f>SUM('Detailed Cap Table'!C6:'Detailed Cap Table'!C10)</f>
        <v>1429687</v>
      </c>
      <c r="E12" s="2"/>
      <c r="G12" s="15"/>
      <c r="H12" s="2"/>
      <c r="J12" s="2"/>
      <c r="L12" s="34">
        <f>C12+E12+H12+J12</f>
        <v>1429687</v>
      </c>
      <c r="M12" s="49">
        <f>L12/$L$21</f>
        <v>0.14678114954390861</v>
      </c>
    </row>
    <row r="13" spans="2:14" x14ac:dyDescent="0.2">
      <c r="B13" s="36" t="s">
        <v>81</v>
      </c>
      <c r="C13" s="8">
        <f>'Detailed Cap Table'!D9+'Detailed Cap Table'!D11+'Detailed Cap Table'!D14+'Detailed Cap Table'!D15+'Detailed Cap Table'!D16+'Detailed Cap Table'!E12+'Detailed Cap Table'!E13+'Detailed Cap Table'!E17+'Detailed Cap Table'!E18+'Detailed Cap Table'!F19+'Detailed Cap Table'!F20</f>
        <v>1045471</v>
      </c>
      <c r="E13" s="2"/>
      <c r="G13" s="15"/>
      <c r="H13" s="2"/>
      <c r="J13" s="2"/>
      <c r="L13" s="34">
        <f>C13+E13+H13+J13</f>
        <v>1045471</v>
      </c>
      <c r="M13" s="49">
        <f>L13/$L$21</f>
        <v>0.10733498674522443</v>
      </c>
    </row>
    <row r="14" spans="2:14" x14ac:dyDescent="0.2">
      <c r="B14" s="36" t="s">
        <v>82</v>
      </c>
      <c r="C14" s="8">
        <f>'Detailed Cap Table'!D21</f>
        <v>65105</v>
      </c>
      <c r="E14" s="2"/>
      <c r="G14" s="15"/>
      <c r="H14" s="2"/>
      <c r="J14" s="2"/>
      <c r="L14" s="34">
        <f>C14+E14+H14+J14</f>
        <v>65105</v>
      </c>
      <c r="M14" s="49">
        <f>L14/$L$21</f>
        <v>6.6841110963841528E-3</v>
      </c>
    </row>
    <row r="15" spans="2:14" x14ac:dyDescent="0.2">
      <c r="B15" s="20" t="s">
        <v>66</v>
      </c>
      <c r="C15" s="51">
        <f>SUM(C10:C14)</f>
        <v>9740263</v>
      </c>
      <c r="D15">
        <f>SUM(D10:D14)</f>
        <v>0</v>
      </c>
      <c r="E15" s="2">
        <f>SUM(E10:E14)</f>
        <v>0</v>
      </c>
      <c r="G15" s="15">
        <f>SUM(G10:G14)</f>
        <v>0</v>
      </c>
      <c r="H15" s="2">
        <f>SUM(H10:H14)</f>
        <v>0</v>
      </c>
      <c r="J15" s="51">
        <f>SUM(J10:J14)</f>
        <v>0</v>
      </c>
      <c r="L15" s="51">
        <f>SUM(L10:L14)</f>
        <v>9740263</v>
      </c>
      <c r="M15" s="52">
        <f>L15/$L$21</f>
        <v>1</v>
      </c>
    </row>
    <row r="16" spans="2:14" x14ac:dyDescent="0.2">
      <c r="B16" s="37" t="s">
        <v>98</v>
      </c>
      <c r="C16" s="2"/>
      <c r="E16" s="2"/>
      <c r="G16" s="15"/>
      <c r="H16" s="2"/>
      <c r="J16" s="2"/>
      <c r="L16" s="2"/>
      <c r="M16" s="50"/>
    </row>
    <row r="17" spans="2:13" x14ac:dyDescent="0.2">
      <c r="B17" s="36" t="s">
        <v>42</v>
      </c>
      <c r="C17" s="2"/>
      <c r="E17" s="2"/>
      <c r="G17" s="44">
        <f>'SAFE Investments'!C6+'SAFE Investments'!C7+'SAFE Investments'!C8+'SAFE Investments'!C15+'SAFE Investments'!C16+'SAFE Investments'!C17+'SAFE Investments'!C21+'SAFE Investments'!C24</f>
        <v>8000000</v>
      </c>
      <c r="H17" s="2"/>
      <c r="J17" s="2"/>
      <c r="L17" s="34">
        <f>C17+E17+H17+J17</f>
        <v>0</v>
      </c>
      <c r="M17" s="49">
        <f>L17/$L$21</f>
        <v>0</v>
      </c>
    </row>
    <row r="18" spans="2:13" x14ac:dyDescent="0.2">
      <c r="B18" s="36" t="s">
        <v>83</v>
      </c>
      <c r="C18" s="2"/>
      <c r="E18" s="2"/>
      <c r="G18" s="44">
        <f>'SAFE Investments'!C27-G17</f>
        <v>1825000</v>
      </c>
      <c r="H18" s="2"/>
      <c r="J18" s="2"/>
      <c r="L18" s="34">
        <f>C18+E18+H18+J18</f>
        <v>0</v>
      </c>
      <c r="M18" s="49">
        <f>L18/$L$21</f>
        <v>0</v>
      </c>
    </row>
    <row r="19" spans="2:13" x14ac:dyDescent="0.2">
      <c r="B19" s="19"/>
      <c r="C19" s="2"/>
      <c r="E19" s="2"/>
      <c r="G19" s="15"/>
      <c r="H19" s="2"/>
      <c r="J19" s="2"/>
      <c r="L19" s="2"/>
      <c r="M19" s="50"/>
    </row>
    <row r="20" spans="2:13" x14ac:dyDescent="0.2">
      <c r="B20" s="19"/>
      <c r="C20" s="2"/>
      <c r="E20" s="2"/>
      <c r="G20" s="15"/>
      <c r="H20" s="2"/>
      <c r="J20" s="2"/>
      <c r="L20" s="2"/>
      <c r="M20" s="50"/>
    </row>
    <row r="21" spans="2:13" x14ac:dyDescent="0.2">
      <c r="B21" s="20" t="s">
        <v>70</v>
      </c>
      <c r="C21" s="53">
        <f>C15+SUM(C17:C18)</f>
        <v>9740263</v>
      </c>
      <c r="D21" s="38">
        <f>SUM(D10:D20)</f>
        <v>0</v>
      </c>
      <c r="E21" s="53">
        <f>SUM(E10:E20)</f>
        <v>0</v>
      </c>
      <c r="G21" s="54">
        <f>SUM(G10:G20)</f>
        <v>9825000</v>
      </c>
      <c r="H21" s="53">
        <f>SUM(H10:H20)</f>
        <v>0</v>
      </c>
      <c r="J21" s="51">
        <f>J14</f>
        <v>0</v>
      </c>
      <c r="L21" s="53">
        <f>SUM(L17:L20)+L15</f>
        <v>9740263</v>
      </c>
      <c r="M21" s="55">
        <f>SUM(M17:M18)+M15</f>
        <v>1</v>
      </c>
    </row>
    <row r="22" spans="2:13" ht="13.75" customHeight="1" x14ac:dyDescent="0.2">
      <c r="B22" s="19"/>
      <c r="M22" s="21"/>
    </row>
    <row r="23" spans="2:13" ht="13.75" customHeight="1" x14ac:dyDescent="0.2">
      <c r="B23" s="19" t="s">
        <v>93</v>
      </c>
      <c r="M23" s="21"/>
    </row>
    <row r="24" spans="2:13" x14ac:dyDescent="0.2">
      <c r="B24" s="19"/>
      <c r="M24" s="21"/>
    </row>
    <row r="25" spans="2:13" ht="13.75" customHeight="1" thickBot="1" x14ac:dyDescent="0.25">
      <c r="B25" s="42" t="s">
        <v>99</v>
      </c>
      <c r="C25" s="17"/>
      <c r="D25" s="17"/>
      <c r="E25" s="56">
        <v>50000000</v>
      </c>
      <c r="F25" s="17"/>
      <c r="G25" s="17"/>
      <c r="H25" s="17"/>
      <c r="I25" s="17"/>
      <c r="J25" s="17"/>
      <c r="K25" s="17"/>
      <c r="L25" s="17"/>
      <c r="M25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E04D-AD22-AD44-80FE-B463A917015D}">
  <dimension ref="B1:T34"/>
  <sheetViews>
    <sheetView showGridLines="0" workbookViewId="0"/>
  </sheetViews>
  <sheetFormatPr baseColWidth="10" defaultRowHeight="16" x14ac:dyDescent="0.2"/>
  <cols>
    <col min="1" max="1" width="6.33203125" customWidth="1"/>
    <col min="2" max="2" width="35.5" customWidth="1"/>
    <col min="3" max="3" width="16.83203125" customWidth="1"/>
    <col min="4" max="4" width="17.6640625" customWidth="1"/>
    <col min="5" max="5" width="16.83203125" customWidth="1"/>
    <col min="6" max="6" width="0.5" customWidth="1"/>
    <col min="7" max="7" width="13.83203125" customWidth="1"/>
    <col min="8" max="8" width="0.5" customWidth="1"/>
    <col min="9" max="9" width="15.5" customWidth="1"/>
    <col min="10" max="10" width="16.83203125" customWidth="1"/>
    <col min="11" max="11" width="0.5" customWidth="1"/>
    <col min="12" max="12" width="13.83203125" customWidth="1"/>
    <col min="13" max="13" width="0.5" customWidth="1"/>
    <col min="14" max="14" width="15.5" customWidth="1"/>
    <col min="15" max="15" width="16.83203125" customWidth="1"/>
    <col min="16" max="16" width="0.5" customWidth="1"/>
    <col min="17" max="17" width="13.83203125" customWidth="1"/>
    <col min="18" max="18" width="0.5" customWidth="1"/>
    <col min="19" max="19" width="14.33203125" customWidth="1"/>
    <col min="20" max="20" width="9.33203125" customWidth="1"/>
    <col min="21" max="21" width="6.83203125" customWidth="1"/>
    <col min="22" max="22" width="15.5" customWidth="1"/>
    <col min="23" max="23" width="13" customWidth="1"/>
  </cols>
  <sheetData>
    <row r="1" spans="2:20" x14ac:dyDescent="0.2">
      <c r="B1" s="13" t="s">
        <v>52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2:20" ht="15.5" customHeight="1" x14ac:dyDescent="0.2">
      <c r="B2" s="13" t="s">
        <v>100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2:20" ht="16.25" customHeight="1" thickBot="1" x14ac:dyDescent="0.25">
      <c r="B3" s="11" t="s">
        <v>55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2:20" ht="13.75" customHeight="1" thickBot="1" x14ac:dyDescent="0.25">
      <c r="C4" s="23" t="s">
        <v>53</v>
      </c>
      <c r="D4" s="23" t="s">
        <v>26</v>
      </c>
      <c r="E4" s="45"/>
      <c r="G4" s="24" t="s">
        <v>54</v>
      </c>
      <c r="I4" s="23" t="s">
        <v>91</v>
      </c>
      <c r="J4" s="45"/>
      <c r="L4" s="24" t="s">
        <v>54</v>
      </c>
      <c r="N4" s="23" t="s">
        <v>55</v>
      </c>
      <c r="O4" s="45"/>
      <c r="Q4" s="24" t="s">
        <v>54</v>
      </c>
      <c r="S4" s="23" t="s">
        <v>56</v>
      </c>
      <c r="T4" s="45"/>
    </row>
    <row r="5" spans="2:20" x14ac:dyDescent="0.2">
      <c r="C5" s="23" t="s">
        <v>57</v>
      </c>
      <c r="D5" s="23" t="s">
        <v>58</v>
      </c>
      <c r="E5" s="27" t="s">
        <v>26</v>
      </c>
      <c r="G5" s="26" t="s">
        <v>60</v>
      </c>
      <c r="I5" s="23" t="s">
        <v>58</v>
      </c>
      <c r="J5" s="27" t="s">
        <v>59</v>
      </c>
      <c r="L5" s="26" t="s">
        <v>60</v>
      </c>
      <c r="N5" s="23" t="s">
        <v>58</v>
      </c>
      <c r="O5" s="27" t="s">
        <v>59</v>
      </c>
      <c r="Q5" s="26" t="s">
        <v>60</v>
      </c>
      <c r="S5" s="23" t="s">
        <v>61</v>
      </c>
      <c r="T5" s="27" t="s">
        <v>88</v>
      </c>
    </row>
    <row r="6" spans="2:20" ht="13.75" customHeight="1" thickBot="1" x14ac:dyDescent="0.25">
      <c r="C6" s="25" t="s">
        <v>62</v>
      </c>
      <c r="D6" s="25" t="s">
        <v>85</v>
      </c>
      <c r="E6" s="39" t="s">
        <v>62</v>
      </c>
      <c r="G6" s="26" t="s">
        <v>95</v>
      </c>
      <c r="I6" s="25" t="s">
        <v>85</v>
      </c>
      <c r="J6" s="39" t="s">
        <v>62</v>
      </c>
      <c r="L6" s="26" t="s">
        <v>63</v>
      </c>
      <c r="N6" s="25" t="s">
        <v>85</v>
      </c>
      <c r="O6" s="39" t="s">
        <v>62</v>
      </c>
      <c r="Q6" s="26" t="s">
        <v>86</v>
      </c>
      <c r="S6" s="25" t="s">
        <v>62</v>
      </c>
      <c r="T6" s="39" t="s">
        <v>64</v>
      </c>
    </row>
    <row r="7" spans="2:20" x14ac:dyDescent="0.2">
      <c r="B7" s="35" t="s">
        <v>65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43"/>
    </row>
    <row r="8" spans="2:20" x14ac:dyDescent="0.2">
      <c r="B8" s="36" t="s">
        <v>8</v>
      </c>
      <c r="C8" s="8">
        <f>'Series Seed'!C10</f>
        <v>3600000</v>
      </c>
      <c r="D8" s="40"/>
      <c r="E8" s="2"/>
      <c r="G8" s="2"/>
      <c r="I8" s="40"/>
      <c r="J8" s="2"/>
      <c r="L8" s="2"/>
      <c r="N8" s="40"/>
      <c r="O8" s="2"/>
      <c r="Q8" s="2"/>
      <c r="S8" s="2">
        <f>C8+E8+G8+J8+L8+O8+Q8</f>
        <v>3600000</v>
      </c>
      <c r="T8" s="50">
        <f ca="1">S8/$S$21</f>
        <v>0.18689423878262076</v>
      </c>
    </row>
    <row r="9" spans="2:20" x14ac:dyDescent="0.2">
      <c r="B9" s="36" t="s">
        <v>9</v>
      </c>
      <c r="C9" s="8">
        <f>'Series Seed'!C11</f>
        <v>3600000</v>
      </c>
      <c r="D9" s="40"/>
      <c r="E9" s="2"/>
      <c r="G9" s="2"/>
      <c r="I9" s="40"/>
      <c r="J9" s="2"/>
      <c r="L9" s="2"/>
      <c r="N9" s="40"/>
      <c r="O9" s="2"/>
      <c r="Q9" s="2"/>
      <c r="S9" s="2">
        <f>C9+E9+G9+J9+L9+O9+Q9</f>
        <v>3600000</v>
      </c>
      <c r="T9" s="50">
        <f ca="1">S9/$S$21</f>
        <v>0.18689423878262076</v>
      </c>
    </row>
    <row r="10" spans="2:20" x14ac:dyDescent="0.2">
      <c r="B10" s="36" t="s">
        <v>80</v>
      </c>
      <c r="C10" s="8">
        <f>'Series Seed'!C12</f>
        <v>1429687</v>
      </c>
      <c r="D10" s="40"/>
      <c r="E10" s="2"/>
      <c r="G10" s="2"/>
      <c r="I10" s="40"/>
      <c r="J10" s="2"/>
      <c r="L10" s="2"/>
      <c r="N10" s="40"/>
      <c r="O10" s="2"/>
      <c r="Q10" s="2"/>
      <c r="S10" s="2">
        <f>C10+E10+G10+J10+L10+O10+Q10</f>
        <v>1429687</v>
      </c>
      <c r="T10" s="50">
        <f ca="1">S10/$S$21</f>
        <v>7.4222295434002425E-2</v>
      </c>
    </row>
    <row r="11" spans="2:20" x14ac:dyDescent="0.2">
      <c r="B11" s="36" t="s">
        <v>81</v>
      </c>
      <c r="C11" s="8">
        <f>'Series Seed'!C13</f>
        <v>1045471</v>
      </c>
      <c r="D11" s="40"/>
      <c r="E11" s="2"/>
      <c r="G11" s="2"/>
      <c r="I11" s="40"/>
      <c r="J11" s="2"/>
      <c r="L11" s="2"/>
      <c r="N11" s="40"/>
      <c r="O11" s="2"/>
      <c r="Q11" s="2"/>
      <c r="S11" s="2">
        <f>C11+E11+G11+J11+L11+O11+Q11</f>
        <v>1045471</v>
      </c>
      <c r="T11" s="50">
        <f ca="1">S11/$S$21</f>
        <v>5.4275696309529255E-2</v>
      </c>
    </row>
    <row r="12" spans="2:20" x14ac:dyDescent="0.2">
      <c r="B12" s="36" t="s">
        <v>82</v>
      </c>
      <c r="C12" s="8">
        <f>'Series Seed'!C14</f>
        <v>65105</v>
      </c>
      <c r="D12" s="40"/>
      <c r="E12" s="2"/>
      <c r="G12" s="2"/>
      <c r="I12" s="40"/>
      <c r="J12" s="2"/>
      <c r="L12" s="2"/>
      <c r="N12" s="40"/>
      <c r="O12" s="2"/>
      <c r="Q12" s="2"/>
      <c r="S12" s="2">
        <f>C12+E12+G12+J12+L12+O12+Q12</f>
        <v>65105</v>
      </c>
      <c r="T12" s="50">
        <f ca="1">S12/$S$21</f>
        <v>3.379930393317368E-3</v>
      </c>
    </row>
    <row r="13" spans="2:20" ht="13.5" customHeight="1" x14ac:dyDescent="0.2">
      <c r="B13" s="19"/>
      <c r="C13" s="2"/>
      <c r="D13" s="40"/>
      <c r="E13" s="2"/>
      <c r="G13" s="2"/>
      <c r="I13" s="40"/>
      <c r="J13" s="2"/>
      <c r="L13" s="2"/>
      <c r="N13" s="40"/>
      <c r="O13" s="2"/>
      <c r="Q13" s="2">
        <f ca="1">IFERROR(ROUND(((O21+C21+E21+G21+J21+L21)/(1-C33))*C33-C12,0),0)</f>
        <v>1867629</v>
      </c>
      <c r="S13" s="2">
        <f ca="1">C13+E13+G13+J13+L13+O13+Q13</f>
        <v>1867629</v>
      </c>
      <c r="T13" s="50">
        <f ca="1">S13/$S$21</f>
        <v>9.6958083412040902E-2</v>
      </c>
    </row>
    <row r="14" spans="2:20" x14ac:dyDescent="0.2">
      <c r="B14" s="19" t="s">
        <v>66</v>
      </c>
      <c r="C14" s="51">
        <f>SUM(C8:C13)</f>
        <v>9740263</v>
      </c>
      <c r="D14" s="40">
        <f>SUM(D8:D13)</f>
        <v>0</v>
      </c>
      <c r="E14" s="2">
        <f>SUM(E8:E13)</f>
        <v>0</v>
      </c>
      <c r="G14" s="51">
        <f>SUM(G8:G13)</f>
        <v>0</v>
      </c>
      <c r="I14" s="40"/>
      <c r="J14" s="2">
        <f>SUM(J8:J13)</f>
        <v>0</v>
      </c>
      <c r="L14" s="51">
        <f>SUM(L8:L13)</f>
        <v>0</v>
      </c>
      <c r="N14" s="40"/>
      <c r="O14" s="2">
        <f>SUM(O8:O13)</f>
        <v>0</v>
      </c>
      <c r="Q14" s="51">
        <f ca="1">SUM(Q8:Q13)</f>
        <v>1867629</v>
      </c>
      <c r="S14" s="51">
        <f ca="1">SUM(S8:S13)</f>
        <v>11607892</v>
      </c>
      <c r="T14" s="52">
        <f ca="1">S14/$S$21</f>
        <v>0.60262448311413153</v>
      </c>
    </row>
    <row r="15" spans="2:20" x14ac:dyDescent="0.2">
      <c r="B15" s="37" t="s">
        <v>67</v>
      </c>
      <c r="C15" s="2"/>
      <c r="D15" s="40"/>
      <c r="E15" s="2"/>
      <c r="G15" s="2"/>
      <c r="I15" s="40"/>
      <c r="J15" s="2"/>
      <c r="L15" s="2"/>
      <c r="N15" s="40"/>
      <c r="O15" s="2"/>
      <c r="Q15" s="2"/>
      <c r="S15" s="2"/>
      <c r="T15" s="50"/>
    </row>
    <row r="16" spans="2:20" x14ac:dyDescent="0.2">
      <c r="B16" s="19" t="s">
        <v>42</v>
      </c>
      <c r="C16" s="2"/>
      <c r="D16" s="57">
        <f>'Series Seed'!G17</f>
        <v>8000000</v>
      </c>
      <c r="E16" s="2">
        <f ca="1">IFERROR(ROUND(D16/$E$23,0),0)</f>
        <v>2311471</v>
      </c>
      <c r="G16" s="2"/>
      <c r="I16" s="40"/>
      <c r="J16" s="2"/>
      <c r="L16" s="2"/>
      <c r="N16" s="59">
        <v>5000000</v>
      </c>
      <c r="O16" s="2">
        <f ca="1">IFERROR(ROUND(N16/$O$23,0),0)</f>
        <v>1203891</v>
      </c>
      <c r="Q16" s="2"/>
      <c r="S16" s="2">
        <f ca="1">E16+C16+J16+O16</f>
        <v>3515362</v>
      </c>
      <c r="T16" s="50">
        <f ca="1">S16/$S$21</f>
        <v>0.18250025139870871</v>
      </c>
    </row>
    <row r="17" spans="2:20" x14ac:dyDescent="0.2">
      <c r="B17" s="19" t="s">
        <v>68</v>
      </c>
      <c r="C17" s="2"/>
      <c r="D17" s="40"/>
      <c r="E17" s="2"/>
      <c r="G17" s="2"/>
      <c r="I17" s="40"/>
      <c r="J17" s="2"/>
      <c r="L17" s="2"/>
      <c r="N17" s="59">
        <v>12000000</v>
      </c>
      <c r="O17" s="2">
        <f ca="1">IFERROR(ROUND(N17/$O$23,0),0)</f>
        <v>2889338</v>
      </c>
      <c r="Q17" s="2"/>
      <c r="S17" s="2">
        <f ca="1">E17+C17+J17+O17</f>
        <v>2889338</v>
      </c>
      <c r="T17" s="50">
        <f ca="1">S17/$S$21</f>
        <v>0.15000017391547221</v>
      </c>
    </row>
    <row r="18" spans="2:20" x14ac:dyDescent="0.2">
      <c r="B18" s="19" t="s">
        <v>69</v>
      </c>
      <c r="C18" s="2"/>
      <c r="D18" s="40"/>
      <c r="E18" s="2"/>
      <c r="G18" s="2"/>
      <c r="I18" s="40"/>
      <c r="J18" s="2"/>
      <c r="L18" s="2"/>
      <c r="N18" s="59">
        <v>3000000</v>
      </c>
      <c r="O18" s="2">
        <f ca="1">IFERROR(ROUND(N18/$O$23,0),0)</f>
        <v>722335</v>
      </c>
      <c r="Q18" s="2"/>
      <c r="S18" s="2">
        <f ca="1">E18+C18+J18+O18</f>
        <v>722335</v>
      </c>
      <c r="T18" s="50">
        <f ca="1">S18/$S$21</f>
        <v>3.7500069436401218E-2</v>
      </c>
    </row>
    <row r="19" spans="2:20" x14ac:dyDescent="0.2">
      <c r="B19" s="19" t="s">
        <v>83</v>
      </c>
      <c r="C19" s="2"/>
      <c r="D19" s="57">
        <f>'Series Seed'!G18</f>
        <v>1825000</v>
      </c>
      <c r="E19" s="2">
        <f ca="1">IFERROR(ROUND(D19/$E$23,0),0)</f>
        <v>527304</v>
      </c>
      <c r="G19" s="2"/>
      <c r="I19" s="40"/>
      <c r="J19" s="2"/>
      <c r="L19" s="2"/>
      <c r="N19" s="40"/>
      <c r="O19" s="2"/>
      <c r="Q19" s="2"/>
      <c r="S19" s="2">
        <f ca="1">E19+C19+J19+O19</f>
        <v>527304</v>
      </c>
      <c r="T19" s="50">
        <f ca="1">S19/$S$21</f>
        <v>2.7375022135286406E-2</v>
      </c>
    </row>
    <row r="20" spans="2:20" x14ac:dyDescent="0.2">
      <c r="B20" s="19"/>
      <c r="C20" s="2"/>
      <c r="D20" s="40"/>
      <c r="E20" s="2"/>
      <c r="G20" s="2"/>
      <c r="I20" s="40"/>
      <c r="J20" s="2"/>
      <c r="L20" s="2"/>
      <c r="N20" s="40"/>
      <c r="O20" s="2"/>
      <c r="Q20" s="2"/>
      <c r="S20" s="2"/>
      <c r="T20" s="50"/>
    </row>
    <row r="21" spans="2:20" x14ac:dyDescent="0.2">
      <c r="B21" s="19" t="s">
        <v>70</v>
      </c>
      <c r="C21" s="53">
        <f>C14+SUM(C16:C19)</f>
        <v>9740263</v>
      </c>
      <c r="D21" s="61">
        <f>SUM(D8:D19)</f>
        <v>9825000</v>
      </c>
      <c r="E21" s="53">
        <f ca="1">SUM(E8:E19)</f>
        <v>2838775</v>
      </c>
      <c r="G21" s="51">
        <f>G13</f>
        <v>0</v>
      </c>
      <c r="I21" s="61">
        <f>SUM(I16:I20)</f>
        <v>0</v>
      </c>
      <c r="J21" s="53">
        <f>SUM(J16:J20)</f>
        <v>0</v>
      </c>
      <c r="L21" s="51">
        <f>L13</f>
        <v>0</v>
      </c>
      <c r="N21" s="61">
        <f>C30</f>
        <v>20000000</v>
      </c>
      <c r="O21" s="53">
        <f ca="1">SUM(O16:O20)</f>
        <v>4815564</v>
      </c>
      <c r="Q21" s="51">
        <f ca="1">Q13</f>
        <v>1867629</v>
      </c>
      <c r="S21" s="53">
        <f ca="1">SUM(S16:S20)+S14</f>
        <v>19262231</v>
      </c>
      <c r="T21" s="55">
        <f ca="1">SUM(T16:T19)+T14</f>
        <v>1</v>
      </c>
    </row>
    <row r="22" spans="2:20" ht="13.75" customHeight="1" thickBot="1" x14ac:dyDescent="0.25">
      <c r="B22" s="19"/>
      <c r="T22" s="21"/>
    </row>
    <row r="23" spans="2:20" ht="13.75" customHeight="1" thickBot="1" x14ac:dyDescent="0.25">
      <c r="B23" s="19" t="s">
        <v>90</v>
      </c>
      <c r="E23" s="62">
        <f ca="1">IFERROR(ROUND(50000000/(C21+E21+G21+Q13),4),0)</f>
        <v>3.4609999999999999</v>
      </c>
      <c r="O23" s="62">
        <f ca="1">IFERROR(ROUND(O24/(L21+J21+G21+E21+C21+Q13),4),0)</f>
        <v>4.1532</v>
      </c>
      <c r="T23" s="21"/>
    </row>
    <row r="24" spans="2:20" x14ac:dyDescent="0.2">
      <c r="B24" s="19" t="s">
        <v>71</v>
      </c>
      <c r="O24" s="15">
        <f>O25-N21</f>
        <v>60000000</v>
      </c>
      <c r="T24" s="21"/>
    </row>
    <row r="25" spans="2:20" ht="13.75" customHeight="1" thickBot="1" x14ac:dyDescent="0.25">
      <c r="B25" s="42" t="s">
        <v>72</v>
      </c>
      <c r="C25" s="17"/>
      <c r="D25" s="17"/>
      <c r="E25" s="18">
        <f>50000000</f>
        <v>50000000</v>
      </c>
      <c r="F25" s="17"/>
      <c r="G25" s="17"/>
      <c r="H25" s="17"/>
      <c r="I25" s="17"/>
      <c r="J25" s="17"/>
      <c r="K25" s="17"/>
      <c r="L25" s="17"/>
      <c r="M25" s="17"/>
      <c r="N25" s="17"/>
      <c r="O25" s="18">
        <f>C30/C31</f>
        <v>80000000</v>
      </c>
      <c r="P25" s="17"/>
      <c r="Q25" s="17"/>
      <c r="R25" s="17"/>
      <c r="S25" s="17"/>
      <c r="T25" s="22"/>
    </row>
    <row r="27" spans="2:20" x14ac:dyDescent="0.2">
      <c r="B27" s="6" t="s">
        <v>73</v>
      </c>
    </row>
    <row r="29" spans="2:20" x14ac:dyDescent="0.2">
      <c r="B29" t="s">
        <v>79</v>
      </c>
      <c r="C29" s="1">
        <f>O24/E25-1</f>
        <v>0.19999999999999996</v>
      </c>
    </row>
    <row r="30" spans="2:20" x14ac:dyDescent="0.2">
      <c r="B30" t="s">
        <v>74</v>
      </c>
      <c r="C30" s="59">
        <v>20000000</v>
      </c>
    </row>
    <row r="31" spans="2:20" x14ac:dyDescent="0.2">
      <c r="B31" t="s">
        <v>78</v>
      </c>
      <c r="C31" s="9">
        <v>0.25</v>
      </c>
    </row>
    <row r="32" spans="2:20" x14ac:dyDescent="0.2">
      <c r="B32" t="s">
        <v>89</v>
      </c>
      <c r="C32" s="58">
        <v>12000000</v>
      </c>
    </row>
    <row r="33" spans="2:3" x14ac:dyDescent="0.2">
      <c r="B33" t="s">
        <v>94</v>
      </c>
      <c r="C33" s="60">
        <v>0.1</v>
      </c>
    </row>
    <row r="34" spans="2:3" x14ac:dyDescent="0.2">
      <c r="B34" t="s">
        <v>93</v>
      </c>
      <c r="C34" s="59">
        <v>50000000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141D-2142-2C4D-B443-14315CD35149}">
  <dimension ref="B1:Y34"/>
  <sheetViews>
    <sheetView showGridLines="0" tabSelected="1" workbookViewId="0"/>
  </sheetViews>
  <sheetFormatPr baseColWidth="10" defaultRowHeight="16" x14ac:dyDescent="0.2"/>
  <cols>
    <col min="1" max="1" width="6.33203125" customWidth="1"/>
    <col min="2" max="2" width="33.83203125" customWidth="1"/>
    <col min="3" max="3" width="14.33203125" customWidth="1"/>
    <col min="4" max="4" width="11.33203125" customWidth="1"/>
    <col min="5" max="5" width="12.5" customWidth="1"/>
    <col min="6" max="6" width="0.5" customWidth="1"/>
    <col min="7" max="7" width="11.1640625" customWidth="1"/>
    <col min="8" max="8" width="0.5" customWidth="1"/>
    <col min="9" max="9" width="14.33203125" customWidth="1"/>
    <col min="10" max="10" width="15.5" customWidth="1"/>
    <col min="11" max="11" width="0.5" customWidth="1"/>
    <col min="12" max="12" width="11.83203125" customWidth="1"/>
    <col min="13" max="13" width="0.5" customWidth="1"/>
    <col min="14" max="14" width="15.5" customWidth="1"/>
    <col min="15" max="15" width="11.33203125" customWidth="1"/>
    <col min="16" max="16" width="0.5" customWidth="1"/>
    <col min="17" max="17" width="11.83203125" customWidth="1"/>
    <col min="18" max="18" width="0.5" customWidth="1"/>
    <col min="19" max="19" width="15.5" customWidth="1"/>
    <col min="20" max="20" width="16.83203125" customWidth="1"/>
    <col min="21" max="21" width="0.5" customWidth="1"/>
    <col min="22" max="22" width="11.83203125" customWidth="1"/>
    <col min="23" max="23" width="0.5" customWidth="1"/>
    <col min="24" max="24" width="13" customWidth="1"/>
    <col min="25" max="25" width="8" customWidth="1"/>
    <col min="26" max="26" width="6.83203125" customWidth="1"/>
  </cols>
  <sheetData>
    <row r="1" spans="2:25" x14ac:dyDescent="0.2">
      <c r="B1" s="13" t="s">
        <v>52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2:25" ht="15.5" customHeight="1" x14ac:dyDescent="0.2">
      <c r="B2" s="13" t="s">
        <v>101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2:25" ht="16.25" customHeight="1" thickBot="1" x14ac:dyDescent="0.25">
      <c r="B3" s="11" t="s">
        <v>75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2:25" ht="13.75" customHeight="1" thickBot="1" x14ac:dyDescent="0.25">
      <c r="C4" s="23" t="s">
        <v>53</v>
      </c>
      <c r="D4" s="23" t="s">
        <v>26</v>
      </c>
      <c r="E4" s="27"/>
      <c r="G4" s="24" t="s">
        <v>54</v>
      </c>
      <c r="I4" s="23" t="s">
        <v>91</v>
      </c>
      <c r="J4" s="27"/>
      <c r="L4" s="24" t="s">
        <v>54</v>
      </c>
      <c r="N4" s="23" t="s">
        <v>55</v>
      </c>
      <c r="O4" s="27"/>
      <c r="Q4" s="24" t="s">
        <v>54</v>
      </c>
      <c r="S4" s="23" t="s">
        <v>75</v>
      </c>
      <c r="T4" s="27"/>
      <c r="V4" s="24" t="s">
        <v>54</v>
      </c>
      <c r="X4" s="23" t="s">
        <v>56</v>
      </c>
      <c r="Y4" s="27"/>
    </row>
    <row r="5" spans="2:25" x14ac:dyDescent="0.2">
      <c r="C5" s="23" t="s">
        <v>57</v>
      </c>
      <c r="D5" s="23" t="s">
        <v>58</v>
      </c>
      <c r="E5" s="27" t="s">
        <v>26</v>
      </c>
      <c r="G5" s="26" t="s">
        <v>60</v>
      </c>
      <c r="I5" s="23" t="s">
        <v>58</v>
      </c>
      <c r="J5" s="27" t="s">
        <v>59</v>
      </c>
      <c r="L5" s="26" t="s">
        <v>60</v>
      </c>
      <c r="N5" s="23" t="s">
        <v>58</v>
      </c>
      <c r="O5" s="27" t="s">
        <v>59</v>
      </c>
      <c r="Q5" s="26" t="s">
        <v>60</v>
      </c>
      <c r="S5" s="23" t="s">
        <v>58</v>
      </c>
      <c r="T5" s="27" t="s">
        <v>59</v>
      </c>
      <c r="V5" s="26" t="s">
        <v>60</v>
      </c>
      <c r="X5" s="23" t="s">
        <v>61</v>
      </c>
      <c r="Y5" s="27" t="s">
        <v>88</v>
      </c>
    </row>
    <row r="6" spans="2:25" ht="13.75" customHeight="1" thickBot="1" x14ac:dyDescent="0.25">
      <c r="C6" s="25" t="s">
        <v>62</v>
      </c>
      <c r="D6" s="25" t="s">
        <v>85</v>
      </c>
      <c r="E6" s="39" t="s">
        <v>62</v>
      </c>
      <c r="G6" s="26" t="s">
        <v>95</v>
      </c>
      <c r="I6" s="25" t="s">
        <v>85</v>
      </c>
      <c r="J6" s="39" t="s">
        <v>62</v>
      </c>
      <c r="L6" s="26" t="s">
        <v>63</v>
      </c>
      <c r="N6" s="25" t="s">
        <v>85</v>
      </c>
      <c r="O6" s="39" t="s">
        <v>62</v>
      </c>
      <c r="Q6" s="26" t="s">
        <v>76</v>
      </c>
      <c r="S6" s="25" t="s">
        <v>85</v>
      </c>
      <c r="T6" s="39" t="s">
        <v>62</v>
      </c>
      <c r="V6" s="26" t="s">
        <v>102</v>
      </c>
      <c r="X6" s="25" t="s">
        <v>62</v>
      </c>
      <c r="Y6" s="39" t="s">
        <v>64</v>
      </c>
    </row>
    <row r="7" spans="2:25" x14ac:dyDescent="0.2">
      <c r="B7" s="35" t="s">
        <v>65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43"/>
    </row>
    <row r="8" spans="2:25" x14ac:dyDescent="0.2">
      <c r="B8" s="19" t="s">
        <v>8</v>
      </c>
      <c r="C8" s="8">
        <f>'Series A'!C8</f>
        <v>3600000</v>
      </c>
      <c r="D8" s="40"/>
      <c r="E8" s="2"/>
      <c r="G8" s="2"/>
      <c r="I8" s="40"/>
      <c r="J8" s="2"/>
      <c r="L8" s="2"/>
      <c r="N8" s="40"/>
      <c r="O8" s="2"/>
      <c r="Q8" s="2"/>
      <c r="S8" s="40"/>
      <c r="T8" s="2"/>
      <c r="V8" s="2"/>
      <c r="X8" s="2">
        <f>C8+E8+G8+J8+L8+O8+Q8+T8+V8</f>
        <v>3600000</v>
      </c>
      <c r="Y8" s="50">
        <f ca="1">X8/$X$22</f>
        <v>0.14266248781820867</v>
      </c>
    </row>
    <row r="9" spans="2:25" x14ac:dyDescent="0.2">
      <c r="B9" s="19" t="s">
        <v>9</v>
      </c>
      <c r="C9" s="8">
        <f>'Series A'!C9</f>
        <v>3600000</v>
      </c>
      <c r="D9" s="40"/>
      <c r="E9" s="2"/>
      <c r="G9" s="2"/>
      <c r="I9" s="40"/>
      <c r="J9" s="2"/>
      <c r="L9" s="2"/>
      <c r="N9" s="40"/>
      <c r="O9" s="2"/>
      <c r="Q9" s="2"/>
      <c r="S9" s="40"/>
      <c r="T9" s="2"/>
      <c r="V9" s="2"/>
      <c r="X9" s="2">
        <f>C9+E9+G9+J9+L9+O9+Q9+T9+V9</f>
        <v>3600000</v>
      </c>
      <c r="Y9" s="50">
        <f ca="1">X9/$X$22</f>
        <v>0.14266248781820867</v>
      </c>
    </row>
    <row r="10" spans="2:25" x14ac:dyDescent="0.2">
      <c r="B10" s="19" t="s">
        <v>80</v>
      </c>
      <c r="C10" s="8">
        <f>'Series A'!C10</f>
        <v>1429687</v>
      </c>
      <c r="D10" s="40"/>
      <c r="E10" s="2"/>
      <c r="G10" s="2"/>
      <c r="I10" s="40"/>
      <c r="J10" s="2"/>
      <c r="L10" s="2"/>
      <c r="N10" s="40"/>
      <c r="O10" s="2"/>
      <c r="Q10" s="2"/>
      <c r="S10" s="40"/>
      <c r="T10" s="2"/>
      <c r="V10" s="2"/>
      <c r="X10" s="2">
        <f>C10+E10+G10+J10+L10+O10+Q10+T10+V10</f>
        <v>1429687</v>
      </c>
      <c r="Y10" s="50">
        <f ca="1">X10/$X$22</f>
        <v>5.6656306728153145E-2</v>
      </c>
    </row>
    <row r="11" spans="2:25" x14ac:dyDescent="0.2">
      <c r="B11" s="19" t="s">
        <v>81</v>
      </c>
      <c r="C11" s="8">
        <f>'Series A'!C11</f>
        <v>1045471</v>
      </c>
      <c r="D11" s="40"/>
      <c r="E11" s="2"/>
      <c r="G11" s="2"/>
      <c r="I11" s="40"/>
      <c r="J11" s="2"/>
      <c r="L11" s="2"/>
      <c r="N11" s="40"/>
      <c r="O11" s="2"/>
      <c r="Q11" s="2"/>
      <c r="S11" s="40"/>
      <c r="T11" s="2"/>
      <c r="V11" s="2"/>
      <c r="X11" s="2">
        <f>C11+E11+G11+J11+L11+O11+Q11+T11+V11</f>
        <v>1045471</v>
      </c>
      <c r="Y11" s="50">
        <f ca="1">X11/$X$22</f>
        <v>4.143041494494179E-2</v>
      </c>
    </row>
    <row r="12" spans="2:25" x14ac:dyDescent="0.2">
      <c r="B12" s="19" t="s">
        <v>82</v>
      </c>
      <c r="C12" s="8">
        <f>'Series A'!C12</f>
        <v>65105</v>
      </c>
      <c r="D12" s="40"/>
      <c r="E12" s="2"/>
      <c r="G12" s="2"/>
      <c r="I12" s="40"/>
      <c r="J12" s="2"/>
      <c r="L12" s="2"/>
      <c r="N12" s="40"/>
      <c r="O12" s="2"/>
      <c r="Q12" s="2">
        <f ca="1">'Series A'!Q13</f>
        <v>1867629</v>
      </c>
      <c r="S12" s="40"/>
      <c r="T12" s="2"/>
      <c r="V12" s="2"/>
      <c r="X12" s="2">
        <f ca="1">C12+E12+G12+J12+L12+O12+Q12+T12+V12</f>
        <v>1932734</v>
      </c>
      <c r="Y12" s="50">
        <f ca="1">X12/$X$22</f>
        <v>7.659128909189937E-2</v>
      </c>
    </row>
    <row r="13" spans="2:25" ht="13.5" customHeight="1" x14ac:dyDescent="0.2">
      <c r="B13" s="19"/>
      <c r="C13" s="2"/>
      <c r="D13" s="40"/>
      <c r="E13" s="2"/>
      <c r="G13" s="2"/>
      <c r="I13" s="40"/>
      <c r="J13" s="2"/>
      <c r="L13" s="2"/>
      <c r="N13" s="40"/>
      <c r="O13" s="2"/>
      <c r="Q13" s="2"/>
      <c r="S13" s="40"/>
      <c r="T13" s="2"/>
      <c r="V13" s="2">
        <f ca="1">IFERROR(ROUND(X22*C34,0),0)</f>
        <v>1766407</v>
      </c>
      <c r="X13" s="2">
        <f ca="1">C13+E13+G13+J13+L13+O13+Q13+T13+V13</f>
        <v>1766407</v>
      </c>
      <c r="Y13" s="50">
        <f ca="1">X13/$X$22</f>
        <v>7.0000004755416262E-2</v>
      </c>
    </row>
    <row r="14" spans="2:25" x14ac:dyDescent="0.2">
      <c r="B14" s="19" t="s">
        <v>66</v>
      </c>
      <c r="C14" s="51">
        <f>SUM(C8:C13)</f>
        <v>9740263</v>
      </c>
      <c r="D14" s="40">
        <f>SUM(D8:D13)</f>
        <v>0</v>
      </c>
      <c r="E14" s="2">
        <f>SUM(E8:E13)</f>
        <v>0</v>
      </c>
      <c r="G14" s="51">
        <f>SUM(G8:G13)</f>
        <v>0</v>
      </c>
      <c r="I14" s="40"/>
      <c r="J14" s="2">
        <f>SUM(J8:J13)</f>
        <v>0</v>
      </c>
      <c r="L14" s="51">
        <f>SUM(L8:L13)</f>
        <v>0</v>
      </c>
      <c r="N14" s="40"/>
      <c r="O14" s="2">
        <f>SUM(O8:O13)</f>
        <v>0</v>
      </c>
      <c r="Q14" s="51">
        <f ca="1">SUM(Q8:Q13)</f>
        <v>1867629</v>
      </c>
      <c r="S14" s="40"/>
      <c r="T14" s="2">
        <f>SUM(T8:T13)</f>
        <v>0</v>
      </c>
      <c r="V14" s="51">
        <f ca="1">SUM(V8:V13)</f>
        <v>1766407</v>
      </c>
      <c r="X14" s="51">
        <f ca="1">SUM(X8:X13)</f>
        <v>13374299</v>
      </c>
      <c r="Y14" s="52">
        <f ca="1">X14/$X$22</f>
        <v>0.53000299115682792</v>
      </c>
    </row>
    <row r="15" spans="2:25" x14ac:dyDescent="0.2">
      <c r="B15" s="20" t="s">
        <v>67</v>
      </c>
      <c r="C15" s="2"/>
      <c r="D15" s="40"/>
      <c r="E15" s="2"/>
      <c r="G15" s="2"/>
      <c r="I15" s="40"/>
      <c r="J15" s="2"/>
      <c r="L15" s="2"/>
      <c r="N15" s="40"/>
      <c r="O15" s="2"/>
      <c r="Q15" s="2"/>
      <c r="S15" s="40"/>
      <c r="T15" s="2"/>
      <c r="V15" s="2"/>
      <c r="X15" s="2"/>
      <c r="Y15" s="50"/>
    </row>
    <row r="16" spans="2:25" x14ac:dyDescent="0.2">
      <c r="B16" s="19" t="s">
        <v>42</v>
      </c>
      <c r="C16" s="2"/>
      <c r="D16" s="57">
        <f>'Series A'!D16</f>
        <v>8000000</v>
      </c>
      <c r="E16" s="8">
        <f ca="1">'Series A'!E16</f>
        <v>2311471</v>
      </c>
      <c r="G16" s="2"/>
      <c r="I16" s="40"/>
      <c r="J16" s="2"/>
      <c r="L16" s="2"/>
      <c r="N16" s="57">
        <f>'Series A'!N16</f>
        <v>5000000</v>
      </c>
      <c r="O16" s="8">
        <f ca="1">'Series A'!O16</f>
        <v>1203891</v>
      </c>
      <c r="Q16" s="2"/>
      <c r="S16" s="40">
        <f>($S$22-$S$20)*(N16/$N$22)</f>
        <v>3750000</v>
      </c>
      <c r="T16" s="2">
        <f ca="1">IFERROR(ROUND(S16/$T$24,0),0)</f>
        <v>525718</v>
      </c>
      <c r="V16" s="2"/>
      <c r="X16" s="2">
        <f ca="1">E16+C16+J16+O16+T16</f>
        <v>4041080</v>
      </c>
      <c r="Y16" s="50">
        <f ca="1">X16/$X$22</f>
        <v>0.16014181285344631</v>
      </c>
    </row>
    <row r="17" spans="2:25" x14ac:dyDescent="0.2">
      <c r="B17" s="19" t="s">
        <v>68</v>
      </c>
      <c r="C17" s="2"/>
      <c r="D17" s="40"/>
      <c r="E17" s="2"/>
      <c r="G17" s="2"/>
      <c r="I17" s="40"/>
      <c r="J17" s="2"/>
      <c r="L17" s="2"/>
      <c r="N17" s="57">
        <f>'Series A'!N17</f>
        <v>12000000</v>
      </c>
      <c r="O17" s="8">
        <f ca="1">'Series A'!O17</f>
        <v>2889338</v>
      </c>
      <c r="Q17" s="2"/>
      <c r="S17" s="40">
        <f>($S$22-$S$20)*(N17/$N$22)</f>
        <v>9000000</v>
      </c>
      <c r="T17" s="2">
        <f ca="1">IFERROR(ROUND(S17/$T$24,0),0)</f>
        <v>1261724</v>
      </c>
      <c r="V17" s="2"/>
      <c r="X17" s="2">
        <f ca="1">E17+C17+J17+O17+T17</f>
        <v>4151062</v>
      </c>
      <c r="Y17" s="50">
        <f ca="1">X17/$X$22</f>
        <v>0.16450023111323026</v>
      </c>
    </row>
    <row r="18" spans="2:25" x14ac:dyDescent="0.2">
      <c r="B18" s="19" t="s">
        <v>69</v>
      </c>
      <c r="C18" s="2"/>
      <c r="D18" s="40"/>
      <c r="E18" s="2"/>
      <c r="G18" s="2"/>
      <c r="I18" s="40"/>
      <c r="J18" s="2"/>
      <c r="L18" s="2"/>
      <c r="N18" s="57">
        <f>'Series A'!N18</f>
        <v>3000000</v>
      </c>
      <c r="O18" s="8">
        <f ca="1">'Series A'!O18</f>
        <v>722335</v>
      </c>
      <c r="Q18" s="2"/>
      <c r="S18" s="40">
        <f>($S$22-$S$20)*(N18/$N$22)</f>
        <v>2250000</v>
      </c>
      <c r="T18" s="2">
        <f ca="1">IFERROR(ROUND(S18/$T$24,0),0)</f>
        <v>315431</v>
      </c>
      <c r="V18" s="2"/>
      <c r="X18" s="2">
        <f ca="1">E18+C18+J18+O18+T18</f>
        <v>1037766</v>
      </c>
      <c r="Y18" s="50">
        <f ca="1">X18/$X$22</f>
        <v>4.1125077592541984E-2</v>
      </c>
    </row>
    <row r="19" spans="2:25" x14ac:dyDescent="0.2">
      <c r="B19" s="19" t="s">
        <v>83</v>
      </c>
      <c r="C19" s="2"/>
      <c r="D19" s="57">
        <f>'Series A'!D19</f>
        <v>1825000</v>
      </c>
      <c r="E19" s="8">
        <f ca="1">'Series A'!E19</f>
        <v>527304</v>
      </c>
      <c r="G19" s="2"/>
      <c r="I19" s="40"/>
      <c r="J19" s="2"/>
      <c r="L19" s="2"/>
      <c r="N19" s="40"/>
      <c r="O19" s="2"/>
      <c r="Q19" s="2"/>
      <c r="S19" s="40"/>
      <c r="T19" s="2"/>
      <c r="V19" s="2"/>
      <c r="X19" s="2">
        <f ca="1">E19+C19+J19+O19+T19</f>
        <v>527304</v>
      </c>
      <c r="Y19" s="50">
        <f ca="1">X19/$X$22</f>
        <v>2.0896250132359087E-2</v>
      </c>
    </row>
    <row r="20" spans="2:25" x14ac:dyDescent="0.2">
      <c r="B20" s="19" t="s">
        <v>84</v>
      </c>
      <c r="C20" s="2"/>
      <c r="D20" s="40"/>
      <c r="E20" s="2"/>
      <c r="G20" s="2"/>
      <c r="I20" s="40"/>
      <c r="J20" s="2"/>
      <c r="L20" s="2"/>
      <c r="N20" s="40"/>
      <c r="O20" s="2"/>
      <c r="Q20" s="2"/>
      <c r="S20" s="63">
        <v>15000000</v>
      </c>
      <c r="T20" s="2">
        <f ca="1">IFERROR(ROUND(S20/$T$24,0),0)</f>
        <v>2102873</v>
      </c>
      <c r="V20" s="2"/>
      <c r="X20" s="2">
        <f ca="1">E20+C20+J20+O20+T20</f>
        <v>2102873</v>
      </c>
      <c r="Y20" s="50">
        <f ca="1">X20/$X$22</f>
        <v>8.3333637151594434E-2</v>
      </c>
    </row>
    <row r="21" spans="2:25" x14ac:dyDescent="0.2">
      <c r="B21" s="19"/>
      <c r="C21" s="2"/>
      <c r="D21" s="40"/>
      <c r="E21" s="2"/>
      <c r="G21" s="2"/>
      <c r="I21" s="40"/>
      <c r="J21" s="2"/>
      <c r="L21" s="2"/>
      <c r="N21" s="40"/>
      <c r="O21" s="2"/>
      <c r="Q21" s="2"/>
      <c r="S21" s="40"/>
      <c r="T21" s="2"/>
      <c r="V21" s="2"/>
      <c r="X21" s="2"/>
      <c r="Y21" s="50"/>
    </row>
    <row r="22" spans="2:25" x14ac:dyDescent="0.2">
      <c r="B22" s="19" t="s">
        <v>70</v>
      </c>
      <c r="C22" s="53">
        <f>C14+SUM(C16:C20)</f>
        <v>9740263</v>
      </c>
      <c r="D22" s="61">
        <f>SUM(D8:D20)</f>
        <v>9825000</v>
      </c>
      <c r="E22" s="53">
        <f ca="1">SUM(E8:E20)</f>
        <v>2838775</v>
      </c>
      <c r="G22" s="51">
        <f>G13</f>
        <v>0</v>
      </c>
      <c r="I22" s="61">
        <f>SUM(I16:I21)</f>
        <v>0</v>
      </c>
      <c r="J22" s="53">
        <f>SUM(J16:J21)</f>
        <v>0</v>
      </c>
      <c r="L22" s="51">
        <f>L13</f>
        <v>0</v>
      </c>
      <c r="N22" s="61">
        <f>SUM(N16:N20)</f>
        <v>20000000</v>
      </c>
      <c r="O22" s="53">
        <f ca="1">SUM(O16:O20)</f>
        <v>4815564</v>
      </c>
      <c r="Q22" s="51">
        <f ca="1">Q12</f>
        <v>1867629</v>
      </c>
      <c r="S22" s="61">
        <f>C31</f>
        <v>30000000</v>
      </c>
      <c r="T22" s="53">
        <f ca="1">SUM(T16:T21)</f>
        <v>4205746</v>
      </c>
      <c r="V22" s="51">
        <f ca="1">V13</f>
        <v>1766407</v>
      </c>
      <c r="X22" s="53">
        <f ca="1">SUM(X16:X21)+X14</f>
        <v>25234384</v>
      </c>
      <c r="Y22" s="55">
        <f ca="1">SUM(Y16:Y20)+Y14</f>
        <v>1</v>
      </c>
    </row>
    <row r="23" spans="2:25" ht="13.75" customHeight="1" thickBot="1" x14ac:dyDescent="0.25">
      <c r="B23" s="19"/>
      <c r="Y23" s="21"/>
    </row>
    <row r="24" spans="2:25" ht="13.75" customHeight="1" thickBot="1" x14ac:dyDescent="0.25">
      <c r="B24" s="19" t="s">
        <v>90</v>
      </c>
      <c r="E24" s="14">
        <f ca="1">'Series A'!E23</f>
        <v>3.4609999999999999</v>
      </c>
      <c r="J24" s="14">
        <f ca="1">'Series A'!E23</f>
        <v>3.4609999999999999</v>
      </c>
      <c r="O24" s="14">
        <f ca="1">'Series A'!O23</f>
        <v>4.1532</v>
      </c>
      <c r="T24" s="62">
        <f ca="1">IFERROR(ROUND(T25/(Q22+O22+L22+J22+G22+V13+E22+C22),4),0)</f>
        <v>7.1330999999999998</v>
      </c>
      <c r="Y24" s="21"/>
    </row>
    <row r="25" spans="2:25" x14ac:dyDescent="0.2">
      <c r="B25" s="19" t="s">
        <v>71</v>
      </c>
      <c r="E25" s="15">
        <f>'Series A'!E25</f>
        <v>50000000</v>
      </c>
      <c r="J25" s="15">
        <f>'Series A'!E25</f>
        <v>50000000</v>
      </c>
      <c r="O25" s="15">
        <f>'Series A'!O24</f>
        <v>60000000</v>
      </c>
      <c r="T25" s="15">
        <f>T26-S22</f>
        <v>150000000</v>
      </c>
      <c r="Y25" s="21"/>
    </row>
    <row r="26" spans="2:25" ht="13.75" customHeight="1" thickBot="1" x14ac:dyDescent="0.25">
      <c r="B26" s="42" t="s">
        <v>72</v>
      </c>
      <c r="C26" s="17"/>
      <c r="D26" s="17"/>
      <c r="E26" s="18">
        <f>'Series A'!E25</f>
        <v>50000000</v>
      </c>
      <c r="F26" s="17"/>
      <c r="G26" s="17"/>
      <c r="H26" s="17"/>
      <c r="I26" s="17"/>
      <c r="J26" s="18">
        <f>J25+I22</f>
        <v>50000000</v>
      </c>
      <c r="K26" s="17"/>
      <c r="L26" s="17"/>
      <c r="M26" s="17"/>
      <c r="N26" s="17"/>
      <c r="O26" s="18">
        <f>O25+N22</f>
        <v>80000000</v>
      </c>
      <c r="P26" s="17"/>
      <c r="Q26" s="17"/>
      <c r="R26" s="17"/>
      <c r="S26" s="17"/>
      <c r="T26" s="18">
        <f>C31/C32</f>
        <v>180000000</v>
      </c>
      <c r="U26" s="17"/>
      <c r="V26" s="17"/>
      <c r="W26" s="17"/>
      <c r="X26" s="17"/>
      <c r="Y26" s="22"/>
    </row>
    <row r="28" spans="2:25" x14ac:dyDescent="0.2">
      <c r="B28" t="s">
        <v>77</v>
      </c>
    </row>
    <row r="30" spans="2:25" x14ac:dyDescent="0.2">
      <c r="B30" t="s">
        <v>79</v>
      </c>
      <c r="C30" s="1">
        <f>T25/O26-1</f>
        <v>0.875</v>
      </c>
    </row>
    <row r="31" spans="2:25" x14ac:dyDescent="0.2">
      <c r="B31" t="s">
        <v>74</v>
      </c>
      <c r="C31" s="63">
        <v>30000000</v>
      </c>
    </row>
    <row r="32" spans="2:25" x14ac:dyDescent="0.2">
      <c r="B32" t="s">
        <v>78</v>
      </c>
      <c r="C32" s="1">
        <v>0.16666666666666666</v>
      </c>
    </row>
    <row r="33" spans="2:3" x14ac:dyDescent="0.2">
      <c r="B33" t="s">
        <v>92</v>
      </c>
      <c r="C33" s="1">
        <f>S20/S22</f>
        <v>0.5</v>
      </c>
    </row>
    <row r="34" spans="2:3" x14ac:dyDescent="0.2">
      <c r="B34" t="s">
        <v>103</v>
      </c>
      <c r="C34" s="10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__temp__</vt:lpstr>
      <vt:lpstr>Detailed Cap Table</vt:lpstr>
      <vt:lpstr>SAFE Investments</vt:lpstr>
      <vt:lpstr>Series Seed</vt:lpstr>
      <vt:lpstr>Series A</vt:lpstr>
      <vt:lpstr>Series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Sidarth Subramanian</cp:lastModifiedBy>
  <dcterms:modified xsi:type="dcterms:W3CDTF">2026-04-15T13:52:21Z</dcterms:modified>
</cp:coreProperties>
</file>