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BDE8C6A4-570E-6047-B39E-65501EF47CCC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Detailed Cap Table" sheetId="138" r:id="rId1"/>
    <sheet name="SAFE Investments" sheetId="139" r:id="rId2"/>
    <sheet name="Series Seed" sheetId="140" r:id="rId3"/>
    <sheet name="Series A" sheetId="141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41" l="1"/>
  <c r="C12" i="141"/>
  <c r="H20" i="140"/>
  <c r="I11" i="140" s="1"/>
  <c r="F20" i="140"/>
  <c r="F15" i="140"/>
  <c r="H14" i="140"/>
  <c r="C14" i="140"/>
  <c r="C27" i="141"/>
  <c r="J23" i="141"/>
  <c r="I19" i="141"/>
  <c r="D19" i="141"/>
  <c r="D18" i="141"/>
  <c r="D15" i="141"/>
  <c r="J13" i="141"/>
  <c r="I13" i="141"/>
  <c r="E13" i="141"/>
  <c r="D13" i="141"/>
  <c r="C13" i="141"/>
  <c r="C19" i="141" s="1"/>
  <c r="G13" i="141"/>
  <c r="N11" i="141"/>
  <c r="C11" i="141"/>
  <c r="N10" i="141"/>
  <c r="C10" i="141"/>
  <c r="N9" i="141"/>
  <c r="C9" i="141"/>
  <c r="N8" i="141"/>
  <c r="C8" i="141"/>
  <c r="D20" i="140"/>
  <c r="C20" i="140"/>
  <c r="H18" i="140"/>
  <c r="D18" i="140"/>
  <c r="H17" i="140"/>
  <c r="D17" i="140"/>
  <c r="D15" i="140"/>
  <c r="C15" i="140"/>
  <c r="H15" i="140"/>
  <c r="I15" i="140" s="1"/>
  <c r="H13" i="140"/>
  <c r="C13" i="140"/>
  <c r="H12" i="140"/>
  <c r="C12" i="140"/>
  <c r="H11" i="140"/>
  <c r="C11" i="140"/>
  <c r="H10" i="140"/>
  <c r="C10" i="140"/>
  <c r="C27" i="139"/>
  <c r="G23" i="138"/>
  <c r="H18" i="138" s="1"/>
  <c r="F23" i="138"/>
  <c r="E23" i="138"/>
  <c r="D23" i="138"/>
  <c r="C23" i="138"/>
  <c r="G21" i="138"/>
  <c r="G20" i="138"/>
  <c r="G19" i="138"/>
  <c r="G18" i="138"/>
  <c r="G17" i="138"/>
  <c r="G16" i="138"/>
  <c r="G15" i="138"/>
  <c r="G14" i="138"/>
  <c r="G13" i="138"/>
  <c r="G12" i="138"/>
  <c r="G11" i="138"/>
  <c r="G10" i="138"/>
  <c r="G9" i="138"/>
  <c r="G8" i="138"/>
  <c r="G7" i="138"/>
  <c r="G6" i="138"/>
  <c r="G5" i="138"/>
  <c r="G4" i="138"/>
  <c r="I12" i="140" l="1"/>
  <c r="I13" i="140"/>
  <c r="I17" i="140"/>
  <c r="I10" i="140"/>
  <c r="I14" i="140"/>
  <c r="I18" i="140"/>
  <c r="H6" i="138"/>
  <c r="H16" i="138"/>
  <c r="H4" i="138"/>
  <c r="H9" i="138"/>
  <c r="H14" i="138"/>
  <c r="H19" i="138"/>
  <c r="H5" i="138"/>
  <c r="H10" i="138"/>
  <c r="H15" i="138"/>
  <c r="H20" i="138"/>
  <c r="H11" i="138"/>
  <c r="H21" i="138"/>
  <c r="H7" i="138"/>
  <c r="H12" i="138"/>
  <c r="H17" i="138"/>
  <c r="H8" i="138"/>
  <c r="H13" i="138"/>
  <c r="I20" i="140" l="1"/>
  <c r="O8" i="141" l="1"/>
  <c r="O9" i="141"/>
  <c r="O10" i="141"/>
  <c r="O11" i="141"/>
  <c r="L12" i="141"/>
  <c r="N12" i="141"/>
  <c r="O12" i="141"/>
  <c r="L13" i="141"/>
  <c r="N13" i="141"/>
  <c r="O13" i="141"/>
  <c r="E15" i="141"/>
  <c r="J15" i="141"/>
  <c r="N15" i="141"/>
  <c r="O15" i="141"/>
  <c r="J16" i="141"/>
  <c r="N16" i="141"/>
  <c r="O16" i="141"/>
  <c r="J17" i="141"/>
  <c r="N17" i="141"/>
  <c r="O17" i="141"/>
  <c r="E18" i="141"/>
  <c r="N18" i="141"/>
  <c r="O18" i="141"/>
  <c r="E19" i="141"/>
  <c r="J19" i="141"/>
  <c r="L19" i="141"/>
  <c r="N19" i="141"/>
  <c r="O19" i="141"/>
  <c r="E21" i="141"/>
  <c r="J21" i="141"/>
  <c r="C28" i="141"/>
</calcChain>
</file>

<file path=xl/sharedStrings.xml><?xml version="1.0" encoding="utf-8"?>
<sst xmlns="http://schemas.openxmlformats.org/spreadsheetml/2006/main" count="134" uniqueCount="88">
  <si>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</si>
  <si>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</si>
  <si>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</si>
  <si>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</si>
  <si>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</si>
  <si>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</si>
  <si>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</si>
  <si>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</si>
  <si>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</si>
  <si>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</si>
  <si>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</si>
  <si>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</si>
  <si>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</si>
  <si>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</si>
  <si>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</si>
  <si>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</si>
  <si>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</si>
  <si>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</si>
  <si>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</si>
  <si>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</si>
  <si>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</si>
  <si>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</si>
  <si>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</si>
  <si>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</si>
  <si>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</si>
  <si>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</si>
  <si>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</si>
  <si>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</si>
  <si>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</si>
  <si>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</si>
  <si>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</si>
  <si>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</si>
  <si>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</si>
  <si>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</si>
  <si>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</si>
  <si>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</si>
  <si>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</si>
  <si>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</si>
  <si>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</si>
  <si>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</si>
  <si>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</si>
  <si>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</si>
  <si>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</si>
  <si>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</si>
  <si>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</si>
  <si>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</si>
  <si>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</si>
  <si>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</si>
  <si>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</si>
  <si>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</si>
  <si>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</si>
  <si>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</si>
  <si>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SAFE Investments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</si>
  <si>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</si>
  <si>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</si>
  <si>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</si>
  <si>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</si>
  <si>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</si>
  <si>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</si>
  <si>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</si>
  <si>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</si>
  <si>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</si>
  <si>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</si>
  <si>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</si>
  <si>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</si>
  <si>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</si>
  <si>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</si>
  <si>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</si>
  <si>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</si>
  <si>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</si>
  <si>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Other Series A Investors</t>
  </si>
  <si>
    <t>Totals</t>
  </si>
  <si>
    <t>Pre-Money Valuation</t>
  </si>
  <si>
    <t>Post-Money Valuation</t>
  </si>
  <si>
    <t>Series A Assumptions:</t>
  </si>
  <si>
    <t>Other Common Shareholders</t>
  </si>
  <si>
    <t>ESOP Issued &amp; Outstanding</t>
  </si>
  <si>
    <t>ESOP Available</t>
  </si>
  <si>
    <t>Other SAFE Investors</t>
  </si>
  <si>
    <t>Transfer from Owl Rocl Capital II, LLC (Accomplice)</t>
  </si>
  <si>
    <t xml:space="preserve">Price per Share </t>
  </si>
  <si>
    <t>SIDEKICK (THINK MORE SECURITY) &amp; 1011 SERIES SEED</t>
  </si>
  <si>
    <t>SAFE Valuation Cap</t>
  </si>
  <si>
    <t>SIDEKICK (THINK MORE SECURITY) &amp; 1011 SERIES A</t>
  </si>
  <si>
    <t>Conversion</t>
  </si>
  <si>
    <t>Expansion</t>
  </si>
  <si>
    <t>Round Ownership %</t>
  </si>
  <si>
    <t xml:space="preserve">Option Pool Expansion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</si>
</sst>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0"/>
      <color rgb="FF000000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b/>
      <sz val="12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1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/>
    </xf>
    <xf numFmtId="168" fontId="18" fillId="0" borderId="0" xfId="0" applyNumberFormat="1" applyFont="1" applyAlignment="1">
      <alignment horizontal="center"/>
    </xf>
    <xf numFmtId="37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0" fontId="20" fillId="0" borderId="0" xfId="0" applyFont="1"/>
    <xf numFmtId="37" fontId="0" fillId="0" borderId="0" xfId="0" applyNumberForma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37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0" borderId="20" xfId="0" applyFont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5" xfId="0" applyFont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37" fontId="20" fillId="0" borderId="10" xfId="0" applyNumberFormat="1" applyFont="1" applyBorder="1" applyAlignment="1">
      <alignment horizontal="center"/>
    </xf>
    <xf numFmtId="0" fontId="23" fillId="0" borderId="21" xfId="0" applyFont="1" applyBorder="1"/>
    <xf numFmtId="0" fontId="20" fillId="0" borderId="15" xfId="0" applyFont="1" applyBorder="1"/>
    <xf numFmtId="0" fontId="23" fillId="0" borderId="15" xfId="0" applyFont="1" applyBorder="1"/>
    <xf numFmtId="0" fontId="20" fillId="0" borderId="14" xfId="0" applyFont="1" applyBorder="1"/>
    <xf numFmtId="37" fontId="20" fillId="0" borderId="11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37" fontId="0" fillId="0" borderId="10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5" xfId="0" applyBorder="1" applyAlignment="1">
      <alignment horizontal="center"/>
    </xf>
    <xf numFmtId="175" fontId="0" fillId="0" borderId="22" xfId="0" applyNumberFormat="1" applyBorder="1" applyAlignment="1">
      <alignment horizontal="center"/>
    </xf>
    <xf numFmtId="168" fontId="0" fillId="0" borderId="13" xfId="0" applyNumberFormat="1" applyBorder="1" applyAlignment="1">
      <alignment horizontal="center"/>
    </xf>
    <xf numFmtId="0" fontId="0" fillId="0" borderId="0" xfId="0" applyAlignment="1">
      <alignment horizontal="centerContinuous"/>
    </xf>
    <xf numFmtId="165" fontId="20" fillId="0" borderId="17" xfId="0" applyNumberFormat="1" applyFont="1" applyBorder="1" applyAlignment="1">
      <alignment horizontal="center"/>
    </xf>
    <xf numFmtId="165" fontId="20" fillId="0" borderId="18" xfId="0" applyNumberFormat="1" applyFont="1" applyBorder="1" applyAlignment="1">
      <alignment horizontal="center"/>
    </xf>
    <xf numFmtId="168" fontId="20" fillId="0" borderId="11" xfId="0" applyNumberFormat="1" applyFont="1" applyBorder="1" applyAlignment="1">
      <alignment horizontal="center"/>
    </xf>
    <xf numFmtId="165" fontId="20" fillId="0" borderId="19" xfId="0" applyNumberFormat="1" applyFont="1" applyBorder="1" applyAlignment="1">
      <alignment horizontal="center"/>
    </xf>
    <xf numFmtId="168" fontId="18" fillId="0" borderId="22" xfId="0" applyNumberFormat="1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168" fontId="0" fillId="0" borderId="11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7316-53BC-114B-A078-C25AAB6A57B9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11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">
      <c r="A2" s="11"/>
      <c r="B2" s="11"/>
      <c r="C2" s="11"/>
      <c r="D2" s="11"/>
      <c r="E2" s="11"/>
      <c r="F2" s="11"/>
      <c r="G2" s="11"/>
      <c r="H2" s="12" t="s">
        <v>1</v>
      </c>
      <c r="I2" s="11"/>
      <c r="J2" s="11"/>
    </row>
    <row r="3" spans="1:10" x14ac:dyDescent="0.2">
      <c r="A3" s="11"/>
      <c r="B3" s="12" t="s">
        <v>2</v>
      </c>
      <c r="C3" s="12" t="s">
        <v>3</v>
      </c>
      <c r="D3" s="12" t="s">
        <v>4</v>
      </c>
      <c r="E3" s="12" t="s">
        <v>5</v>
      </c>
      <c r="F3" s="12" t="s">
        <v>6</v>
      </c>
      <c r="G3" s="12" t="s">
        <v>0</v>
      </c>
      <c r="H3" s="12" t="s">
        <v>7</v>
      </c>
      <c r="I3" s="11"/>
      <c r="J3" s="11"/>
    </row>
    <row r="4" spans="1:10" x14ac:dyDescent="0.2">
      <c r="A4" s="11"/>
      <c r="B4" s="11" t="s">
        <v>8</v>
      </c>
      <c r="C4" s="13">
        <v>3600000</v>
      </c>
      <c r="D4" s="13"/>
      <c r="E4" s="13"/>
      <c r="F4" s="13"/>
      <c r="G4" s="13">
        <f>SUM(C4:F4)</f>
        <v>3600000</v>
      </c>
      <c r="H4" s="14">
        <f>G4/$G$23</f>
        <v>0.36959987630724139</v>
      </c>
      <c r="I4" s="11"/>
      <c r="J4" s="11"/>
    </row>
    <row r="5" spans="1:10" x14ac:dyDescent="0.2">
      <c r="A5" s="11"/>
      <c r="B5" s="11" t="s">
        <v>9</v>
      </c>
      <c r="C5" s="13">
        <v>3600000</v>
      </c>
      <c r="D5" s="13"/>
      <c r="E5" s="13"/>
      <c r="F5" s="13"/>
      <c r="G5" s="13">
        <f>SUM(C5:F5)</f>
        <v>3600000</v>
      </c>
      <c r="H5" s="14">
        <f>G5/$G$23</f>
        <v>0.36959987630724139</v>
      </c>
      <c r="I5" s="11"/>
      <c r="J5" s="11"/>
    </row>
    <row r="6" spans="1:10" x14ac:dyDescent="0.2">
      <c r="A6" s="11"/>
      <c r="B6" s="11" t="s">
        <v>10</v>
      </c>
      <c r="C6" s="13">
        <v>222187</v>
      </c>
      <c r="D6" s="13"/>
      <c r="E6" s="13"/>
      <c r="F6" s="13"/>
      <c r="G6" s="13">
        <f>SUM(C6:F6)</f>
        <v>222187</v>
      </c>
      <c r="H6" s="14">
        <f>G6/$G$23</f>
        <v>2.28111910325214E-2</v>
      </c>
      <c r="I6" s="11"/>
      <c r="J6" s="11"/>
    </row>
    <row r="7" spans="1:10" x14ac:dyDescent="0.2">
      <c r="A7" s="11"/>
      <c r="B7" s="11" t="s">
        <v>11</v>
      </c>
      <c r="C7" s="13">
        <v>592500</v>
      </c>
      <c r="D7" s="13"/>
      <c r="E7" s="13"/>
      <c r="F7" s="13"/>
      <c r="G7" s="13">
        <f>SUM(C7:F7)</f>
        <v>592500</v>
      </c>
      <c r="H7" s="14">
        <f>G7/$G$23</f>
        <v>6.0829979642233481E-2</v>
      </c>
      <c r="I7" s="11"/>
      <c r="J7" s="11"/>
    </row>
    <row r="8" spans="1:10" x14ac:dyDescent="0.2">
      <c r="A8" s="11"/>
      <c r="B8" s="11" t="s">
        <v>12</v>
      </c>
      <c r="C8" s="13">
        <v>592500</v>
      </c>
      <c r="D8" s="13"/>
      <c r="E8" s="13"/>
      <c r="F8" s="13"/>
      <c r="G8" s="13">
        <f>SUM(C8:F8)</f>
        <v>592500</v>
      </c>
      <c r="H8" s="14">
        <f>G8/$G$23</f>
        <v>6.0829979642233481E-2</v>
      </c>
      <c r="I8" s="11"/>
      <c r="J8" s="11"/>
    </row>
    <row r="9" spans="1:10" x14ac:dyDescent="0.2">
      <c r="A9" s="11"/>
      <c r="B9" s="11" t="s">
        <v>13</v>
      </c>
      <c r="C9" s="13">
        <v>13500</v>
      </c>
      <c r="D9" s="13">
        <v>98900</v>
      </c>
      <c r="E9" s="13"/>
      <c r="F9" s="13"/>
      <c r="G9" s="13">
        <f>SUM(C9:F9)</f>
        <v>112400</v>
      </c>
      <c r="H9" s="14">
        <f>G9/$G$23</f>
        <v>1.1539729471370537E-2</v>
      </c>
      <c r="I9" s="11"/>
      <c r="J9" s="11"/>
    </row>
    <row r="10" spans="1:10" x14ac:dyDescent="0.2">
      <c r="A10" s="11"/>
      <c r="B10" s="11" t="s">
        <v>14</v>
      </c>
      <c r="C10" s="13">
        <v>9000</v>
      </c>
      <c r="D10" s="13"/>
      <c r="E10" s="13"/>
      <c r="F10" s="13"/>
      <c r="G10" s="13">
        <f>SUM(C10:F10)</f>
        <v>9000</v>
      </c>
      <c r="H10" s="14">
        <f>G10/$G$23</f>
        <v>9.2399969076810353E-4</v>
      </c>
      <c r="I10" s="11"/>
      <c r="J10" s="11"/>
    </row>
    <row r="11" spans="1:10" x14ac:dyDescent="0.2">
      <c r="A11" s="11"/>
      <c r="B11" s="11" t="s">
        <v>15</v>
      </c>
      <c r="C11" s="13"/>
      <c r="D11" s="13">
        <v>95000</v>
      </c>
      <c r="E11" s="13"/>
      <c r="F11" s="13"/>
      <c r="G11" s="13">
        <f>SUM(C11:F11)</f>
        <v>95000</v>
      </c>
      <c r="H11" s="14">
        <f>G11/$G$23</f>
        <v>9.7533300692188695E-3</v>
      </c>
      <c r="I11" s="11"/>
      <c r="J11" s="11"/>
    </row>
    <row r="12" spans="1:10" x14ac:dyDescent="0.2">
      <c r="A12" s="11"/>
      <c r="B12" s="11" t="s">
        <v>16</v>
      </c>
      <c r="C12" s="13"/>
      <c r="D12" s="13"/>
      <c r="E12" s="13">
        <v>25000</v>
      </c>
      <c r="F12" s="13"/>
      <c r="G12" s="13">
        <f>SUM(C12:F12)</f>
        <v>25000</v>
      </c>
      <c r="H12" s="14">
        <f>G12/$G$23</f>
        <v>2.5666658076891765E-3</v>
      </c>
      <c r="I12" s="11"/>
      <c r="J12" s="11"/>
    </row>
    <row r="13" spans="1:10" x14ac:dyDescent="0.2">
      <c r="A13" s="11"/>
      <c r="B13" s="11" t="s">
        <v>17</v>
      </c>
      <c r="C13" s="13"/>
      <c r="D13" s="13"/>
      <c r="E13" s="13">
        <v>41562</v>
      </c>
      <c r="F13" s="13"/>
      <c r="G13" s="13">
        <f>SUM(C13:F13)</f>
        <v>41562</v>
      </c>
      <c r="H13" s="14">
        <f>G13/$G$23</f>
        <v>4.2670305719671019E-3</v>
      </c>
      <c r="I13" s="11"/>
      <c r="J13" s="11"/>
    </row>
    <row r="14" spans="1:10" x14ac:dyDescent="0.2">
      <c r="A14" s="11"/>
      <c r="B14" s="11" t="s">
        <v>18</v>
      </c>
      <c r="C14" s="13"/>
      <c r="D14" s="13">
        <v>285000</v>
      </c>
      <c r="E14" s="13"/>
      <c r="F14" s="13"/>
      <c r="G14" s="13">
        <f>SUM(C14:F14)</f>
        <v>285000</v>
      </c>
      <c r="H14" s="14">
        <f>G14/$G$23</f>
        <v>2.925999020765661E-2</v>
      </c>
      <c r="I14" s="11"/>
      <c r="J14" s="11"/>
    </row>
    <row r="15" spans="1:10" x14ac:dyDescent="0.2">
      <c r="A15" s="11"/>
      <c r="B15" s="11" t="s">
        <v>19</v>
      </c>
      <c r="C15" s="13"/>
      <c r="D15" s="13">
        <v>50000</v>
      </c>
      <c r="E15" s="13"/>
      <c r="F15" s="13"/>
      <c r="G15" s="13">
        <f>SUM(C15:F15)</f>
        <v>50000</v>
      </c>
      <c r="H15" s="14">
        <f>G15/$G$23</f>
        <v>5.133331615378353E-3</v>
      </c>
      <c r="I15" s="11"/>
      <c r="J15" s="11"/>
    </row>
    <row r="16" spans="1:10" x14ac:dyDescent="0.2">
      <c r="A16" s="11"/>
      <c r="B16" s="11" t="s">
        <v>20</v>
      </c>
      <c r="C16" s="13"/>
      <c r="D16" s="13">
        <v>285000</v>
      </c>
      <c r="E16" s="13"/>
      <c r="F16" s="13"/>
      <c r="G16" s="13">
        <f>SUM(C16:F16)</f>
        <v>285000</v>
      </c>
      <c r="H16" s="14">
        <f>G16/$G$23</f>
        <v>2.925999020765661E-2</v>
      </c>
      <c r="I16" s="11"/>
      <c r="J16" s="11"/>
    </row>
    <row r="17" spans="1:10" x14ac:dyDescent="0.2">
      <c r="A17" s="11"/>
      <c r="B17" s="11" t="s">
        <v>21</v>
      </c>
      <c r="C17" s="13"/>
      <c r="D17" s="13"/>
      <c r="E17" s="13">
        <v>96186</v>
      </c>
      <c r="F17" s="13"/>
      <c r="G17" s="13">
        <f>SUM(C17:F17)</f>
        <v>96186</v>
      </c>
      <c r="H17" s="14">
        <f>G17/$G$23</f>
        <v>9.8750926951356455E-3</v>
      </c>
      <c r="I17" s="11"/>
      <c r="J17" s="11"/>
    </row>
    <row r="18" spans="1:10" x14ac:dyDescent="0.2">
      <c r="A18" s="11"/>
      <c r="B18" s="11" t="s">
        <v>22</v>
      </c>
      <c r="C18" s="13"/>
      <c r="D18" s="13"/>
      <c r="E18" s="13">
        <v>48095</v>
      </c>
      <c r="F18" s="13"/>
      <c r="G18" s="13">
        <f>SUM(C18:F18)</f>
        <v>48095</v>
      </c>
      <c r="H18" s="14">
        <f>G18/$G$23</f>
        <v>4.9377516808324371E-3</v>
      </c>
      <c r="I18" s="11"/>
      <c r="J18" s="11"/>
    </row>
    <row r="19" spans="1:10" x14ac:dyDescent="0.2">
      <c r="A19" s="11"/>
      <c r="B19" s="11" t="s">
        <v>23</v>
      </c>
      <c r="C19" s="13"/>
      <c r="D19" s="13"/>
      <c r="E19" s="13"/>
      <c r="F19" s="13">
        <v>12395</v>
      </c>
      <c r="G19" s="13">
        <f>SUM(C19:F19)</f>
        <v>12395</v>
      </c>
      <c r="H19" s="14">
        <f>G19/$G$23</f>
        <v>1.2725529074522936E-3</v>
      </c>
      <c r="I19" s="11"/>
      <c r="J19" s="11"/>
    </row>
    <row r="20" spans="1:10" x14ac:dyDescent="0.2">
      <c r="A20" s="11"/>
      <c r="B20" s="11" t="s">
        <v>24</v>
      </c>
      <c r="C20" s="13"/>
      <c r="D20" s="13"/>
      <c r="E20" s="13"/>
      <c r="F20" s="13">
        <v>8333</v>
      </c>
      <c r="G20" s="13">
        <f>SUM(C20:F20)</f>
        <v>8333</v>
      </c>
      <c r="H20" s="14">
        <f>G20/$G$23</f>
        <v>8.5552104701895626E-4</v>
      </c>
      <c r="I20" s="11"/>
      <c r="J20" s="11"/>
    </row>
    <row r="21" spans="1:10" ht="15.75" customHeight="1" x14ac:dyDescent="0.2">
      <c r="A21" s="11"/>
      <c r="B21" s="11" t="s">
        <v>25</v>
      </c>
      <c r="C21" s="13"/>
      <c r="D21" s="13">
        <v>65105</v>
      </c>
      <c r="E21" s="13"/>
      <c r="F21" s="13"/>
      <c r="G21" s="13">
        <f>SUM(C21:F21)</f>
        <v>65105</v>
      </c>
      <c r="H21" s="14">
        <f>G21/$G$23</f>
        <v>6.6841110963841528E-3</v>
      </c>
      <c r="I21" s="11"/>
      <c r="J21" s="11"/>
    </row>
    <row r="22" spans="1:10" ht="15.75" customHeight="1" x14ac:dyDescent="0.2">
      <c r="A22" s="11"/>
      <c r="B22" s="11"/>
      <c r="C22" s="13"/>
      <c r="D22" s="13"/>
      <c r="E22" s="13"/>
      <c r="F22" s="13"/>
      <c r="G22" s="13"/>
      <c r="H22" s="14"/>
      <c r="I22" s="11"/>
      <c r="J22" s="11"/>
    </row>
    <row r="23" spans="1:10" ht="15.75" customHeight="1" x14ac:dyDescent="0.2">
      <c r="A23" s="11"/>
      <c r="B23" s="12" t="s">
        <v>0</v>
      </c>
      <c r="C23" s="13">
        <f>SUM(C4:C21)</f>
        <v>8629687</v>
      </c>
      <c r="D23" s="13">
        <f>SUM(D4:D21)</f>
        <v>879005</v>
      </c>
      <c r="E23" s="13">
        <f>SUM(E4:E21)</f>
        <v>210843</v>
      </c>
      <c r="F23" s="13">
        <f>SUM(F4:F21)</f>
        <v>20728</v>
      </c>
      <c r="G23" s="13">
        <f>SUM(G4:G21)</f>
        <v>9740263</v>
      </c>
      <c r="H23" s="14"/>
      <c r="I23" s="11"/>
      <c r="J2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BC71C-70E7-7F4D-8D3B-146049E1735A}">
  <dimension ref="A1:F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11"/>
      <c r="B1" s="11"/>
      <c r="C1" s="11"/>
      <c r="D1" s="11"/>
      <c r="E1" s="11"/>
      <c r="F1" s="11"/>
    </row>
    <row r="2" spans="1:6" x14ac:dyDescent="0.2">
      <c r="A2" s="11"/>
      <c r="B2" s="11"/>
      <c r="C2" s="11"/>
      <c r="D2" s="11"/>
      <c r="E2" s="11"/>
      <c r="F2" s="11"/>
    </row>
    <row r="3" spans="1:6" x14ac:dyDescent="0.2">
      <c r="A3" s="11"/>
      <c r="B3" s="12" t="s">
        <v>2</v>
      </c>
      <c r="C3" s="12" t="s">
        <v>26</v>
      </c>
      <c r="D3" s="11"/>
      <c r="E3" s="12" t="s">
        <v>27</v>
      </c>
      <c r="F3" s="11"/>
    </row>
    <row r="4" spans="1:6" x14ac:dyDescent="0.2">
      <c r="A4" s="11"/>
      <c r="B4" s="11" t="s">
        <v>13</v>
      </c>
      <c r="C4" s="15">
        <v>25000</v>
      </c>
      <c r="D4" s="11"/>
      <c r="E4" s="11" t="s">
        <v>28</v>
      </c>
      <c r="F4" s="11"/>
    </row>
    <row r="5" spans="1:6" x14ac:dyDescent="0.2">
      <c r="A5" s="11"/>
      <c r="B5" s="11" t="s">
        <v>14</v>
      </c>
      <c r="C5" s="15">
        <v>25000</v>
      </c>
      <c r="D5" s="11"/>
      <c r="E5" s="11"/>
      <c r="F5" s="11"/>
    </row>
    <row r="6" spans="1:6" ht="15.75" customHeight="1" x14ac:dyDescent="0.2">
      <c r="A6" s="11"/>
      <c r="B6" s="11" t="s">
        <v>29</v>
      </c>
      <c r="C6" s="15">
        <v>137170.75</v>
      </c>
      <c r="D6" s="11"/>
      <c r="E6" s="11"/>
      <c r="F6" s="11"/>
    </row>
    <row r="7" spans="1:6" ht="15.75" customHeight="1" x14ac:dyDescent="0.2">
      <c r="A7" s="11"/>
      <c r="B7" s="11" t="s">
        <v>30</v>
      </c>
      <c r="C7" s="15">
        <v>3846829.25</v>
      </c>
      <c r="D7" s="11"/>
      <c r="E7" s="11"/>
      <c r="F7" s="11"/>
    </row>
    <row r="8" spans="1:6" ht="15.75" customHeight="1" x14ac:dyDescent="0.2">
      <c r="A8" s="11"/>
      <c r="B8" s="11" t="s">
        <v>31</v>
      </c>
      <c r="C8" s="15">
        <v>16566</v>
      </c>
      <c r="D8" s="11"/>
      <c r="E8" s="11" t="s">
        <v>79</v>
      </c>
      <c r="F8" s="11"/>
    </row>
    <row r="9" spans="1:6" ht="15.75" customHeight="1" x14ac:dyDescent="0.2">
      <c r="A9" s="11"/>
      <c r="B9" s="11" t="s">
        <v>32</v>
      </c>
      <c r="C9" s="15">
        <v>250000</v>
      </c>
      <c r="D9" s="11"/>
      <c r="E9" s="11"/>
      <c r="F9" s="11"/>
    </row>
    <row r="10" spans="1:6" ht="15.75" customHeight="1" x14ac:dyDescent="0.2">
      <c r="A10" s="11"/>
      <c r="B10" s="11" t="s">
        <v>33</v>
      </c>
      <c r="C10" s="15">
        <v>100000</v>
      </c>
      <c r="D10" s="11"/>
      <c r="E10" s="11"/>
      <c r="F10" s="11"/>
    </row>
    <row r="11" spans="1:6" ht="15.75" customHeight="1" x14ac:dyDescent="0.2">
      <c r="A11" s="11"/>
      <c r="B11" s="11" t="s">
        <v>34</v>
      </c>
      <c r="C11" s="15">
        <v>300000</v>
      </c>
      <c r="D11" s="11"/>
      <c r="E11" s="11" t="s">
        <v>28</v>
      </c>
      <c r="F11" s="11"/>
    </row>
    <row r="12" spans="1:6" ht="15.75" customHeight="1" x14ac:dyDescent="0.2">
      <c r="A12" s="11"/>
      <c r="B12" s="11" t="s">
        <v>35</v>
      </c>
      <c r="C12" s="15">
        <v>37500</v>
      </c>
      <c r="D12" s="11"/>
      <c r="E12" s="11" t="s">
        <v>36</v>
      </c>
      <c r="F12" s="11"/>
    </row>
    <row r="13" spans="1:6" ht="15.75" customHeight="1" x14ac:dyDescent="0.2">
      <c r="A13" s="11"/>
      <c r="B13" s="11" t="s">
        <v>37</v>
      </c>
      <c r="C13" s="15">
        <v>250000</v>
      </c>
      <c r="D13" s="11"/>
      <c r="E13" s="11"/>
      <c r="F13" s="11"/>
    </row>
    <row r="14" spans="1:6" ht="15.75" customHeight="1" x14ac:dyDescent="0.2">
      <c r="A14" s="11"/>
      <c r="B14" s="11" t="s">
        <v>38</v>
      </c>
      <c r="C14" s="15">
        <v>100000</v>
      </c>
      <c r="D14" s="11"/>
      <c r="E14" s="11"/>
      <c r="F14" s="11"/>
    </row>
    <row r="15" spans="1:6" ht="15.75" customHeight="1" x14ac:dyDescent="0.2">
      <c r="A15" s="11"/>
      <c r="B15" s="11" t="s">
        <v>39</v>
      </c>
      <c r="C15" s="15">
        <v>41164</v>
      </c>
      <c r="D15" s="11"/>
      <c r="E15" s="11" t="s">
        <v>79</v>
      </c>
      <c r="F15" s="11"/>
    </row>
    <row r="16" spans="1:6" ht="15.75" customHeight="1" x14ac:dyDescent="0.2">
      <c r="A16" s="11"/>
      <c r="B16" s="11" t="s">
        <v>40</v>
      </c>
      <c r="C16" s="15">
        <v>2328778</v>
      </c>
      <c r="D16" s="11"/>
      <c r="E16" s="11" t="s">
        <v>79</v>
      </c>
      <c r="F16" s="11"/>
    </row>
    <row r="17" spans="1:6" ht="15.75" customHeight="1" x14ac:dyDescent="0.2">
      <c r="A17" s="11"/>
      <c r="B17" s="11" t="s">
        <v>41</v>
      </c>
      <c r="C17" s="15">
        <v>1506000</v>
      </c>
      <c r="D17" s="11"/>
      <c r="E17" s="11" t="s">
        <v>42</v>
      </c>
      <c r="F17" s="11"/>
    </row>
    <row r="18" spans="1:6" ht="15.75" customHeight="1" x14ac:dyDescent="0.2">
      <c r="A18" s="11"/>
      <c r="B18" s="11" t="s">
        <v>43</v>
      </c>
      <c r="C18" s="15">
        <v>50000</v>
      </c>
      <c r="D18" s="11"/>
      <c r="E18" s="11"/>
      <c r="F18" s="11"/>
    </row>
    <row r="19" spans="1:6" ht="15.75" customHeight="1" x14ac:dyDescent="0.2">
      <c r="A19" s="11"/>
      <c r="B19" s="11" t="s">
        <v>44</v>
      </c>
      <c r="C19" s="15">
        <v>212500</v>
      </c>
      <c r="D19" s="11"/>
      <c r="E19" s="11" t="s">
        <v>36</v>
      </c>
      <c r="F19" s="11"/>
    </row>
    <row r="20" spans="1:6" ht="15.75" customHeight="1" x14ac:dyDescent="0.2">
      <c r="A20" s="11"/>
      <c r="B20" s="11" t="s">
        <v>45</v>
      </c>
      <c r="C20" s="15">
        <v>25000</v>
      </c>
      <c r="D20" s="11"/>
      <c r="E20" s="11"/>
      <c r="F20" s="11"/>
    </row>
    <row r="21" spans="1:6" ht="15.75" customHeight="1" x14ac:dyDescent="0.2">
      <c r="A21" s="11"/>
      <c r="B21" s="11" t="s">
        <v>46</v>
      </c>
      <c r="C21" s="15">
        <v>61746</v>
      </c>
      <c r="D21" s="11"/>
      <c r="E21" s="11" t="s">
        <v>79</v>
      </c>
      <c r="F21" s="11"/>
    </row>
    <row r="22" spans="1:6" ht="15.75" customHeight="1" x14ac:dyDescent="0.2">
      <c r="A22" s="11"/>
      <c r="B22" s="11" t="s">
        <v>47</v>
      </c>
      <c r="C22" s="15">
        <v>100000</v>
      </c>
      <c r="D22" s="11"/>
      <c r="E22" s="11"/>
      <c r="F22" s="11"/>
    </row>
    <row r="23" spans="1:6" ht="15.75" customHeight="1" x14ac:dyDescent="0.2">
      <c r="A23" s="11"/>
      <c r="B23" s="11" t="s">
        <v>48</v>
      </c>
      <c r="C23" s="15">
        <v>100000</v>
      </c>
      <c r="D23" s="11"/>
      <c r="E23" s="11"/>
      <c r="F23" s="11"/>
    </row>
    <row r="24" spans="1:6" ht="15.75" customHeight="1" x14ac:dyDescent="0.2">
      <c r="A24" s="11"/>
      <c r="B24" s="11" t="s">
        <v>49</v>
      </c>
      <c r="C24" s="15">
        <v>61746</v>
      </c>
      <c r="D24" s="11"/>
      <c r="E24" s="11" t="s">
        <v>79</v>
      </c>
      <c r="F24" s="11"/>
    </row>
    <row r="25" spans="1:6" ht="15.75" customHeight="1" x14ac:dyDescent="0.2">
      <c r="A25" s="11"/>
      <c r="B25" s="11" t="s">
        <v>50</v>
      </c>
      <c r="C25" s="15">
        <v>250000</v>
      </c>
      <c r="D25" s="11"/>
      <c r="E25" s="11" t="s">
        <v>51</v>
      </c>
      <c r="F25" s="11"/>
    </row>
    <row r="26" spans="1:6" ht="15.75" customHeight="1" x14ac:dyDescent="0.2">
      <c r="A26" s="11"/>
      <c r="B26" s="11"/>
      <c r="C26" s="15"/>
      <c r="D26" s="11"/>
      <c r="E26" s="11"/>
      <c r="F26" s="11"/>
    </row>
    <row r="27" spans="1:6" ht="15.75" customHeight="1" x14ac:dyDescent="0.2">
      <c r="A27" s="11"/>
      <c r="B27" s="11" t="s">
        <v>0</v>
      </c>
      <c r="C27" s="15">
        <f>SUM(C4:C25)</f>
        <v>9825000</v>
      </c>
      <c r="D27" s="11"/>
      <c r="E27" s="11"/>
      <c r="F27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061D-9312-1C42-9AF7-90E0E6B61A7E}">
  <dimension ref="B4:I22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0.5" customWidth="1"/>
    <col min="6" max="6" width="13.83203125" customWidth="1"/>
    <col min="7" max="7" width="0.5" customWidth="1"/>
    <col min="8" max="8" width="14.33203125" customWidth="1"/>
    <col min="9" max="9" width="9.33203125" customWidth="1"/>
    <col min="10" max="10" width="8" customWidth="1"/>
  </cols>
  <sheetData>
    <row r="4" spans="2:9" ht="15.5" customHeight="1" x14ac:dyDescent="0.2">
      <c r="B4" s="16" t="s">
        <v>81</v>
      </c>
      <c r="C4" s="42"/>
      <c r="D4" s="42"/>
      <c r="E4" s="42"/>
      <c r="F4" s="42"/>
      <c r="G4" s="42"/>
      <c r="H4" s="42"/>
      <c r="I4" s="42"/>
    </row>
    <row r="5" spans="2:9" ht="16.25" customHeight="1" thickBot="1" x14ac:dyDescent="0.25"/>
    <row r="6" spans="2:9" ht="13.75" customHeight="1" thickBot="1" x14ac:dyDescent="0.25">
      <c r="C6" s="22" t="s">
        <v>53</v>
      </c>
      <c r="D6" s="25" t="s">
        <v>26</v>
      </c>
      <c r="F6" s="25" t="s">
        <v>54</v>
      </c>
      <c r="H6" s="22" t="s">
        <v>56</v>
      </c>
      <c r="I6" s="23"/>
    </row>
    <row r="7" spans="2:9" x14ac:dyDescent="0.2">
      <c r="C7" s="22" t="s">
        <v>57</v>
      </c>
      <c r="D7" s="25" t="s">
        <v>58</v>
      </c>
      <c r="F7" s="24" t="s">
        <v>60</v>
      </c>
      <c r="H7" s="22" t="s">
        <v>61</v>
      </c>
      <c r="I7" s="23" t="s">
        <v>62</v>
      </c>
    </row>
    <row r="8" spans="2:9" ht="13.75" customHeight="1" thickBot="1" x14ac:dyDescent="0.25">
      <c r="C8" s="20" t="s">
        <v>63</v>
      </c>
      <c r="D8" s="24" t="s">
        <v>64</v>
      </c>
      <c r="F8" s="24" t="s">
        <v>65</v>
      </c>
      <c r="H8" s="20" t="s">
        <v>63</v>
      </c>
      <c r="I8" s="21" t="s">
        <v>66</v>
      </c>
    </row>
    <row r="9" spans="2:9" x14ac:dyDescent="0.2">
      <c r="B9" s="27" t="s">
        <v>67</v>
      </c>
      <c r="C9" s="32"/>
      <c r="D9" s="32"/>
      <c r="E9" s="8"/>
      <c r="F9" s="32"/>
      <c r="G9" s="8"/>
      <c r="H9" s="32"/>
      <c r="I9" s="39"/>
    </row>
    <row r="10" spans="2:9" x14ac:dyDescent="0.2">
      <c r="B10" s="28" t="s">
        <v>8</v>
      </c>
      <c r="C10" s="4">
        <f>'Detailed Cap Table'!C4</f>
        <v>3600000</v>
      </c>
      <c r="D10" s="38"/>
      <c r="F10" s="7"/>
      <c r="H10" s="17">
        <f>C10+F10</f>
        <v>3600000</v>
      </c>
      <c r="I10" s="43">
        <f>H10/$H$20</f>
        <v>0.36959987630724139</v>
      </c>
    </row>
    <row r="11" spans="2:9" x14ac:dyDescent="0.2">
      <c r="B11" s="28" t="s">
        <v>9</v>
      </c>
      <c r="C11" s="4">
        <f>'Detailed Cap Table'!C5</f>
        <v>3600000</v>
      </c>
      <c r="D11" s="38"/>
      <c r="F11" s="7"/>
      <c r="H11" s="17">
        <f>C11+F11</f>
        <v>3600000</v>
      </c>
      <c r="I11" s="43">
        <f>H11/$H$20</f>
        <v>0.36959987630724139</v>
      </c>
    </row>
    <row r="12" spans="2:9" x14ac:dyDescent="0.2">
      <c r="B12" s="28" t="s">
        <v>75</v>
      </c>
      <c r="C12" s="4">
        <f>'Detailed Cap Table'!C23-'Detailed Cap Table'!C4-'Detailed Cap Table'!C5+'Detailed Cap Table'!D23-'Detailed Cap Table'!D21+'Detailed Cap Table'!F23</f>
        <v>2264315</v>
      </c>
      <c r="D12" s="38"/>
      <c r="F12" s="7"/>
      <c r="H12" s="17">
        <f>C12+F12</f>
        <v>2264315</v>
      </c>
      <c r="I12" s="43">
        <f>H12/$H$20</f>
        <v>0.23246959553350868</v>
      </c>
    </row>
    <row r="13" spans="2:9" x14ac:dyDescent="0.2">
      <c r="B13" s="28" t="s">
        <v>76</v>
      </c>
      <c r="C13" s="4">
        <f>SUM('Detailed Cap Table'!E4:E20)</f>
        <v>210843</v>
      </c>
      <c r="D13" s="38"/>
      <c r="F13" s="7"/>
      <c r="H13" s="17">
        <f>C13+F13</f>
        <v>210843</v>
      </c>
      <c r="I13" s="43">
        <f>H13/$H$20</f>
        <v>2.1646540755624361E-2</v>
      </c>
    </row>
    <row r="14" spans="2:9" x14ac:dyDescent="0.2">
      <c r="B14" s="28" t="s">
        <v>77</v>
      </c>
      <c r="C14" s="4">
        <f>'Detailed Cap Table'!D21</f>
        <v>65105</v>
      </c>
      <c r="D14" s="38"/>
      <c r="H14" s="17">
        <f>C14+F14</f>
        <v>65105</v>
      </c>
      <c r="I14" s="43">
        <f>H14/$H$20</f>
        <v>6.6841110963841528E-3</v>
      </c>
    </row>
    <row r="15" spans="2:9" x14ac:dyDescent="0.2">
      <c r="B15" s="29" t="s">
        <v>68</v>
      </c>
      <c r="C15" s="26">
        <f>SUM(C10:C14)</f>
        <v>9740263</v>
      </c>
      <c r="D15" s="18">
        <f>SUM(D10:D14)</f>
        <v>0</v>
      </c>
      <c r="F15" s="26">
        <f>SUM(F10:F14)</f>
        <v>0</v>
      </c>
      <c r="H15" s="26">
        <f>SUM(H10:H14)</f>
        <v>9740263</v>
      </c>
      <c r="I15" s="44">
        <f>H15/$H$20</f>
        <v>1</v>
      </c>
    </row>
    <row r="16" spans="2:9" x14ac:dyDescent="0.2">
      <c r="B16" s="29" t="s">
        <v>52</v>
      </c>
      <c r="C16" s="7"/>
      <c r="D16" s="38"/>
      <c r="F16" s="7"/>
      <c r="H16" s="7"/>
      <c r="I16" s="33"/>
    </row>
    <row r="17" spans="2:9" x14ac:dyDescent="0.2">
      <c r="B17" s="28" t="s">
        <v>42</v>
      </c>
      <c r="C17" s="7"/>
      <c r="D17" s="5">
        <f>'SAFE Investments'!C6+'SAFE Investments'!C7+'SAFE Investments'!C8+'SAFE Investments'!C15+'SAFE Investments'!C16+'SAFE Investments'!C17+'SAFE Investments'!C21+'SAFE Investments'!C24</f>
        <v>8000000</v>
      </c>
      <c r="F17" s="7"/>
      <c r="H17" s="17">
        <f>C17+F17</f>
        <v>0</v>
      </c>
      <c r="I17" s="43">
        <f>H17/$H$20</f>
        <v>0</v>
      </c>
    </row>
    <row r="18" spans="2:9" x14ac:dyDescent="0.2">
      <c r="B18" s="28" t="s">
        <v>78</v>
      </c>
      <c r="C18" s="7"/>
      <c r="D18" s="5">
        <f>'SAFE Investments'!C27-D17</f>
        <v>1825000</v>
      </c>
      <c r="F18" s="7"/>
      <c r="H18" s="17">
        <f>C18+F18</f>
        <v>0</v>
      </c>
      <c r="I18" s="43">
        <f>H18/$H$20</f>
        <v>0</v>
      </c>
    </row>
    <row r="19" spans="2:9" x14ac:dyDescent="0.2">
      <c r="B19" s="10"/>
      <c r="C19" s="7"/>
      <c r="D19" s="38"/>
      <c r="F19" s="7"/>
      <c r="H19" s="7"/>
      <c r="I19" s="33"/>
    </row>
    <row r="20" spans="2:9" x14ac:dyDescent="0.2">
      <c r="B20" s="29" t="s">
        <v>71</v>
      </c>
      <c r="C20" s="31">
        <f>C15</f>
        <v>9740263</v>
      </c>
      <c r="D20" s="45">
        <f>SUM(D10:D19)</f>
        <v>9825000</v>
      </c>
      <c r="F20" s="26">
        <f>F15</f>
        <v>0</v>
      </c>
      <c r="H20" s="31">
        <f>SUM(H10:H14)</f>
        <v>9740263</v>
      </c>
      <c r="I20" s="46">
        <f>SUM(I10:I14)</f>
        <v>0.99999999999999989</v>
      </c>
    </row>
    <row r="21" spans="2:9" ht="13.75" customHeight="1" thickBot="1" x14ac:dyDescent="0.25">
      <c r="B21" s="10"/>
      <c r="C21" s="2"/>
      <c r="D21" s="38"/>
      <c r="F21" s="2"/>
      <c r="H21" s="2"/>
      <c r="I21" s="35"/>
    </row>
    <row r="22" spans="2:9" ht="13.75" customHeight="1" thickBot="1" x14ac:dyDescent="0.25">
      <c r="B22" s="30" t="s">
        <v>82</v>
      </c>
      <c r="C22" s="34"/>
      <c r="D22" s="47">
        <v>50000000</v>
      </c>
      <c r="E22" s="9"/>
      <c r="F22" s="34"/>
      <c r="G22" s="9"/>
      <c r="H22" s="34"/>
      <c r="I22" s="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D0FB-B3E3-4C45-B342-508DD1173A95}">
  <dimension ref="B2:O28"/>
  <sheetViews>
    <sheetView showGridLines="0" tabSelected="1" workbookViewId="0">
      <selection activeCell="L29" sqref="L29"/>
    </sheetView>
  </sheetViews>
  <sheetFormatPr baseColWidth="10" defaultRowHeight="16" x14ac:dyDescent="0.2"/>
  <cols>
    <col min="1" max="1" width="6.33203125" customWidth="1"/>
    <col min="2" max="2" width="35.5" customWidth="1"/>
    <col min="3" max="3" width="13" customWidth="1"/>
    <col min="4" max="4" width="15" customWidth="1"/>
    <col min="5" max="5" width="13.83203125" customWidth="1"/>
    <col min="6" max="6" width="0.5" customWidth="1"/>
    <col min="7" max="7" width="12.6640625" customWidth="1"/>
    <col min="8" max="8" width="0.5" customWidth="1"/>
    <col min="9" max="9" width="15" customWidth="1"/>
    <col min="10" max="10" width="13.83203125" customWidth="1"/>
    <col min="11" max="11" width="0.5" customWidth="1"/>
    <col min="12" max="12" width="12.6640625" customWidth="1"/>
    <col min="13" max="13" width="0.5" customWidth="1"/>
    <col min="14" max="14" width="12.83203125" customWidth="1"/>
    <col min="15" max="15" width="9.33203125" customWidth="1"/>
    <col min="16" max="16" width="8" customWidth="1"/>
  </cols>
  <sheetData>
    <row r="2" spans="2:15" ht="15.5" customHeight="1" x14ac:dyDescent="0.2">
      <c r="B2" s="16" t="s">
        <v>83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2:15" ht="16.25" customHeight="1" thickBot="1" x14ac:dyDescent="0.25"/>
    <row r="4" spans="2:15" ht="13.75" customHeight="1" thickBot="1" x14ac:dyDescent="0.25">
      <c r="C4" s="22" t="s">
        <v>53</v>
      </c>
      <c r="D4" s="19" t="s">
        <v>26</v>
      </c>
      <c r="E4" s="48"/>
      <c r="G4" s="25" t="s">
        <v>54</v>
      </c>
      <c r="I4" s="22" t="s">
        <v>55</v>
      </c>
      <c r="J4" s="23"/>
      <c r="L4" s="25" t="s">
        <v>54</v>
      </c>
      <c r="N4" s="22" t="s">
        <v>56</v>
      </c>
      <c r="O4" s="23"/>
    </row>
    <row r="5" spans="2:15" x14ac:dyDescent="0.2">
      <c r="C5" s="22" t="s">
        <v>57</v>
      </c>
      <c r="D5" s="20" t="s">
        <v>58</v>
      </c>
      <c r="E5" s="21" t="s">
        <v>84</v>
      </c>
      <c r="G5" s="24" t="s">
        <v>60</v>
      </c>
      <c r="I5" s="22" t="s">
        <v>58</v>
      </c>
      <c r="J5" s="23" t="s">
        <v>59</v>
      </c>
      <c r="L5" s="24" t="s">
        <v>60</v>
      </c>
      <c r="N5" s="22" t="s">
        <v>61</v>
      </c>
      <c r="O5" s="23" t="s">
        <v>62</v>
      </c>
    </row>
    <row r="6" spans="2:15" ht="13.75" customHeight="1" thickBot="1" x14ac:dyDescent="0.25">
      <c r="C6" s="20" t="s">
        <v>63</v>
      </c>
      <c r="D6" s="20" t="s">
        <v>64</v>
      </c>
      <c r="E6" s="21" t="s">
        <v>63</v>
      </c>
      <c r="G6" s="24" t="s">
        <v>65</v>
      </c>
      <c r="I6" s="20" t="s">
        <v>64</v>
      </c>
      <c r="J6" s="21" t="s">
        <v>63</v>
      </c>
      <c r="L6" s="24" t="s">
        <v>85</v>
      </c>
      <c r="N6" s="20" t="s">
        <v>63</v>
      </c>
      <c r="O6" s="21" t="s">
        <v>66</v>
      </c>
    </row>
    <row r="7" spans="2:15" x14ac:dyDescent="0.2">
      <c r="B7" s="27" t="s">
        <v>67</v>
      </c>
      <c r="C7" s="32"/>
      <c r="D7" s="32"/>
      <c r="E7" s="32"/>
      <c r="F7" s="8"/>
      <c r="G7" s="32"/>
      <c r="H7" s="8"/>
      <c r="I7" s="32"/>
      <c r="J7" s="32"/>
      <c r="K7" s="8"/>
      <c r="L7" s="32"/>
      <c r="M7" s="8"/>
      <c r="N7" s="32"/>
      <c r="O7" s="39"/>
    </row>
    <row r="8" spans="2:15" x14ac:dyDescent="0.2">
      <c r="B8" s="28" t="s">
        <v>8</v>
      </c>
      <c r="C8" s="4">
        <f>'Series Seed'!C10</f>
        <v>3600000</v>
      </c>
      <c r="D8" s="38"/>
      <c r="E8" s="17"/>
      <c r="G8" s="7"/>
      <c r="I8" s="38"/>
      <c r="J8" s="17"/>
      <c r="L8" s="17"/>
      <c r="N8" s="17">
        <f>C8+E8+G8+J8+L8</f>
        <v>3600000</v>
      </c>
      <c r="O8" s="43">
        <f ca="1">N8/$N$19</f>
        <v>0.18701982455766836</v>
      </c>
    </row>
    <row r="9" spans="2:15" x14ac:dyDescent="0.2">
      <c r="B9" s="28" t="s">
        <v>9</v>
      </c>
      <c r="C9" s="4">
        <f>'Series Seed'!C11</f>
        <v>3600000</v>
      </c>
      <c r="D9" s="38"/>
      <c r="E9" s="17"/>
      <c r="G9" s="7"/>
      <c r="I9" s="38"/>
      <c r="J9" s="17"/>
      <c r="L9" s="17"/>
      <c r="N9" s="17">
        <f>C9+E9+G9+J9+L9</f>
        <v>3600000</v>
      </c>
      <c r="O9" s="43">
        <f ca="1">N9/$N$19</f>
        <v>0.18701982455766836</v>
      </c>
    </row>
    <row r="10" spans="2:15" x14ac:dyDescent="0.2">
      <c r="B10" s="28" t="s">
        <v>75</v>
      </c>
      <c r="C10" s="4">
        <f>'Series Seed'!C12</f>
        <v>2264315</v>
      </c>
      <c r="D10" s="38"/>
      <c r="E10" s="17"/>
      <c r="G10" s="7"/>
      <c r="I10" s="38"/>
      <c r="J10" s="17"/>
      <c r="L10" s="17"/>
      <c r="N10" s="17">
        <f>C10+E10+G10+J10+L10</f>
        <v>2264315</v>
      </c>
      <c r="O10" s="43">
        <f ca="1">N10/$N$19</f>
        <v>0.11763105390091579</v>
      </c>
    </row>
    <row r="11" spans="2:15" ht="13.5" customHeight="1" x14ac:dyDescent="0.2">
      <c r="B11" s="28" t="s">
        <v>76</v>
      </c>
      <c r="C11" s="4">
        <f>'Series Seed'!C13</f>
        <v>210843</v>
      </c>
      <c r="D11" s="38"/>
      <c r="E11" s="17"/>
      <c r="I11" s="38"/>
      <c r="J11" s="17"/>
      <c r="L11" s="17"/>
      <c r="N11" s="17">
        <f>C11+E11+G11+J11+L11</f>
        <v>210843</v>
      </c>
      <c r="O11" s="43">
        <f ca="1">N11/$N$19</f>
        <v>1.0953283574781241E-2</v>
      </c>
    </row>
    <row r="12" spans="2:15" x14ac:dyDescent="0.2">
      <c r="B12" s="28" t="s">
        <v>77</v>
      </c>
      <c r="C12" s="4">
        <f>'Series Seed'!C14</f>
        <v>65105</v>
      </c>
      <c r="D12" s="38"/>
      <c r="E12" s="17"/>
      <c r="I12" s="38"/>
      <c r="J12" s="17"/>
      <c r="L12" s="17">
        <f ca="1">IFERROR(ROUNDDOWN(0.1*N19-C12,0),0)</f>
        <v>1859824</v>
      </c>
      <c r="N12" s="17">
        <f ca="1">C12+E12+G12+J12+L12</f>
        <v>1924929</v>
      </c>
      <c r="O12" s="43">
        <f ca="1">N12/$N$19</f>
        <v>9.9999967740546661E-2</v>
      </c>
    </row>
    <row r="13" spans="2:15" x14ac:dyDescent="0.2">
      <c r="B13" s="29" t="s">
        <v>68</v>
      </c>
      <c r="C13" s="36">
        <f>SUM(C8:C12)</f>
        <v>9740263</v>
      </c>
      <c r="D13" s="38">
        <f>SUM(D8:D12)</f>
        <v>0</v>
      </c>
      <c r="E13" s="17">
        <f>SUM(E8:E12)</f>
        <v>0</v>
      </c>
      <c r="G13" s="36">
        <f>SUM(G8:G12)</f>
        <v>0</v>
      </c>
      <c r="I13" s="38">
        <f>SUM(I8:I12)</f>
        <v>0</v>
      </c>
      <c r="J13" s="17">
        <f>SUM(J8:J12)</f>
        <v>0</v>
      </c>
      <c r="L13" s="26">
        <f ca="1">SUM(L8:L12)</f>
        <v>1859824</v>
      </c>
      <c r="N13" s="26">
        <f ca="1">SUM(N8:N12)</f>
        <v>11600087</v>
      </c>
      <c r="O13" s="44">
        <f ca="1">N13/$N$19</f>
        <v>0.60262395433158045</v>
      </c>
    </row>
    <row r="14" spans="2:15" x14ac:dyDescent="0.2">
      <c r="B14" s="29" t="s">
        <v>69</v>
      </c>
      <c r="C14" s="7"/>
      <c r="D14" s="38"/>
      <c r="E14" s="17"/>
      <c r="G14" s="7"/>
      <c r="I14" s="38"/>
      <c r="J14" s="17"/>
      <c r="L14" s="17"/>
      <c r="N14" s="17"/>
      <c r="O14" s="43"/>
    </row>
    <row r="15" spans="2:15" x14ac:dyDescent="0.2">
      <c r="B15" s="28" t="s">
        <v>42</v>
      </c>
      <c r="C15" s="7"/>
      <c r="D15" s="5">
        <f>'Series Seed'!D17</f>
        <v>8000000</v>
      </c>
      <c r="E15" s="17">
        <f ca="1">D15/$E$21</f>
        <v>2309935.6105448562</v>
      </c>
      <c r="G15" s="7"/>
      <c r="I15" s="3">
        <v>5000000</v>
      </c>
      <c r="J15" s="17">
        <f ca="1">I15/$J$21</f>
        <v>1203079.8845043313</v>
      </c>
      <c r="L15" s="17"/>
      <c r="N15" s="17">
        <f ca="1">C15+E15+G15+J15+L15</f>
        <v>3513015.4950491874</v>
      </c>
      <c r="O15" s="43">
        <f ca="1">N15/$N$19</f>
        <v>0.18250098376457485</v>
      </c>
    </row>
    <row r="16" spans="2:15" x14ac:dyDescent="0.2">
      <c r="B16" s="28">
        <v>1011</v>
      </c>
      <c r="C16" s="7"/>
      <c r="D16" s="38"/>
      <c r="E16" s="17"/>
      <c r="G16" s="7"/>
      <c r="I16" s="3">
        <v>12000000</v>
      </c>
      <c r="J16" s="17">
        <f ca="1">I16/$J$21</f>
        <v>2887391.7228103946</v>
      </c>
      <c r="L16" s="17"/>
      <c r="N16" s="17">
        <f ca="1">C16+E16+G16+J16+L16</f>
        <v>2887391.7228103946</v>
      </c>
      <c r="O16" s="43">
        <f ca="1">N16/$N$19</f>
        <v>0.14999985928590662</v>
      </c>
    </row>
    <row r="17" spans="2:15" x14ac:dyDescent="0.2">
      <c r="B17" s="28" t="s">
        <v>70</v>
      </c>
      <c r="C17" s="7"/>
      <c r="D17" s="38"/>
      <c r="E17" s="17"/>
      <c r="G17" s="7"/>
      <c r="I17" s="3">
        <v>3000000</v>
      </c>
      <c r="J17" s="17">
        <f ca="1">I17/$J$21</f>
        <v>721847.93070259865</v>
      </c>
      <c r="L17" s="17"/>
      <c r="N17" s="17">
        <f ca="1">C17+E17+G17+J17+L17</f>
        <v>721847.93070259865</v>
      </c>
      <c r="O17" s="43">
        <f ca="1">N17/$N$19</f>
        <v>3.7499964821476654E-2</v>
      </c>
    </row>
    <row r="18" spans="2:15" x14ac:dyDescent="0.2">
      <c r="B18" s="28" t="s">
        <v>78</v>
      </c>
      <c r="C18" s="7"/>
      <c r="D18" s="5">
        <f>'Series Seed'!D18</f>
        <v>1825000</v>
      </c>
      <c r="E18" s="17">
        <f ca="1">D18/$E$21</f>
        <v>526954.06115554529</v>
      </c>
      <c r="G18" s="7"/>
      <c r="I18" s="38"/>
      <c r="J18" s="17"/>
      <c r="L18" s="17"/>
      <c r="N18" s="17">
        <f ca="1">C18+E18+G18+J18+L18</f>
        <v>526954.06115554529</v>
      </c>
      <c r="O18" s="43">
        <f ca="1">N18/$N$19</f>
        <v>2.7375237796461366E-2</v>
      </c>
    </row>
    <row r="19" spans="2:15" x14ac:dyDescent="0.2">
      <c r="B19" s="29" t="s">
        <v>71</v>
      </c>
      <c r="C19" s="49">
        <f>C13</f>
        <v>9740263</v>
      </c>
      <c r="D19" s="50">
        <f>SUM(D8:D18)</f>
        <v>9825000</v>
      </c>
      <c r="E19" s="31">
        <f ca="1">SUM(E8:E18)</f>
        <v>2836889.6717004012</v>
      </c>
      <c r="G19" s="36">
        <f>SUM(G8:G18)</f>
        <v>0</v>
      </c>
      <c r="I19" s="50">
        <f>SUM(I8:I18)</f>
        <v>20000000</v>
      </c>
      <c r="J19" s="31">
        <f ca="1">SUM(J8:J18)</f>
        <v>4812319.5380173242</v>
      </c>
      <c r="L19" s="26">
        <f ca="1">L12</f>
        <v>1859824</v>
      </c>
      <c r="N19" s="31">
        <f ca="1">SUM(N15:N18)+N13</f>
        <v>19249296.209717728</v>
      </c>
      <c r="O19" s="46">
        <f ca="1">SUM(O15:O18)+O13</f>
        <v>0.99999999999999989</v>
      </c>
    </row>
    <row r="20" spans="2:15" ht="13.75" customHeight="1" thickBot="1" x14ac:dyDescent="0.25">
      <c r="B20" s="10"/>
      <c r="C20" s="2"/>
      <c r="D20" s="2"/>
      <c r="E20" s="2"/>
      <c r="G20" s="2"/>
      <c r="I20" s="2"/>
      <c r="J20" s="2"/>
      <c r="L20" s="2"/>
      <c r="N20" s="2"/>
      <c r="O20" s="35"/>
    </row>
    <row r="21" spans="2:15" ht="13.75" customHeight="1" thickBot="1" x14ac:dyDescent="0.25">
      <c r="B21" s="28" t="s">
        <v>80</v>
      </c>
      <c r="C21" s="2"/>
      <c r="D21" s="2"/>
      <c r="E21" s="40">
        <f ca="1">IFERROR(ROUND((50000000-D19)/(C19+L12),4),0)</f>
        <v>3.4632999999999998</v>
      </c>
      <c r="G21" s="2"/>
      <c r="I21" s="2"/>
      <c r="J21" s="40">
        <f ca="1">IFERROR(ROUND(J22/(C19+E19+G19+L19),4),0)</f>
        <v>4.1559999999999997</v>
      </c>
      <c r="L21" s="2"/>
      <c r="N21" s="2"/>
      <c r="O21" s="35"/>
    </row>
    <row r="22" spans="2:15" x14ac:dyDescent="0.2">
      <c r="B22" s="28" t="s">
        <v>72</v>
      </c>
      <c r="C22" s="2"/>
      <c r="D22" s="2"/>
      <c r="E22" s="2"/>
      <c r="G22" s="2"/>
      <c r="I22" s="2"/>
      <c r="J22" s="3">
        <v>60000000</v>
      </c>
      <c r="L22" s="2"/>
      <c r="N22" s="2"/>
      <c r="O22" s="35"/>
    </row>
    <row r="23" spans="2:15" ht="13.75" customHeight="1" thickBot="1" x14ac:dyDescent="0.25">
      <c r="B23" s="30" t="s">
        <v>73</v>
      </c>
      <c r="C23" s="34"/>
      <c r="D23" s="34"/>
      <c r="E23" s="34"/>
      <c r="F23" s="9"/>
      <c r="G23" s="34"/>
      <c r="H23" s="9"/>
      <c r="I23" s="34"/>
      <c r="J23" s="41">
        <f>J22+I19</f>
        <v>80000000</v>
      </c>
      <c r="K23" s="9"/>
      <c r="L23" s="34"/>
      <c r="M23" s="9"/>
      <c r="N23" s="34"/>
      <c r="O23" s="37"/>
    </row>
    <row r="25" spans="2:15" x14ac:dyDescent="0.2">
      <c r="B25" s="6" t="s">
        <v>74</v>
      </c>
    </row>
    <row r="27" spans="2:15" x14ac:dyDescent="0.2">
      <c r="B27" s="6" t="s">
        <v>86</v>
      </c>
      <c r="C27" s="1">
        <f>I19/J23</f>
        <v>0.25</v>
      </c>
    </row>
    <row r="28" spans="2:15" x14ac:dyDescent="0.2">
      <c r="B28" s="6" t="s">
        <v>87</v>
      </c>
      <c r="C28" s="1">
        <f ca="1">IFERROR(0.1-(G12/N19),0)</f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Detailed Cap Table</vt:lpstr>
      <vt:lpstr>SAFE Investments</vt:lpstr>
      <vt:lpstr>Series Seed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2026-04-14T21:55:11Z</dcterms:modified>
</cp:coreProperties>
</file>