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var/folders/pk/d3fxz1r57v334zbrzvw1g9pw0000gn/T/"/>
    </mc:Choice>
  </mc:AlternateContent>
  <xr:revisionPtr revIDLastSave="0" documentId="8_{FD2B83F2-323E-6540-98D9-2E66D7A9DD26}" xr6:coauthVersionLast="47" xr6:coauthVersionMax="47" xr10:uidLastSave="{00000000-0000-0000-0000-000000000000}"/>
  <bookViews>
    <workbookView xWindow="0" yWindow="760" windowWidth="29400" windowHeight="17180" activeTab="2" xr2:uid="{00000000-000D-0000-FFFF-FFFF00000000}"/>
  </bookViews>
  <sheets>
    <sheet name="Detailed Cap Table" sheetId="138" r:id="rId1"/>
    <sheet name="SAFE Investments" sheetId="139" r:id="rId2"/>
    <sheet name="Series Seed" sheetId="140" r:id="rId3"/>
  </sheet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0" i="140" l="1"/>
  <c r="H20" i="140"/>
  <c r="I11" i="140" s="1"/>
  <c r="F20" i="140"/>
  <c r="D20" i="140"/>
  <c r="C20" i="140"/>
  <c r="I18" i="140"/>
  <c r="H18" i="140"/>
  <c r="D18" i="140"/>
  <c r="I17" i="140"/>
  <c r="H17" i="140"/>
  <c r="D17" i="140"/>
  <c r="I15" i="140"/>
  <c r="H15" i="140"/>
  <c r="F15" i="140"/>
  <c r="D15" i="140"/>
  <c r="C15" i="140"/>
  <c r="H14" i="140"/>
  <c r="I14" i="140" s="1"/>
  <c r="F14" i="140"/>
  <c r="I13" i="140"/>
  <c r="H13" i="140"/>
  <c r="C13" i="140"/>
  <c r="I12" i="140"/>
  <c r="H12" i="140"/>
  <c r="C12" i="140"/>
  <c r="H11" i="140"/>
  <c r="C11" i="140"/>
  <c r="I10" i="140"/>
  <c r="H10" i="140"/>
  <c r="C10" i="140"/>
  <c r="C27" i="139"/>
  <c r="G23" i="138"/>
  <c r="H18" i="138" s="1"/>
  <c r="F23" i="138"/>
  <c r="E23" i="138"/>
  <c r="D23" i="138"/>
  <c r="C23" i="138"/>
  <c r="G21" i="138"/>
  <c r="G20" i="138"/>
  <c r="G19" i="138"/>
  <c r="G18" i="138"/>
  <c r="G17" i="138"/>
  <c r="G16" i="138"/>
  <c r="G15" i="138"/>
  <c r="G14" i="138"/>
  <c r="G13" i="138"/>
  <c r="G12" i="138"/>
  <c r="G11" i="138"/>
  <c r="G10" i="138"/>
  <c r="G9" i="138"/>
  <c r="G8" i="138"/>
  <c r="G7" i="138"/>
  <c r="G6" i="138"/>
  <c r="G5" i="138"/>
  <c r="G4" i="138"/>
  <c r="H6" i="138" l="1"/>
  <c r="H16" i="138"/>
  <c r="H4" i="138"/>
  <c r="H9" i="138"/>
  <c r="H14" i="138"/>
  <c r="H19" i="138"/>
  <c r="H5" i="138"/>
  <c r="H10" i="138"/>
  <c r="H15" i="138"/>
  <c r="H20" i="138"/>
  <c r="H11" i="138"/>
  <c r="H21" i="138"/>
  <c r="H7" i="138"/>
  <c r="H12" i="138"/>
  <c r="H17" i="138"/>
  <c r="H8" i="138"/>
  <c r="H13" i="138"/>
</calcChain>
</file>

<file path=xl/sharedStrings.xml><?xml version="1.0" encoding="utf-8"?>
<sst xmlns="http://schemas.openxmlformats.org/spreadsheetml/2006/main" count="91" uniqueCount="75">
  <si>
    <t>Total</t>
  </si>
  <si>
    <t>Current</t>
  </si>
  <si>
    <t>Shareholder</t>
  </si>
  <si>
    <t>Founders CS</t>
  </si>
  <si>
    <t>RSA</t>
  </si>
  <si>
    <t>Options</t>
  </si>
  <si>
    <t>Exercised Options</t>
  </si>
  <si>
    <t>% FDS</t>
  </si>
  <si>
    <t>Brian Hazzard</t>
  </si>
  <si>
    <t>David Wolpoff</t>
  </si>
  <si>
    <t>Ian Lee</t>
  </si>
  <si>
    <t>Kyle Haugsness</t>
  </si>
  <si>
    <t>Paul Riegle</t>
  </si>
  <si>
    <t>Chris Butts</t>
  </si>
  <si>
    <t>Maurice Granfield</t>
  </si>
  <si>
    <t>Pawan Lakshmanan</t>
  </si>
  <si>
    <t>Matthew Howe</t>
  </si>
  <si>
    <t>Andrew Ethan  Boyce-Lewis</t>
  </si>
  <si>
    <t>Eric McIntyre</t>
  </si>
  <si>
    <t>Patrick Heath</t>
  </si>
  <si>
    <t>Chris Lord</t>
  </si>
  <si>
    <t>Eric Freedman</t>
  </si>
  <si>
    <t>Miguel Bollar</t>
  </si>
  <si>
    <t>Bradly Matheson</t>
  </si>
  <si>
    <t>Cole  Proctor</t>
  </si>
  <si>
    <t>Available Options</t>
  </si>
  <si>
    <t>SAFE</t>
  </si>
  <si>
    <t>Notes</t>
  </si>
  <si>
    <t>IRA is actual investor</t>
  </si>
  <si>
    <t>Accomplice Founder Fund, L.P.</t>
  </si>
  <si>
    <t>Accomplice Fund IV, L.P</t>
  </si>
  <si>
    <t>Amir Bagherzadeh</t>
  </si>
  <si>
    <t>Elizabeth A. Donaghey Irrevocable Trust 2016</t>
  </si>
  <si>
    <t>Gunderson Partners</t>
  </si>
  <si>
    <t>Joe Arcadi</t>
  </si>
  <si>
    <t>Kamal Ravikant Capital, LP - E4</t>
  </si>
  <si>
    <t>Navel</t>
  </si>
  <si>
    <t>Maria Cirino</t>
  </si>
  <si>
    <t>Mike Viscuso</t>
  </si>
  <si>
    <t>Mozart Holdings, LLC</t>
  </si>
  <si>
    <t>Orcinus Generational Irrevocable Trust - 2024</t>
  </si>
  <si>
    <t>Owl Rock Capital III, LLC</t>
  </si>
  <si>
    <t>Accomplice</t>
  </si>
  <si>
    <t>Ralph Folz</t>
  </si>
  <si>
    <t>Ravikant Capital, LP - F3</t>
  </si>
  <si>
    <t>Sean Leach</t>
  </si>
  <si>
    <t>The Francis V. Castellucci Trust - 2020</t>
  </si>
  <si>
    <t>The Patrick M. Morley 1999 Trust,</t>
  </si>
  <si>
    <t>Tom Barsi</t>
  </si>
  <si>
    <t>Travis MacInnes</t>
  </si>
  <si>
    <t>UWS West End Family Trust</t>
  </si>
  <si>
    <t>Mark Lotke</t>
  </si>
  <si>
    <t>SAFE Investments</t>
  </si>
  <si>
    <t xml:space="preserve">Common </t>
  </si>
  <si>
    <t xml:space="preserve">Option </t>
  </si>
  <si>
    <t>Total Capitalization</t>
  </si>
  <si>
    <t># of</t>
  </si>
  <si>
    <t>$</t>
  </si>
  <si>
    <t>Pool +</t>
  </si>
  <si>
    <t>Total FD</t>
  </si>
  <si>
    <t>%</t>
  </si>
  <si>
    <t>Shares</t>
  </si>
  <si>
    <t xml:space="preserve"> Invested</t>
  </si>
  <si>
    <t>Pre A</t>
  </si>
  <si>
    <t>FD</t>
  </si>
  <si>
    <t>Common Stock and Options:</t>
  </si>
  <si>
    <t>Total Common</t>
  </si>
  <si>
    <t>Totals</t>
  </si>
  <si>
    <t>Other Common Shareholders</t>
  </si>
  <si>
    <t>ESOP Issued &amp; Outstanding</t>
  </si>
  <si>
    <t>ESOP Available</t>
  </si>
  <si>
    <t>Other SAFE Investors</t>
  </si>
  <si>
    <t>Transfer from Owl Rocl Capital II, LLC (Accomplice)</t>
  </si>
  <si>
    <t>SIDEKICK (THINK MORE SECURITY) &amp; 1011 SERIES SEED</t>
  </si>
  <si>
    <t>SAFE Valuation Cap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</si>
</sst>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"/>
    <numFmt numFmtId="165" formatCode="0.0%"/>
    <numFmt numFmtId="168" formatCode="_-[$$-409]* #,##0_-;_-[$$-409]* \(#,##0\)_-;_-[$$-409]* &quot;-&quot;??;_-@_-"/>
  </numFmts>
  <fonts count="2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0"/>
      <color rgb="FF0000FF"/>
      <name val="Garamond"/>
      <family val="1"/>
    </font>
    <font>
      <sz val="10"/>
      <color rgb="FF008000"/>
      <name val="Garamond"/>
      <family val="1"/>
    </font>
    <font>
      <sz val="10"/>
      <color rgb="FF000000"/>
      <name val="Garamond"/>
      <family val="1"/>
    </font>
    <font>
      <sz val="11"/>
      <color rgb="FF000000"/>
      <name val="Times New Roman"/>
      <family val="1"/>
    </font>
    <font>
      <b/>
      <sz val="11"/>
      <color rgb="FF000000"/>
      <name val="Times New Roman"/>
      <family val="1"/>
    </font>
    <font>
      <b/>
      <sz val="10"/>
      <color rgb="FF000000"/>
      <name val="Garamond"/>
      <family val="1"/>
    </font>
    <font>
      <b/>
      <sz val="12"/>
      <color rgb="FF000000"/>
      <name val="Garamond"/>
      <family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1">
    <xf numFmtId="0" fontId="0" fillId="0" borderId="0" xfId="0"/>
    <xf numFmtId="0" fontId="0" fillId="0" borderId="0" xfId="0" applyAlignment="1">
      <alignment horizontal="center"/>
    </xf>
    <xf numFmtId="37" fontId="19" fillId="0" borderId="0" xfId="0" applyNumberFormat="1" applyFont="1" applyAlignment="1">
      <alignment horizontal="center"/>
    </xf>
    <xf numFmtId="168" fontId="19" fillId="0" borderId="0" xfId="0" applyNumberFormat="1" applyFont="1" applyAlignment="1">
      <alignment horizontal="center"/>
    </xf>
    <xf numFmtId="37" fontId="0" fillId="0" borderId="0" xfId="0" applyNumberFormat="1" applyAlignment="1">
      <alignment horizontal="center"/>
    </xf>
    <xf numFmtId="0" fontId="0" fillId="0" borderId="12" xfId="0" applyBorder="1"/>
    <xf numFmtId="0" fontId="0" fillId="0" borderId="13" xfId="0" applyBorder="1"/>
    <xf numFmtId="0" fontId="0" fillId="0" borderId="15" xfId="0" applyBorder="1"/>
    <xf numFmtId="0" fontId="21" fillId="0" borderId="0" xfId="0" applyFont="1" applyAlignment="1">
      <alignment horizontal="center"/>
    </xf>
    <xf numFmtId="0" fontId="22" fillId="0" borderId="0" xfId="0" applyFont="1" applyAlignment="1">
      <alignment horizontal="center"/>
    </xf>
    <xf numFmtId="3" fontId="21" fillId="0" borderId="0" xfId="0" applyNumberFormat="1" applyFont="1" applyAlignment="1">
      <alignment horizontal="center"/>
    </xf>
    <xf numFmtId="10" fontId="21" fillId="0" borderId="0" xfId="0" applyNumberFormat="1" applyFont="1" applyAlignment="1">
      <alignment horizontal="center"/>
    </xf>
    <xf numFmtId="164" fontId="21" fillId="0" borderId="0" xfId="0" applyNumberFormat="1" applyFont="1" applyAlignment="1">
      <alignment horizontal="center"/>
    </xf>
    <xf numFmtId="0" fontId="24" fillId="0" borderId="0" xfId="0" applyFont="1" applyAlignment="1">
      <alignment horizontal="centerContinuous"/>
    </xf>
    <xf numFmtId="37" fontId="20" fillId="0" borderId="0" xfId="0" applyNumberFormat="1" applyFont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0" borderId="15" xfId="0" applyFont="1" applyBorder="1" applyAlignment="1">
      <alignment horizontal="center"/>
    </xf>
    <xf numFmtId="0" fontId="23" fillId="0" borderId="17" xfId="0" applyFont="1" applyBorder="1" applyAlignment="1">
      <alignment horizontal="center"/>
    </xf>
    <xf numFmtId="0" fontId="23" fillId="0" borderId="20" xfId="0" applyFont="1" applyBorder="1" applyAlignment="1">
      <alignment horizontal="center"/>
    </xf>
    <xf numFmtId="0" fontId="23" fillId="0" borderId="24" xfId="0" applyFont="1" applyBorder="1" applyAlignment="1">
      <alignment horizontal="center"/>
    </xf>
    <xf numFmtId="0" fontId="23" fillId="0" borderId="23" xfId="0" applyFont="1" applyBorder="1" applyAlignment="1">
      <alignment horizontal="center"/>
    </xf>
    <xf numFmtId="0" fontId="23" fillId="0" borderId="22" xfId="0" applyFont="1" applyBorder="1" applyAlignment="1">
      <alignment horizontal="center"/>
    </xf>
    <xf numFmtId="37" fontId="20" fillId="0" borderId="10" xfId="0" applyNumberFormat="1" applyFont="1" applyBorder="1" applyAlignment="1">
      <alignment horizontal="center"/>
    </xf>
    <xf numFmtId="0" fontId="23" fillId="0" borderId="20" xfId="0" applyFont="1" applyBorder="1"/>
    <xf numFmtId="0" fontId="20" fillId="0" borderId="15" xfId="0" applyFont="1" applyBorder="1"/>
    <xf numFmtId="0" fontId="23" fillId="0" borderId="15" xfId="0" applyFont="1" applyBorder="1"/>
    <xf numFmtId="0" fontId="20" fillId="0" borderId="14" xfId="0" applyFont="1" applyBorder="1"/>
    <xf numFmtId="37" fontId="20" fillId="0" borderId="11" xfId="0" applyNumberFormat="1" applyFont="1" applyBorder="1" applyAlignment="1">
      <alignment horizontal="center"/>
    </xf>
    <xf numFmtId="0" fontId="0" fillId="0" borderId="12" xfId="0" applyBorder="1" applyAlignment="1">
      <alignment horizontal="center"/>
    </xf>
    <xf numFmtId="165" fontId="0" fillId="0" borderId="17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6" xfId="0" applyBorder="1" applyAlignment="1">
      <alignment horizontal="center"/>
    </xf>
    <xf numFmtId="168" fontId="0" fillId="0" borderId="0" xfId="0" applyNumberFormat="1" applyAlignment="1">
      <alignment horizontal="center"/>
    </xf>
    <xf numFmtId="0" fontId="0" fillId="0" borderId="24" xfId="0" applyBorder="1" applyAlignment="1">
      <alignment horizontal="center"/>
    </xf>
    <xf numFmtId="0" fontId="0" fillId="0" borderId="0" xfId="0" applyAlignment="1">
      <alignment horizontal="centerContinuous"/>
    </xf>
    <xf numFmtId="165" fontId="20" fillId="0" borderId="17" xfId="0" applyNumberFormat="1" applyFont="1" applyBorder="1" applyAlignment="1">
      <alignment horizontal="center"/>
    </xf>
    <xf numFmtId="165" fontId="20" fillId="0" borderId="18" xfId="0" applyNumberFormat="1" applyFont="1" applyBorder="1" applyAlignment="1">
      <alignment horizontal="center"/>
    </xf>
    <xf numFmtId="168" fontId="20" fillId="0" borderId="11" xfId="0" applyNumberFormat="1" applyFont="1" applyBorder="1" applyAlignment="1">
      <alignment horizontal="center"/>
    </xf>
    <xf numFmtId="165" fontId="20" fillId="0" borderId="19" xfId="0" applyNumberFormat="1" applyFont="1" applyBorder="1" applyAlignment="1">
      <alignment horizontal="center"/>
    </xf>
    <xf numFmtId="168" fontId="18" fillId="0" borderId="21" xfId="0" applyNumberFormat="1" applyFont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" visibility="1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b2c3d4-e5f6-7890-abcd-ef1234567890}">
  <we:reference id="a1b2c3d4-e5f6-7890-abcd-ef1234567890" version="1.0.0.0" store="developer" storeType="Registry"/>
  <we:alternateReferences/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67316-53BC-114B-A078-C25AAB6A57B9}">
  <dimension ref="A1:J23"/>
  <sheetViews>
    <sheetView workbookViewId="0"/>
  </sheetViews>
  <sheetFormatPr baseColWidth="10" defaultRowHeight="16" x14ac:dyDescent="0.2"/>
  <cols>
    <col min="1" max="1" width="11.5" customWidth="1"/>
    <col min="2" max="2" width="32.83203125" customWidth="1"/>
    <col min="3" max="3" width="15.5" customWidth="1"/>
    <col min="4" max="4" width="9.5" customWidth="1"/>
    <col min="5" max="5" width="13.5" customWidth="1"/>
    <col min="6" max="6" width="22.1640625" customWidth="1"/>
    <col min="7" max="7" width="14" customWidth="1"/>
    <col min="8" max="8" width="12" customWidth="1"/>
    <col min="9" max="9" width="3.33203125" customWidth="1"/>
    <col min="10" max="10" width="10.6640625" customWidth="1"/>
  </cols>
  <sheetData>
    <row r="1" spans="1:10" x14ac:dyDescent="0.2">
      <c r="A1" s="8"/>
      <c r="B1" s="8"/>
      <c r="C1" s="8"/>
      <c r="D1" s="8"/>
      <c r="E1" s="8"/>
      <c r="F1" s="8"/>
      <c r="G1" s="8"/>
      <c r="H1" s="8"/>
      <c r="I1" s="8"/>
      <c r="J1" s="8"/>
    </row>
    <row r="2" spans="1:10" x14ac:dyDescent="0.2">
      <c r="A2" s="8"/>
      <c r="B2" s="8"/>
      <c r="C2" s="8"/>
      <c r="D2" s="8"/>
      <c r="E2" s="8"/>
      <c r="F2" s="8"/>
      <c r="G2" s="8"/>
      <c r="H2" s="9" t="s">
        <v>1</v>
      </c>
      <c r="I2" s="8"/>
      <c r="J2" s="8"/>
    </row>
    <row r="3" spans="1:10" x14ac:dyDescent="0.2">
      <c r="A3" s="8"/>
      <c r="B3" s="9" t="s">
        <v>2</v>
      </c>
      <c r="C3" s="9" t="s">
        <v>3</v>
      </c>
      <c r="D3" s="9" t="s">
        <v>4</v>
      </c>
      <c r="E3" s="9" t="s">
        <v>5</v>
      </c>
      <c r="F3" s="9" t="s">
        <v>6</v>
      </c>
      <c r="G3" s="9" t="s">
        <v>0</v>
      </c>
      <c r="H3" s="9" t="s">
        <v>7</v>
      </c>
      <c r="I3" s="8"/>
      <c r="J3" s="8"/>
    </row>
    <row r="4" spans="1:10" x14ac:dyDescent="0.2">
      <c r="A4" s="8"/>
      <c r="B4" s="8" t="s">
        <v>8</v>
      </c>
      <c r="C4" s="10">
        <v>3600000</v>
      </c>
      <c r="D4" s="10"/>
      <c r="E4" s="10"/>
      <c r="F4" s="10"/>
      <c r="G4" s="10">
        <f>SUM(C4:F4)</f>
        <v>3600000</v>
      </c>
      <c r="H4" s="11">
        <f>G4/$G$23</f>
        <v>0.36959987630724139</v>
      </c>
      <c r="I4" s="8"/>
      <c r="J4" s="8"/>
    </row>
    <row r="5" spans="1:10" x14ac:dyDescent="0.2">
      <c r="A5" s="8"/>
      <c r="B5" s="8" t="s">
        <v>9</v>
      </c>
      <c r="C5" s="10">
        <v>3600000</v>
      </c>
      <c r="D5" s="10"/>
      <c r="E5" s="10"/>
      <c r="F5" s="10"/>
      <c r="G5" s="10">
        <f>SUM(C5:F5)</f>
        <v>3600000</v>
      </c>
      <c r="H5" s="11">
        <f>G5/$G$23</f>
        <v>0.36959987630724139</v>
      </c>
      <c r="I5" s="8"/>
      <c r="J5" s="8"/>
    </row>
    <row r="6" spans="1:10" x14ac:dyDescent="0.2">
      <c r="A6" s="8"/>
      <c r="B6" s="8" t="s">
        <v>10</v>
      </c>
      <c r="C6" s="10">
        <v>222187</v>
      </c>
      <c r="D6" s="10"/>
      <c r="E6" s="10"/>
      <c r="F6" s="10"/>
      <c r="G6" s="10">
        <f>SUM(C6:F6)</f>
        <v>222187</v>
      </c>
      <c r="H6" s="11">
        <f>G6/$G$23</f>
        <v>2.28111910325214E-2</v>
      </c>
      <c r="I6" s="8"/>
      <c r="J6" s="8"/>
    </row>
    <row r="7" spans="1:10" x14ac:dyDescent="0.2">
      <c r="A7" s="8"/>
      <c r="B7" s="8" t="s">
        <v>11</v>
      </c>
      <c r="C7" s="10">
        <v>592500</v>
      </c>
      <c r="D7" s="10"/>
      <c r="E7" s="10"/>
      <c r="F7" s="10"/>
      <c r="G7" s="10">
        <f>SUM(C7:F7)</f>
        <v>592500</v>
      </c>
      <c r="H7" s="11">
        <f>G7/$G$23</f>
        <v>6.0829979642233481E-2</v>
      </c>
      <c r="I7" s="8"/>
      <c r="J7" s="8"/>
    </row>
    <row r="8" spans="1:10" x14ac:dyDescent="0.2">
      <c r="A8" s="8"/>
      <c r="B8" s="8" t="s">
        <v>12</v>
      </c>
      <c r="C8" s="10">
        <v>592500</v>
      </c>
      <c r="D8" s="10"/>
      <c r="E8" s="10"/>
      <c r="F8" s="10"/>
      <c r="G8" s="10">
        <f>SUM(C8:F8)</f>
        <v>592500</v>
      </c>
      <c r="H8" s="11">
        <f>G8/$G$23</f>
        <v>6.0829979642233481E-2</v>
      </c>
      <c r="I8" s="8"/>
      <c r="J8" s="8"/>
    </row>
    <row r="9" spans="1:10" x14ac:dyDescent="0.2">
      <c r="A9" s="8"/>
      <c r="B9" s="8" t="s">
        <v>13</v>
      </c>
      <c r="C9" s="10">
        <v>13500</v>
      </c>
      <c r="D9" s="10">
        <v>98900</v>
      </c>
      <c r="E9" s="10"/>
      <c r="F9" s="10"/>
      <c r="G9" s="10">
        <f>SUM(C9:F9)</f>
        <v>112400</v>
      </c>
      <c r="H9" s="11">
        <f>G9/$G$23</f>
        <v>1.1539729471370537E-2</v>
      </c>
      <c r="I9" s="8"/>
      <c r="J9" s="8"/>
    </row>
    <row r="10" spans="1:10" x14ac:dyDescent="0.2">
      <c r="A10" s="8"/>
      <c r="B10" s="8" t="s">
        <v>14</v>
      </c>
      <c r="C10" s="10">
        <v>9000</v>
      </c>
      <c r="D10" s="10"/>
      <c r="E10" s="10"/>
      <c r="F10" s="10"/>
      <c r="G10" s="10">
        <f>SUM(C10:F10)</f>
        <v>9000</v>
      </c>
      <c r="H10" s="11">
        <f>G10/$G$23</f>
        <v>9.2399969076810353E-4</v>
      </c>
      <c r="I10" s="8"/>
      <c r="J10" s="8"/>
    </row>
    <row r="11" spans="1:10" x14ac:dyDescent="0.2">
      <c r="A11" s="8"/>
      <c r="B11" s="8" t="s">
        <v>15</v>
      </c>
      <c r="C11" s="10"/>
      <c r="D11" s="10">
        <v>95000</v>
      </c>
      <c r="E11" s="10"/>
      <c r="F11" s="10"/>
      <c r="G11" s="10">
        <f>SUM(C11:F11)</f>
        <v>95000</v>
      </c>
      <c r="H11" s="11">
        <f>G11/$G$23</f>
        <v>9.7533300692188695E-3</v>
      </c>
      <c r="I11" s="8"/>
      <c r="J11" s="8"/>
    </row>
    <row r="12" spans="1:10" x14ac:dyDescent="0.2">
      <c r="A12" s="8"/>
      <c r="B12" s="8" t="s">
        <v>16</v>
      </c>
      <c r="C12" s="10"/>
      <c r="D12" s="10"/>
      <c r="E12" s="10">
        <v>25000</v>
      </c>
      <c r="F12" s="10"/>
      <c r="G12" s="10">
        <f>SUM(C12:F12)</f>
        <v>25000</v>
      </c>
      <c r="H12" s="11">
        <f>G12/$G$23</f>
        <v>2.5666658076891765E-3</v>
      </c>
      <c r="I12" s="8"/>
      <c r="J12" s="8"/>
    </row>
    <row r="13" spans="1:10" x14ac:dyDescent="0.2">
      <c r="A13" s="8"/>
      <c r="B13" s="8" t="s">
        <v>17</v>
      </c>
      <c r="C13" s="10"/>
      <c r="D13" s="10"/>
      <c r="E13" s="10">
        <v>41562</v>
      </c>
      <c r="F13" s="10"/>
      <c r="G13" s="10">
        <f>SUM(C13:F13)</f>
        <v>41562</v>
      </c>
      <c r="H13" s="11">
        <f>G13/$G$23</f>
        <v>4.2670305719671019E-3</v>
      </c>
      <c r="I13" s="8"/>
      <c r="J13" s="8"/>
    </row>
    <row r="14" spans="1:10" x14ac:dyDescent="0.2">
      <c r="A14" s="8"/>
      <c r="B14" s="8" t="s">
        <v>18</v>
      </c>
      <c r="C14" s="10"/>
      <c r="D14" s="10">
        <v>285000</v>
      </c>
      <c r="E14" s="10"/>
      <c r="F14" s="10"/>
      <c r="G14" s="10">
        <f>SUM(C14:F14)</f>
        <v>285000</v>
      </c>
      <c r="H14" s="11">
        <f>G14/$G$23</f>
        <v>2.925999020765661E-2</v>
      </c>
      <c r="I14" s="8"/>
      <c r="J14" s="8"/>
    </row>
    <row r="15" spans="1:10" x14ac:dyDescent="0.2">
      <c r="A15" s="8"/>
      <c r="B15" s="8" t="s">
        <v>19</v>
      </c>
      <c r="C15" s="10"/>
      <c r="D15" s="10">
        <v>50000</v>
      </c>
      <c r="E15" s="10"/>
      <c r="F15" s="10"/>
      <c r="G15" s="10">
        <f>SUM(C15:F15)</f>
        <v>50000</v>
      </c>
      <c r="H15" s="11">
        <f>G15/$G$23</f>
        <v>5.133331615378353E-3</v>
      </c>
      <c r="I15" s="8"/>
      <c r="J15" s="8"/>
    </row>
    <row r="16" spans="1:10" x14ac:dyDescent="0.2">
      <c r="A16" s="8"/>
      <c r="B16" s="8" t="s">
        <v>20</v>
      </c>
      <c r="C16" s="10"/>
      <c r="D16" s="10">
        <v>285000</v>
      </c>
      <c r="E16" s="10"/>
      <c r="F16" s="10"/>
      <c r="G16" s="10">
        <f>SUM(C16:F16)</f>
        <v>285000</v>
      </c>
      <c r="H16" s="11">
        <f>G16/$G$23</f>
        <v>2.925999020765661E-2</v>
      </c>
      <c r="I16" s="8"/>
      <c r="J16" s="8"/>
    </row>
    <row r="17" spans="1:10" x14ac:dyDescent="0.2">
      <c r="A17" s="8"/>
      <c r="B17" s="8" t="s">
        <v>21</v>
      </c>
      <c r="C17" s="10"/>
      <c r="D17" s="10"/>
      <c r="E17" s="10">
        <v>96186</v>
      </c>
      <c r="F17" s="10"/>
      <c r="G17" s="10">
        <f>SUM(C17:F17)</f>
        <v>96186</v>
      </c>
      <c r="H17" s="11">
        <f>G17/$G$23</f>
        <v>9.8750926951356455E-3</v>
      </c>
      <c r="I17" s="8"/>
      <c r="J17" s="8"/>
    </row>
    <row r="18" spans="1:10" x14ac:dyDescent="0.2">
      <c r="A18" s="8"/>
      <c r="B18" s="8" t="s">
        <v>22</v>
      </c>
      <c r="C18" s="10"/>
      <c r="D18" s="10"/>
      <c r="E18" s="10">
        <v>48095</v>
      </c>
      <c r="F18" s="10"/>
      <c r="G18" s="10">
        <f>SUM(C18:F18)</f>
        <v>48095</v>
      </c>
      <c r="H18" s="11">
        <f>G18/$G$23</f>
        <v>4.9377516808324371E-3</v>
      </c>
      <c r="I18" s="8"/>
      <c r="J18" s="8"/>
    </row>
    <row r="19" spans="1:10" x14ac:dyDescent="0.2">
      <c r="A19" s="8"/>
      <c r="B19" s="8" t="s">
        <v>23</v>
      </c>
      <c r="C19" s="10"/>
      <c r="D19" s="10"/>
      <c r="E19" s="10"/>
      <c r="F19" s="10">
        <v>12395</v>
      </c>
      <c r="G19" s="10">
        <f>SUM(C19:F19)</f>
        <v>12395</v>
      </c>
      <c r="H19" s="11">
        <f>G19/$G$23</f>
        <v>1.2725529074522936E-3</v>
      </c>
      <c r="I19" s="8"/>
      <c r="J19" s="8"/>
    </row>
    <row r="20" spans="1:10" x14ac:dyDescent="0.2">
      <c r="A20" s="8"/>
      <c r="B20" s="8" t="s">
        <v>24</v>
      </c>
      <c r="C20" s="10"/>
      <c r="D20" s="10"/>
      <c r="E20" s="10"/>
      <c r="F20" s="10">
        <v>8333</v>
      </c>
      <c r="G20" s="10">
        <f>SUM(C20:F20)</f>
        <v>8333</v>
      </c>
      <c r="H20" s="11">
        <f>G20/$G$23</f>
        <v>8.5552104701895626E-4</v>
      </c>
      <c r="I20" s="8"/>
      <c r="J20" s="8"/>
    </row>
    <row r="21" spans="1:10" ht="15.75" customHeight="1" x14ac:dyDescent="0.2">
      <c r="A21" s="8"/>
      <c r="B21" s="8" t="s">
        <v>25</v>
      </c>
      <c r="C21" s="10"/>
      <c r="D21" s="10">
        <v>65105</v>
      </c>
      <c r="E21" s="10"/>
      <c r="F21" s="10"/>
      <c r="G21" s="10">
        <f>SUM(C21:F21)</f>
        <v>65105</v>
      </c>
      <c r="H21" s="11">
        <f>G21/$G$23</f>
        <v>6.6841110963841528E-3</v>
      </c>
      <c r="I21" s="8"/>
      <c r="J21" s="8"/>
    </row>
    <row r="22" spans="1:10" ht="15.75" customHeight="1" x14ac:dyDescent="0.2">
      <c r="A22" s="8"/>
      <c r="B22" s="8"/>
      <c r="C22" s="10"/>
      <c r="D22" s="10"/>
      <c r="E22" s="10"/>
      <c r="F22" s="10"/>
      <c r="G22" s="10"/>
      <c r="H22" s="11"/>
      <c r="I22" s="8"/>
      <c r="J22" s="8"/>
    </row>
    <row r="23" spans="1:10" ht="15.75" customHeight="1" x14ac:dyDescent="0.2">
      <c r="A23" s="8"/>
      <c r="B23" s="9" t="s">
        <v>0</v>
      </c>
      <c r="C23" s="10">
        <f>SUM(C4:C21)</f>
        <v>8629687</v>
      </c>
      <c r="D23" s="10">
        <f>SUM(D4:D21)</f>
        <v>879005</v>
      </c>
      <c r="E23" s="10">
        <f>SUM(E4:E21)</f>
        <v>210843</v>
      </c>
      <c r="F23" s="10">
        <f>SUM(F4:F21)</f>
        <v>20728</v>
      </c>
      <c r="G23" s="10">
        <f>SUM(G4:G21)</f>
        <v>9740263</v>
      </c>
      <c r="H23" s="11"/>
      <c r="I23" s="8"/>
      <c r="J23" s="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BC71C-70E7-7F4D-8D3B-146049E1735A}">
  <dimension ref="A1:F27"/>
  <sheetViews>
    <sheetView workbookViewId="0"/>
  </sheetViews>
  <sheetFormatPr baseColWidth="10" defaultRowHeight="16" x14ac:dyDescent="0.2"/>
  <cols>
    <col min="1" max="1" width="11.5" customWidth="1"/>
    <col min="2" max="2" width="51.5" customWidth="1"/>
    <col min="3" max="3" width="12.33203125" customWidth="1"/>
    <col min="4" max="4" width="3.33203125" customWidth="1"/>
    <col min="5" max="5" width="60.1640625" customWidth="1"/>
    <col min="6" max="6" width="10.6640625" customWidth="1"/>
  </cols>
  <sheetData>
    <row r="1" spans="1:6" x14ac:dyDescent="0.2">
      <c r="A1" s="8"/>
      <c r="B1" s="8"/>
      <c r="C1" s="8"/>
      <c r="D1" s="8"/>
      <c r="E1" s="8"/>
      <c r="F1" s="8"/>
    </row>
    <row r="2" spans="1:6" x14ac:dyDescent="0.2">
      <c r="A2" s="8"/>
      <c r="B2" s="8"/>
      <c r="C2" s="8"/>
      <c r="D2" s="8"/>
      <c r="E2" s="8"/>
      <c r="F2" s="8"/>
    </row>
    <row r="3" spans="1:6" x14ac:dyDescent="0.2">
      <c r="A3" s="8"/>
      <c r="B3" s="9" t="s">
        <v>2</v>
      </c>
      <c r="C3" s="9" t="s">
        <v>26</v>
      </c>
      <c r="D3" s="8"/>
      <c r="E3" s="9" t="s">
        <v>27</v>
      </c>
      <c r="F3" s="8"/>
    </row>
    <row r="4" spans="1:6" x14ac:dyDescent="0.2">
      <c r="A4" s="8"/>
      <c r="B4" s="8" t="s">
        <v>13</v>
      </c>
      <c r="C4" s="12">
        <v>25000</v>
      </c>
      <c r="D4" s="8"/>
      <c r="E4" s="8" t="s">
        <v>28</v>
      </c>
      <c r="F4" s="8"/>
    </row>
    <row r="5" spans="1:6" x14ac:dyDescent="0.2">
      <c r="A5" s="8"/>
      <c r="B5" s="8" t="s">
        <v>14</v>
      </c>
      <c r="C5" s="12">
        <v>25000</v>
      </c>
      <c r="D5" s="8"/>
      <c r="E5" s="8"/>
      <c r="F5" s="8"/>
    </row>
    <row r="6" spans="1:6" ht="15.75" customHeight="1" x14ac:dyDescent="0.2">
      <c r="A6" s="8"/>
      <c r="B6" s="8" t="s">
        <v>29</v>
      </c>
      <c r="C6" s="12">
        <v>137170.75</v>
      </c>
      <c r="D6" s="8"/>
      <c r="E6" s="8"/>
      <c r="F6" s="8"/>
    </row>
    <row r="7" spans="1:6" ht="15.75" customHeight="1" x14ac:dyDescent="0.2">
      <c r="A7" s="8"/>
      <c r="B7" s="8" t="s">
        <v>30</v>
      </c>
      <c r="C7" s="12">
        <v>3846829.25</v>
      </c>
      <c r="D7" s="8"/>
      <c r="E7" s="8"/>
      <c r="F7" s="8"/>
    </row>
    <row r="8" spans="1:6" ht="15.75" customHeight="1" x14ac:dyDescent="0.2">
      <c r="A8" s="8"/>
      <c r="B8" s="8" t="s">
        <v>31</v>
      </c>
      <c r="C8" s="12">
        <v>16566</v>
      </c>
      <c r="D8" s="8"/>
      <c r="E8" s="8" t="s">
        <v>72</v>
      </c>
      <c r="F8" s="8"/>
    </row>
    <row r="9" spans="1:6" ht="15.75" customHeight="1" x14ac:dyDescent="0.2">
      <c r="A9" s="8"/>
      <c r="B9" s="8" t="s">
        <v>32</v>
      </c>
      <c r="C9" s="12">
        <v>250000</v>
      </c>
      <c r="D9" s="8"/>
      <c r="E9" s="8"/>
      <c r="F9" s="8"/>
    </row>
    <row r="10" spans="1:6" ht="15.75" customHeight="1" x14ac:dyDescent="0.2">
      <c r="A10" s="8"/>
      <c r="B10" s="8" t="s">
        <v>33</v>
      </c>
      <c r="C10" s="12">
        <v>100000</v>
      </c>
      <c r="D10" s="8"/>
      <c r="E10" s="8"/>
      <c r="F10" s="8"/>
    </row>
    <row r="11" spans="1:6" ht="15.75" customHeight="1" x14ac:dyDescent="0.2">
      <c r="A11" s="8"/>
      <c r="B11" s="8" t="s">
        <v>34</v>
      </c>
      <c r="C11" s="12">
        <v>300000</v>
      </c>
      <c r="D11" s="8"/>
      <c r="E11" s="8" t="s">
        <v>28</v>
      </c>
      <c r="F11" s="8"/>
    </row>
    <row r="12" spans="1:6" ht="15.75" customHeight="1" x14ac:dyDescent="0.2">
      <c r="A12" s="8"/>
      <c r="B12" s="8" t="s">
        <v>35</v>
      </c>
      <c r="C12" s="12">
        <v>37500</v>
      </c>
      <c r="D12" s="8"/>
      <c r="E12" s="8" t="s">
        <v>36</v>
      </c>
      <c r="F12" s="8"/>
    </row>
    <row r="13" spans="1:6" ht="15.75" customHeight="1" x14ac:dyDescent="0.2">
      <c r="A13" s="8"/>
      <c r="B13" s="8" t="s">
        <v>37</v>
      </c>
      <c r="C13" s="12">
        <v>250000</v>
      </c>
      <c r="D13" s="8"/>
      <c r="E13" s="8"/>
      <c r="F13" s="8"/>
    </row>
    <row r="14" spans="1:6" ht="15.75" customHeight="1" x14ac:dyDescent="0.2">
      <c r="A14" s="8"/>
      <c r="B14" s="8" t="s">
        <v>38</v>
      </c>
      <c r="C14" s="12">
        <v>100000</v>
      </c>
      <c r="D14" s="8"/>
      <c r="E14" s="8"/>
      <c r="F14" s="8"/>
    </row>
    <row r="15" spans="1:6" ht="15.75" customHeight="1" x14ac:dyDescent="0.2">
      <c r="A15" s="8"/>
      <c r="B15" s="8" t="s">
        <v>39</v>
      </c>
      <c r="C15" s="12">
        <v>41164</v>
      </c>
      <c r="D15" s="8"/>
      <c r="E15" s="8" t="s">
        <v>72</v>
      </c>
      <c r="F15" s="8"/>
    </row>
    <row r="16" spans="1:6" ht="15.75" customHeight="1" x14ac:dyDescent="0.2">
      <c r="A16" s="8"/>
      <c r="B16" s="8" t="s">
        <v>40</v>
      </c>
      <c r="C16" s="12">
        <v>2328778</v>
      </c>
      <c r="D16" s="8"/>
      <c r="E16" s="8" t="s">
        <v>72</v>
      </c>
      <c r="F16" s="8"/>
    </row>
    <row r="17" spans="1:6" ht="15.75" customHeight="1" x14ac:dyDescent="0.2">
      <c r="A17" s="8"/>
      <c r="B17" s="8" t="s">
        <v>41</v>
      </c>
      <c r="C17" s="12">
        <v>1506000</v>
      </c>
      <c r="D17" s="8"/>
      <c r="E17" s="8" t="s">
        <v>42</v>
      </c>
      <c r="F17" s="8"/>
    </row>
    <row r="18" spans="1:6" ht="15.75" customHeight="1" x14ac:dyDescent="0.2">
      <c r="A18" s="8"/>
      <c r="B18" s="8" t="s">
        <v>43</v>
      </c>
      <c r="C18" s="12">
        <v>50000</v>
      </c>
      <c r="D18" s="8"/>
      <c r="E18" s="8"/>
      <c r="F18" s="8"/>
    </row>
    <row r="19" spans="1:6" ht="15.75" customHeight="1" x14ac:dyDescent="0.2">
      <c r="A19" s="8"/>
      <c r="B19" s="8" t="s">
        <v>44</v>
      </c>
      <c r="C19" s="12">
        <v>212500</v>
      </c>
      <c r="D19" s="8"/>
      <c r="E19" s="8" t="s">
        <v>36</v>
      </c>
      <c r="F19" s="8"/>
    </row>
    <row r="20" spans="1:6" ht="15.75" customHeight="1" x14ac:dyDescent="0.2">
      <c r="A20" s="8"/>
      <c r="B20" s="8" t="s">
        <v>45</v>
      </c>
      <c r="C20" s="12">
        <v>25000</v>
      </c>
      <c r="D20" s="8"/>
      <c r="E20" s="8"/>
      <c r="F20" s="8"/>
    </row>
    <row r="21" spans="1:6" ht="15.75" customHeight="1" x14ac:dyDescent="0.2">
      <c r="A21" s="8"/>
      <c r="B21" s="8" t="s">
        <v>46</v>
      </c>
      <c r="C21" s="12">
        <v>61746</v>
      </c>
      <c r="D21" s="8"/>
      <c r="E21" s="8" t="s">
        <v>72</v>
      </c>
      <c r="F21" s="8"/>
    </row>
    <row r="22" spans="1:6" ht="15.75" customHeight="1" x14ac:dyDescent="0.2">
      <c r="A22" s="8"/>
      <c r="B22" s="8" t="s">
        <v>47</v>
      </c>
      <c r="C22" s="12">
        <v>100000</v>
      </c>
      <c r="D22" s="8"/>
      <c r="E22" s="8"/>
      <c r="F22" s="8"/>
    </row>
    <row r="23" spans="1:6" ht="15.75" customHeight="1" x14ac:dyDescent="0.2">
      <c r="A23" s="8"/>
      <c r="B23" s="8" t="s">
        <v>48</v>
      </c>
      <c r="C23" s="12">
        <v>100000</v>
      </c>
      <c r="D23" s="8"/>
      <c r="E23" s="8"/>
      <c r="F23" s="8"/>
    </row>
    <row r="24" spans="1:6" ht="15.75" customHeight="1" x14ac:dyDescent="0.2">
      <c r="A24" s="8"/>
      <c r="B24" s="8" t="s">
        <v>49</v>
      </c>
      <c r="C24" s="12">
        <v>61746</v>
      </c>
      <c r="D24" s="8"/>
      <c r="E24" s="8" t="s">
        <v>72</v>
      </c>
      <c r="F24" s="8"/>
    </row>
    <row r="25" spans="1:6" ht="15.75" customHeight="1" x14ac:dyDescent="0.2">
      <c r="A25" s="8"/>
      <c r="B25" s="8" t="s">
        <v>50</v>
      </c>
      <c r="C25" s="12">
        <v>250000</v>
      </c>
      <c r="D25" s="8"/>
      <c r="E25" s="8" t="s">
        <v>51</v>
      </c>
      <c r="F25" s="8"/>
    </row>
    <row r="26" spans="1:6" ht="15.75" customHeight="1" x14ac:dyDescent="0.2">
      <c r="A26" s="8"/>
      <c r="B26" s="8"/>
      <c r="C26" s="12"/>
      <c r="D26" s="8"/>
      <c r="E26" s="8"/>
      <c r="F26" s="8"/>
    </row>
    <row r="27" spans="1:6" ht="15.75" customHeight="1" x14ac:dyDescent="0.2">
      <c r="A27" s="8"/>
      <c r="B27" s="8" t="s">
        <v>0</v>
      </c>
      <c r="C27" s="12">
        <f>SUM(C4:C25)</f>
        <v>9825000</v>
      </c>
      <c r="D27" s="8"/>
      <c r="E27" s="8"/>
      <c r="F27" s="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061D-9312-1C42-9AF7-90E0E6B61A7E}">
  <dimension ref="B4:I22"/>
  <sheetViews>
    <sheetView showGridLines="0" tabSelected="1" workbookViewId="0"/>
  </sheetViews>
  <sheetFormatPr baseColWidth="10" defaultRowHeight="16" x14ac:dyDescent="0.2"/>
  <cols>
    <col min="1" max="1" width="6.33203125" customWidth="1"/>
    <col min="2" max="2" width="35.5" customWidth="1"/>
    <col min="3" max="3" width="14.33203125" customWidth="1"/>
    <col min="4" max="4" width="17.6640625" customWidth="1"/>
    <col min="5" max="5" width="0.5" customWidth="1"/>
    <col min="6" max="6" width="13.83203125" customWidth="1"/>
    <col min="7" max="7" width="0.5" customWidth="1"/>
    <col min="8" max="8" width="14.33203125" customWidth="1"/>
    <col min="9" max="9" width="9.33203125" customWidth="1"/>
    <col min="10" max="10" width="8" customWidth="1"/>
  </cols>
  <sheetData>
    <row r="4" spans="2:9" ht="15.5" customHeight="1" x14ac:dyDescent="0.2">
      <c r="B4" s="13" t="s">
        <v>73</v>
      </c>
      <c r="C4" s="35"/>
      <c r="D4" s="35"/>
      <c r="E4" s="35"/>
      <c r="F4" s="35"/>
      <c r="G4" s="35"/>
      <c r="H4" s="35"/>
      <c r="I4" s="35"/>
    </row>
    <row r="5" spans="2:9" ht="16.25" customHeight="1" thickBot="1" x14ac:dyDescent="0.25"/>
    <row r="6" spans="2:9" ht="13.75" customHeight="1" thickBot="1" x14ac:dyDescent="0.25">
      <c r="C6" s="18" t="s">
        <v>53</v>
      </c>
      <c r="D6" s="21" t="s">
        <v>26</v>
      </c>
      <c r="F6" s="21" t="s">
        <v>54</v>
      </c>
      <c r="H6" s="18" t="s">
        <v>55</v>
      </c>
      <c r="I6" s="19"/>
    </row>
    <row r="7" spans="2:9" x14ac:dyDescent="0.2">
      <c r="C7" s="18" t="s">
        <v>56</v>
      </c>
      <c r="D7" s="21" t="s">
        <v>57</v>
      </c>
      <c r="F7" s="20" t="s">
        <v>58</v>
      </c>
      <c r="H7" s="18" t="s">
        <v>59</v>
      </c>
      <c r="I7" s="19" t="s">
        <v>60</v>
      </c>
    </row>
    <row r="8" spans="2:9" ht="13.75" customHeight="1" thickBot="1" x14ac:dyDescent="0.25">
      <c r="C8" s="16" t="s">
        <v>61</v>
      </c>
      <c r="D8" s="20" t="s">
        <v>62</v>
      </c>
      <c r="F8" s="20" t="s">
        <v>63</v>
      </c>
      <c r="H8" s="16" t="s">
        <v>61</v>
      </c>
      <c r="I8" s="17" t="s">
        <v>64</v>
      </c>
    </row>
    <row r="9" spans="2:9" x14ac:dyDescent="0.2">
      <c r="B9" s="23" t="s">
        <v>65</v>
      </c>
      <c r="C9" s="28"/>
      <c r="D9" s="28"/>
      <c r="E9" s="5"/>
      <c r="F9" s="28"/>
      <c r="G9" s="5"/>
      <c r="H9" s="28"/>
      <c r="I9" s="34"/>
    </row>
    <row r="10" spans="2:9" x14ac:dyDescent="0.2">
      <c r="B10" s="24" t="s">
        <v>8</v>
      </c>
      <c r="C10" s="2">
        <f>'Detailed Cap Table'!C4</f>
        <v>3600000</v>
      </c>
      <c r="D10" s="33"/>
      <c r="F10" s="4"/>
      <c r="H10" s="14">
        <f>C10+F10</f>
        <v>3600000</v>
      </c>
      <c r="I10" s="36">
        <f>H10/$H$20</f>
        <v>0.36959987630724139</v>
      </c>
    </row>
    <row r="11" spans="2:9" x14ac:dyDescent="0.2">
      <c r="B11" s="24" t="s">
        <v>9</v>
      </c>
      <c r="C11" s="2">
        <f>'Detailed Cap Table'!C5</f>
        <v>3600000</v>
      </c>
      <c r="D11" s="33"/>
      <c r="F11" s="4"/>
      <c r="H11" s="14">
        <f>C11+F11</f>
        <v>3600000</v>
      </c>
      <c r="I11" s="36">
        <f>H11/$H$20</f>
        <v>0.36959987630724139</v>
      </c>
    </row>
    <row r="12" spans="2:9" x14ac:dyDescent="0.2">
      <c r="B12" s="24" t="s">
        <v>68</v>
      </c>
      <c r="C12" s="2">
        <f>'Detailed Cap Table'!C23-'Detailed Cap Table'!C4-'Detailed Cap Table'!C5+'Detailed Cap Table'!D23-'Detailed Cap Table'!D21+'Detailed Cap Table'!F23</f>
        <v>2264315</v>
      </c>
      <c r="D12" s="33"/>
      <c r="F12" s="4"/>
      <c r="H12" s="14">
        <f>C12+F12</f>
        <v>2264315</v>
      </c>
      <c r="I12" s="36">
        <f>H12/$H$20</f>
        <v>0.23246959553350868</v>
      </c>
    </row>
    <row r="13" spans="2:9" x14ac:dyDescent="0.2">
      <c r="B13" s="24" t="s">
        <v>69</v>
      </c>
      <c r="C13" s="2">
        <f>SUM('Detailed Cap Table'!E4:E20)</f>
        <v>210843</v>
      </c>
      <c r="D13" s="33"/>
      <c r="F13" s="4"/>
      <c r="H13" s="14">
        <f>C13+F13</f>
        <v>210843</v>
      </c>
      <c r="I13" s="36">
        <f>H13/$H$20</f>
        <v>2.1646540755624361E-2</v>
      </c>
    </row>
    <row r="14" spans="2:9" x14ac:dyDescent="0.2">
      <c r="B14" s="24" t="s">
        <v>70</v>
      </c>
      <c r="C14" s="2"/>
      <c r="D14" s="33"/>
      <c r="F14" s="2">
        <f>'Detailed Cap Table'!D21</f>
        <v>65105</v>
      </c>
      <c r="H14" s="14">
        <f>C14+F14</f>
        <v>65105</v>
      </c>
      <c r="I14" s="36">
        <f>H14/$H$20</f>
        <v>6.6841110963841528E-3</v>
      </c>
    </row>
    <row r="15" spans="2:9" x14ac:dyDescent="0.2">
      <c r="B15" s="25" t="s">
        <v>66</v>
      </c>
      <c r="C15" s="22">
        <f>SUM(C10:C14)</f>
        <v>9675158</v>
      </c>
      <c r="D15" s="15">
        <f>SUM(D10:D14)</f>
        <v>0</v>
      </c>
      <c r="F15" s="22">
        <f>SUM(F10:F14)</f>
        <v>65105</v>
      </c>
      <c r="H15" s="22">
        <f>SUM(H10:H14)</f>
        <v>9740263</v>
      </c>
      <c r="I15" s="37">
        <f>H15/$H$20</f>
        <v>1</v>
      </c>
    </row>
    <row r="16" spans="2:9" x14ac:dyDescent="0.2">
      <c r="B16" s="25" t="s">
        <v>52</v>
      </c>
      <c r="C16" s="4"/>
      <c r="D16" s="33"/>
      <c r="F16" s="4"/>
      <c r="H16" s="4"/>
      <c r="I16" s="29"/>
    </row>
    <row r="17" spans="2:9" x14ac:dyDescent="0.2">
      <c r="B17" s="24" t="s">
        <v>42</v>
      </c>
      <c r="C17" s="4"/>
      <c r="D17" s="3">
        <f>'SAFE Investments'!C6+'SAFE Investments'!C7+'SAFE Investments'!C8+'SAFE Investments'!C15+'SAFE Investments'!C16+'SAFE Investments'!C17+'SAFE Investments'!C21+'SAFE Investments'!C24</f>
        <v>8000000</v>
      </c>
      <c r="F17" s="4"/>
      <c r="H17" s="14">
        <f>C17+F17</f>
        <v>0</v>
      </c>
      <c r="I17" s="36">
        <f>H17/$H$20</f>
        <v>0</v>
      </c>
    </row>
    <row r="18" spans="2:9" x14ac:dyDescent="0.2">
      <c r="B18" s="24" t="s">
        <v>71</v>
      </c>
      <c r="C18" s="4"/>
      <c r="D18" s="3">
        <f>'SAFE Investments'!C27-D17</f>
        <v>1825000</v>
      </c>
      <c r="F18" s="4"/>
      <c r="H18" s="14">
        <f>C18+F18</f>
        <v>0</v>
      </c>
      <c r="I18" s="36">
        <f>H18/$H$20</f>
        <v>0</v>
      </c>
    </row>
    <row r="19" spans="2:9" x14ac:dyDescent="0.2">
      <c r="B19" s="7"/>
      <c r="C19" s="4"/>
      <c r="D19" s="33"/>
      <c r="F19" s="4"/>
      <c r="H19" s="4"/>
      <c r="I19" s="29"/>
    </row>
    <row r="20" spans="2:9" x14ac:dyDescent="0.2">
      <c r="B20" s="25" t="s">
        <v>67</v>
      </c>
      <c r="C20" s="27">
        <f>C15</f>
        <v>9675158</v>
      </c>
      <c r="D20" s="38">
        <f>SUM(D10:D19)</f>
        <v>9825000</v>
      </c>
      <c r="F20" s="22">
        <f>F14</f>
        <v>65105</v>
      </c>
      <c r="H20" s="27">
        <f>SUM(H10:H14)</f>
        <v>9740263</v>
      </c>
      <c r="I20" s="39">
        <f>SUM(I10:I14)</f>
        <v>0.99999999999999989</v>
      </c>
    </row>
    <row r="21" spans="2:9" ht="13.75" customHeight="1" thickBot="1" x14ac:dyDescent="0.25">
      <c r="B21" s="7"/>
      <c r="C21" s="1"/>
      <c r="D21" s="33"/>
      <c r="F21" s="1"/>
      <c r="H21" s="1"/>
      <c r="I21" s="31"/>
    </row>
    <row r="22" spans="2:9" ht="13.75" customHeight="1" thickBot="1" x14ac:dyDescent="0.25">
      <c r="B22" s="26" t="s">
        <v>74</v>
      </c>
      <c r="C22" s="30"/>
      <c r="D22" s="40">
        <v>50000000</v>
      </c>
      <c r="E22" s="6"/>
      <c r="F22" s="30"/>
      <c r="G22" s="6"/>
      <c r="H22" s="30"/>
      <c r="I22" s="3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Detailed Cap Table</vt:lpstr>
      <vt:lpstr>SAFE Investments</vt:lpstr>
      <vt:lpstr>Series Seed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Sidarth Subramanian</cp:lastModifiedBy>
  <dcterms:modified xsi:type="dcterms:W3CDTF">2026-04-14T21:40:11Z</dcterms:modified>
</cp:coreProperties>
</file>