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3B7FAD96-C548-FB4A-BCC9-2853A08B12EB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Series A" sheetId="136" r:id="rId1"/>
    <sheet name="Detailed Cap Table" sheetId="138" r:id="rId2"/>
    <sheet name="SAFE Investments" sheetId="139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39" l="1"/>
  <c r="G23" i="138"/>
  <c r="H18" i="138" s="1"/>
  <c r="F23" i="138"/>
  <c r="E23" i="138"/>
  <c r="D23" i="138"/>
  <c r="C23" i="138"/>
  <c r="G21" i="138"/>
  <c r="G20" i="138"/>
  <c r="G19" i="138"/>
  <c r="G18" i="138"/>
  <c r="G17" i="138"/>
  <c r="G16" i="138"/>
  <c r="G15" i="138"/>
  <c r="G14" i="138"/>
  <c r="G13" i="138"/>
  <c r="G12" i="138"/>
  <c r="G11" i="138"/>
  <c r="G10" i="138"/>
  <c r="G9" i="138"/>
  <c r="G8" i="138"/>
  <c r="G7" i="138"/>
  <c r="G6" i="138"/>
  <c r="G5" i="138"/>
  <c r="G4" i="138"/>
  <c r="C31" i="136"/>
  <c r="C30" i="136"/>
  <c r="J25" i="136"/>
  <c r="I21" i="136"/>
  <c r="J14" i="136"/>
  <c r="E14" i="136"/>
  <c r="G11" i="136"/>
  <c r="G14" i="136" s="1"/>
  <c r="H6" i="138" l="1"/>
  <c r="H16" i="138"/>
  <c r="H4" i="138"/>
  <c r="H9" i="138"/>
  <c r="H14" i="138"/>
  <c r="H19" i="138"/>
  <c r="H5" i="138"/>
  <c r="H10" i="138"/>
  <c r="H15" i="138"/>
  <c r="H20" i="138"/>
  <c r="H11" i="138"/>
  <c r="H21" i="138"/>
  <c r="H7" i="138"/>
  <c r="H12" i="138"/>
  <c r="H17" i="138"/>
  <c r="H8" i="138"/>
  <c r="H13" i="138"/>
  <c r="D16" i="136"/>
  <c r="D21" i="136" s="1"/>
  <c r="D19" i="136"/>
  <c r="C9" i="136"/>
  <c r="N9" i="136" s="1"/>
  <c r="C10" i="136"/>
  <c r="N10" i="136" s="1"/>
  <c r="N11" i="136"/>
  <c r="G21" i="136"/>
  <c r="G12" i="136"/>
  <c r="C8" i="136"/>
  <c r="N8" i="136" l="1"/>
  <c r="C14" i="136"/>
  <c r="C21" i="136"/>
  <c r="N14" i="136" l="1"/>
  <c r="N21" i="136"/>
  <c r="O8" i="136" l="1"/>
  <c r="O14" i="136"/>
  <c r="O21" i="136" s="1"/>
  <c r="O9" i="136"/>
  <c r="O10" i="136"/>
  <c r="O11" i="136"/>
  <c r="L12" i="136"/>
  <c r="L14" i="136" l="1"/>
  <c r="N12" i="136"/>
  <c r="O12" i="136" s="1"/>
  <c r="Q12" i="136"/>
  <c r="L21" i="136"/>
  <c r="E16" i="136"/>
  <c r="J16" i="136"/>
  <c r="N16" i="136"/>
  <c r="O16" i="136"/>
  <c r="J17" i="136"/>
  <c r="N17" i="136"/>
  <c r="O17" i="136"/>
  <c r="J18" i="136"/>
  <c r="N18" i="136"/>
  <c r="O18" i="136"/>
  <c r="E19" i="136"/>
  <c r="N19" i="136"/>
  <c r="O19" i="136"/>
  <c r="E21" i="136"/>
  <c r="J21" i="136"/>
  <c r="E23" i="136"/>
  <c r="J23" i="136"/>
  <c r="C34" i="136"/>
</calcChain>
</file>

<file path=xl/sharedStrings.xml><?xml version="1.0" encoding="utf-8"?>
<sst xmlns="http://schemas.openxmlformats.org/spreadsheetml/2006/main" count="112" uniqueCount="90">
  <si>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</si>
  <si>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</si>
  <si>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</si>
  <si>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</si>
  <si>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</si>
  <si>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</si>
  <si>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</si>
  <si>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</si>
  <si>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</si>
  <si>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</si>
  <si>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</si>
  <si>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</si>
  <si>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</si>
  <si>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</si>
  <si>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</si>
  <si>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</si>
  <si>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</si>
  <si>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</si>
  <si>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</si>
  <si>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</si>
  <si>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</si>
  <si>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</si>
  <si>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</si>
  <si>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</si>
  <si>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</si>
  <si>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</si>
  <si>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</si>
  <si>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</si>
  <si>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</si>
  <si>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</si>
  <si>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</si>
  <si>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</si>
  <si>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</si>
  <si>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</si>
  <si>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</si>
  <si>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</si>
  <si>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</si>
  <si>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</si>
  <si>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</si>
  <si>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</si>
  <si>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</si>
  <si>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</si>
  <si>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</si>
  <si>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</si>
  <si>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</si>
  <si>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</si>
  <si>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</si>
  <si>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</si>
  <si>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</si>
  <si>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</si>
  <si>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</si>
  <si>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</si>
  <si>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</si>
  <si>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</si>
  <si>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</si>
  <si>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</si>
  <si>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</si>
  <si>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</si>
  <si>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</si>
  <si>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</si>
  <si>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</si>
  <si>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Shares</t>
  </si>
  <si>
    <t xml:space="preserve"> Invested</t>
  </si>
  <si>
    <t>Pre-SAFE</t>
  </si>
  <si>
    <t>Pre A</t>
  </si>
  <si>
    <t>FD</t>
  </si>
  <si>
    <t>Common Stock and Options:</t>
  </si>
  <si>
    <t>Total Common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</si>
  <si>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</si>
  <si>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</si>
  <si>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</si>
  <si>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</si>
  <si>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</si>
  <si>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</si>
  <si>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</si>
  <si>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Pre-Money Valuation Step-up</t>
  </si>
  <si>
    <t>Other Common Shareholders</t>
  </si>
  <si>
    <t>ESOP Issued &amp; Outstanding</t>
  </si>
  <si>
    <t>Other SAFE Investors</t>
  </si>
  <si>
    <t>Transfer from Owl Rocl Capital II, LLC (Accomplice)</t>
  </si>
  <si>
    <t xml:space="preserve">% </t>
  </si>
  <si>
    <t>1011 VENTURES SERIES A</t>
  </si>
  <si>
    <t>SAFE Valuation Cap</t>
  </si>
  <si>
    <t>SIDEKICK (THINK MORE SECURITY)</t>
  </si>
  <si>
    <t>SAFE Conv</t>
  </si>
  <si>
    <t>ESOP Available / Pool Expansion</t>
  </si>
  <si>
    <t>Preferred Rounds:</t>
  </si>
  <si>
    <t>% Ownership (New Money)</t>
  </si>
  <si>
    <t>Option Pool Expansion %</t>
  </si>
  <si>
    <t>SAFE Conversion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</si>
</sst>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"/>
    <numFmt numFmtId="165" formatCode="0.0%"/>
    <numFmt numFmtId="168" formatCode="_-[$$-409]* #,##0_-;_-[$$-409]* \(#,##0\)_-;_-[$$-409]* &quot;-&quot;??;_-@_-"/>
    <numFmt numFmtId="169" formatCode="0.0%_);\(0.0%\);0.0%_);@_)"/>
    <numFmt numFmtId="175" formatCode="_-[$$-409]* #,##0.0000_-;_-[$$-409]* \(#,##0.0000\)_-;_-[$$-409]* &quot;-&quot;??;_-@_-"/>
  </numFmts>
  <fonts count="2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b/>
      <sz val="12"/>
      <color theme="1"/>
      <name val="Garamond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4">
    <xf numFmtId="0" fontId="0" fillId="0" borderId="0" xfId="0"/>
    <xf numFmtId="165" fontId="0" fillId="0" borderId="0" xfId="0" applyNumberFormat="1"/>
    <xf numFmtId="0" fontId="0" fillId="0" borderId="0" xfId="0" applyAlignment="1">
      <alignment horizontal="center"/>
    </xf>
    <xf numFmtId="0" fontId="18" fillId="0" borderId="0" xfId="0" applyFont="1"/>
    <xf numFmtId="165" fontId="18" fillId="0" borderId="0" xfId="0" applyNumberFormat="1" applyFont="1"/>
    <xf numFmtId="0" fontId="22" fillId="0" borderId="0" xfId="0" applyFont="1"/>
    <xf numFmtId="37" fontId="18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165" fontId="20" fillId="0" borderId="0" xfId="0" applyNumberFormat="1" applyFont="1"/>
    <xf numFmtId="37" fontId="21" fillId="0" borderId="0" xfId="0" applyNumberFormat="1" applyFont="1" applyAlignment="1">
      <alignment horizontal="center"/>
    </xf>
    <xf numFmtId="168" fontId="21" fillId="0" borderId="0" xfId="0" applyNumberFormat="1" applyFont="1" applyAlignment="1">
      <alignment horizontal="center"/>
    </xf>
    <xf numFmtId="37" fontId="0" fillId="0" borderId="0" xfId="0" applyNumberFormat="1" applyAlignment="1">
      <alignment horizontal="center"/>
    </xf>
    <xf numFmtId="0" fontId="22" fillId="0" borderId="0" xfId="0" applyFont="1" applyAlignment="1">
      <alignment horizontal="centerContinuous"/>
    </xf>
    <xf numFmtId="0" fontId="0" fillId="0" borderId="12" xfId="0" applyBorder="1"/>
    <xf numFmtId="0" fontId="0" fillId="0" borderId="13" xfId="0" applyBorder="1"/>
    <xf numFmtId="0" fontId="18" fillId="0" borderId="15" xfId="0" applyFont="1" applyBorder="1"/>
    <xf numFmtId="0" fontId="0" fillId="0" borderId="15" xfId="0" applyBorder="1"/>
    <xf numFmtId="0" fontId="19" fillId="0" borderId="15" xfId="0" applyFont="1" applyBorder="1"/>
    <xf numFmtId="169" fontId="18" fillId="0" borderId="17" xfId="0" applyNumberFormat="1" applyFont="1" applyBorder="1" applyAlignment="1">
      <alignment horizontal="center"/>
    </xf>
    <xf numFmtId="0" fontId="19" fillId="0" borderId="19" xfId="0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175" fontId="18" fillId="0" borderId="0" xfId="0" applyNumberFormat="1" applyFont="1"/>
    <xf numFmtId="168" fontId="18" fillId="0" borderId="0" xfId="0" applyNumberFormat="1" applyFont="1"/>
    <xf numFmtId="0" fontId="19" fillId="0" borderId="15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3" fontId="23" fillId="0" borderId="0" xfId="0" applyNumberFormat="1" applyFont="1" applyAlignment="1">
      <alignment horizontal="center"/>
    </xf>
    <xf numFmtId="10" fontId="23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5" fillId="0" borderId="19" xfId="0" applyFont="1" applyBorder="1"/>
    <xf numFmtId="0" fontId="25" fillId="0" borderId="15" xfId="0" applyFont="1" applyBorder="1"/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0" fillId="0" borderId="14" xfId="0" applyBorder="1"/>
    <xf numFmtId="168" fontId="20" fillId="0" borderId="0" xfId="0" applyNumberFormat="1" applyFont="1"/>
    <xf numFmtId="37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169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37" fontId="19" fillId="0" borderId="10" xfId="0" applyNumberFormat="1" applyFont="1" applyBorder="1" applyAlignment="1">
      <alignment horizontal="center"/>
    </xf>
    <xf numFmtId="169" fontId="19" fillId="0" borderId="18" xfId="0" applyNumberFormat="1" applyFont="1" applyBorder="1" applyAlignment="1">
      <alignment horizontal="center"/>
    </xf>
    <xf numFmtId="37" fontId="19" fillId="0" borderId="11" xfId="0" applyNumberFormat="1" applyFont="1" applyBorder="1" applyAlignment="1">
      <alignment horizontal="center"/>
    </xf>
    <xf numFmtId="168" fontId="19" fillId="0" borderId="11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3" xfId="0" applyBorder="1" applyAlignment="1">
      <alignment horizontal="center"/>
    </xf>
    <xf numFmtId="0" fontId="0" fillId="0" borderId="18" xfId="0" applyBorder="1" applyAlignment="1">
      <alignment horizontal="center"/>
    </xf>
    <xf numFmtId="175" fontId="0" fillId="0" borderId="20" xfId="0" applyNumberFormat="1" applyBorder="1" applyAlignment="1">
      <alignment horizontal="center"/>
    </xf>
    <xf numFmtId="168" fontId="0" fillId="0" borderId="13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D6CA6-81A9-1E49-B4DF-137DA23E3554}">
  <dimension ref="B1:Q34"/>
  <sheetViews>
    <sheetView showGridLines="0" workbookViewId="0">
      <selection activeCell="I26" sqref="I26"/>
    </sheetView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5.5" customWidth="1"/>
    <col min="10" max="10" width="16.83203125" customWidth="1"/>
    <col min="11" max="11" width="0.5" customWidth="1"/>
    <col min="12" max="12" width="13.83203125" customWidth="1"/>
    <col min="13" max="13" width="0.5" customWidth="1"/>
    <col min="14" max="14" width="14.33203125" customWidth="1"/>
    <col min="15" max="15" width="9.33203125" customWidth="1"/>
    <col min="16" max="16" width="6.83203125" customWidth="1"/>
    <col min="17" max="17" width="15.5" customWidth="1"/>
  </cols>
  <sheetData>
    <row r="1" spans="2:17" x14ac:dyDescent="0.2">
      <c r="B1" s="12" t="s">
        <v>83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2:17" ht="15.5" customHeight="1" x14ac:dyDescent="0.2">
      <c r="B2" s="12" t="s">
        <v>81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2:17" ht="16.25" customHeight="1" thickBot="1" x14ac:dyDescent="0.25"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spans="2:17" ht="13.75" customHeight="1" thickBot="1" x14ac:dyDescent="0.25">
      <c r="C4" s="19" t="s">
        <v>52</v>
      </c>
      <c r="D4" s="19" t="s">
        <v>26</v>
      </c>
      <c r="E4" s="20"/>
      <c r="G4" s="20" t="s">
        <v>53</v>
      </c>
      <c r="I4" s="19" t="s">
        <v>54</v>
      </c>
      <c r="J4" s="25"/>
      <c r="L4" s="20" t="s">
        <v>53</v>
      </c>
      <c r="N4" s="19" t="s">
        <v>55</v>
      </c>
      <c r="O4" s="25"/>
    </row>
    <row r="5" spans="2:17" x14ac:dyDescent="0.2">
      <c r="C5" s="19" t="s">
        <v>56</v>
      </c>
      <c r="D5" s="26" t="s">
        <v>57</v>
      </c>
      <c r="E5" s="20" t="s">
        <v>84</v>
      </c>
      <c r="G5" s="24" t="s">
        <v>59</v>
      </c>
      <c r="I5" s="26" t="s">
        <v>57</v>
      </c>
      <c r="J5" s="25" t="s">
        <v>58</v>
      </c>
      <c r="L5" s="24" t="s">
        <v>59</v>
      </c>
      <c r="N5" s="19" t="s">
        <v>60</v>
      </c>
      <c r="O5" s="25" t="s">
        <v>80</v>
      </c>
    </row>
    <row r="6" spans="2:17" ht="13.75" customHeight="1" thickBot="1" x14ac:dyDescent="0.25">
      <c r="C6" s="23" t="s">
        <v>61</v>
      </c>
      <c r="D6" s="23" t="s">
        <v>62</v>
      </c>
      <c r="E6" s="37" t="s">
        <v>61</v>
      </c>
      <c r="G6" s="24" t="s">
        <v>63</v>
      </c>
      <c r="I6" s="23" t="s">
        <v>62</v>
      </c>
      <c r="J6" s="37" t="s">
        <v>61</v>
      </c>
      <c r="L6" s="24" t="s">
        <v>64</v>
      </c>
      <c r="N6" s="23" t="s">
        <v>61</v>
      </c>
      <c r="O6" s="37" t="s">
        <v>65</v>
      </c>
    </row>
    <row r="7" spans="2:17" x14ac:dyDescent="0.2">
      <c r="B7" s="32" t="s">
        <v>66</v>
      </c>
      <c r="C7" s="35"/>
      <c r="D7" s="35"/>
      <c r="E7" s="35"/>
      <c r="F7" s="13"/>
      <c r="G7" s="35"/>
      <c r="H7" s="13"/>
      <c r="I7" s="35"/>
      <c r="J7" s="35"/>
      <c r="K7" s="13"/>
      <c r="L7" s="35"/>
      <c r="M7" s="13"/>
      <c r="N7" s="35"/>
      <c r="O7" s="50"/>
    </row>
    <row r="8" spans="2:17" x14ac:dyDescent="0.2">
      <c r="B8" s="15" t="s">
        <v>8</v>
      </c>
      <c r="C8" s="9" t="e">
        <f>#REF!</f>
        <v>#REF!</v>
      </c>
      <c r="D8" s="49"/>
      <c r="E8" s="6"/>
      <c r="G8" s="11"/>
      <c r="I8" s="49"/>
      <c r="J8" s="6"/>
      <c r="L8" s="6"/>
      <c r="N8" s="6" t="e">
        <f>C8+E8+G8+J8+L8</f>
        <v>#REF!</v>
      </c>
      <c r="O8" s="18" t="e">
        <f>N8/$N$21</f>
        <v>#REF!</v>
      </c>
    </row>
    <row r="9" spans="2:17" x14ac:dyDescent="0.2">
      <c r="B9" s="15" t="s">
        <v>9</v>
      </c>
      <c r="C9" s="9" t="e">
        <f>#REF!</f>
        <v>#REF!</v>
      </c>
      <c r="D9" s="49"/>
      <c r="E9" s="6"/>
      <c r="G9" s="11"/>
      <c r="I9" s="49"/>
      <c r="J9" s="6"/>
      <c r="L9" s="6"/>
      <c r="N9" s="6" t="e">
        <f>C9+E9+G9+J9+L9</f>
        <v>#REF!</v>
      </c>
      <c r="O9" s="18" t="e">
        <f>N9/$N$21</f>
        <v>#REF!</v>
      </c>
    </row>
    <row r="10" spans="2:17" x14ac:dyDescent="0.2">
      <c r="B10" s="15" t="s">
        <v>76</v>
      </c>
      <c r="C10" s="9" t="e">
        <f>#REF!</f>
        <v>#REF!</v>
      </c>
      <c r="D10" s="49"/>
      <c r="E10" s="6"/>
      <c r="G10" s="11"/>
      <c r="I10" s="49"/>
      <c r="J10" s="6"/>
      <c r="L10" s="6"/>
      <c r="N10" s="6" t="e">
        <f>C10+E10+G10+J10+L10</f>
        <v>#REF!</v>
      </c>
      <c r="O10" s="18" t="e">
        <f>N10/$N$21</f>
        <v>#REF!</v>
      </c>
    </row>
    <row r="11" spans="2:17" x14ac:dyDescent="0.2">
      <c r="B11" s="15" t="s">
        <v>77</v>
      </c>
      <c r="C11" s="11"/>
      <c r="D11" s="49"/>
      <c r="E11" s="6"/>
      <c r="G11" s="9" t="e">
        <f>#REF!</f>
        <v>#REF!</v>
      </c>
      <c r="I11" s="49"/>
      <c r="J11" s="6"/>
      <c r="L11" s="6"/>
      <c r="N11" s="6" t="e">
        <f>C11+E11+G11+J11+L11</f>
        <v>#REF!</v>
      </c>
      <c r="O11" s="18" t="e">
        <f>N11/$N$21</f>
        <v>#REF!</v>
      </c>
    </row>
    <row r="12" spans="2:17" x14ac:dyDescent="0.2">
      <c r="B12" s="15" t="s">
        <v>85</v>
      </c>
      <c r="C12" s="11"/>
      <c r="D12" s="49"/>
      <c r="E12" s="6"/>
      <c r="G12" s="9" t="e">
        <f>#REF!</f>
        <v>#REF!</v>
      </c>
      <c r="I12" s="49"/>
      <c r="J12" s="6"/>
      <c r="L12" s="6">
        <f>IFERROR(ROUND(0.1*N21-G12,0),0)</f>
        <v>0</v>
      </c>
      <c r="N12" s="6" t="e">
        <f>C12+E12+G12+J12+L12</f>
        <v>#REF!</v>
      </c>
      <c r="O12" s="18" t="e">
        <f>N12/$N$21</f>
        <v>#REF!</v>
      </c>
      <c r="Q12" s="1">
        <f>IFERROR((G12+L12)/N21,0)</f>
        <v>0</v>
      </c>
    </row>
    <row r="13" spans="2:17" ht="13.5" customHeight="1" x14ac:dyDescent="0.2">
      <c r="B13" s="15"/>
      <c r="C13" s="11"/>
      <c r="D13" s="49"/>
      <c r="E13" s="6"/>
      <c r="G13" s="11"/>
      <c r="I13" s="49"/>
      <c r="J13" s="6"/>
      <c r="L13" s="6"/>
      <c r="N13" s="6"/>
      <c r="O13" s="18"/>
    </row>
    <row r="14" spans="2:17" x14ac:dyDescent="0.2">
      <c r="B14" s="17" t="s">
        <v>67</v>
      </c>
      <c r="C14" s="44" t="e">
        <f>SUM(C8:C12)</f>
        <v>#REF!</v>
      </c>
      <c r="D14" s="41"/>
      <c r="E14" s="40">
        <f>SUM(E8:E12)</f>
        <v>0</v>
      </c>
      <c r="G14" s="44" t="e">
        <f>SUM(G8:G12)</f>
        <v>#REF!</v>
      </c>
      <c r="I14" s="41"/>
      <c r="J14" s="40">
        <f>SUM(J8:J12)</f>
        <v>0</v>
      </c>
      <c r="L14" s="44">
        <f>SUM(L8:L12)</f>
        <v>0</v>
      </c>
      <c r="N14" s="44" t="e">
        <f>SUM(N8:N12)</f>
        <v>#REF!</v>
      </c>
      <c r="O14" s="45" t="e">
        <f>N14/$N$21</f>
        <v>#REF!</v>
      </c>
    </row>
    <row r="15" spans="2:17" x14ac:dyDescent="0.2">
      <c r="B15" s="33" t="s">
        <v>86</v>
      </c>
      <c r="C15" s="11"/>
      <c r="D15" s="49"/>
      <c r="E15" s="6"/>
      <c r="G15" s="11"/>
      <c r="I15" s="49"/>
      <c r="J15" s="6"/>
      <c r="L15" s="6"/>
      <c r="N15" s="6"/>
      <c r="O15" s="18"/>
    </row>
    <row r="16" spans="2:17" x14ac:dyDescent="0.2">
      <c r="B16" s="15" t="s">
        <v>42</v>
      </c>
      <c r="C16" s="11"/>
      <c r="D16" s="10" t="e">
        <f>#REF!</f>
        <v>#REF!</v>
      </c>
      <c r="E16" s="6">
        <f ca="1">IFERROR(ROUND(D16/$E$23,0),0)</f>
        <v>0</v>
      </c>
      <c r="G16" s="11"/>
      <c r="I16" s="7">
        <v>5000000</v>
      </c>
      <c r="J16" s="6">
        <f ca="1">IFERROR(ROUND(I16/$J$23,0),0)</f>
        <v>0</v>
      </c>
      <c r="L16" s="6"/>
      <c r="N16" s="6">
        <f ca="1">C16+E16+G16+J16+L16</f>
        <v>0</v>
      </c>
      <c r="O16" s="18" t="e">
        <f ca="1">N16/$N$21</f>
        <v>#REF!</v>
      </c>
    </row>
    <row r="17" spans="2:15" x14ac:dyDescent="0.2">
      <c r="B17" s="15">
        <v>1011</v>
      </c>
      <c r="C17" s="11"/>
      <c r="D17" s="49"/>
      <c r="E17" s="6"/>
      <c r="G17" s="11"/>
      <c r="I17" s="7">
        <v>12000000</v>
      </c>
      <c r="J17" s="6">
        <f ca="1">IFERROR(ROUND(I17/$J$23,0),0)</f>
        <v>0</v>
      </c>
      <c r="L17" s="6"/>
      <c r="N17" s="6">
        <f ca="1">C17+E17+G17+J17+L17</f>
        <v>0</v>
      </c>
      <c r="O17" s="18" t="e">
        <f ca="1">N17/$N$21</f>
        <v>#REF!</v>
      </c>
    </row>
    <row r="18" spans="2:15" x14ac:dyDescent="0.2">
      <c r="B18" s="15" t="s">
        <v>68</v>
      </c>
      <c r="C18" s="11"/>
      <c r="D18" s="49"/>
      <c r="E18" s="6"/>
      <c r="G18" s="11"/>
      <c r="I18" s="7">
        <v>3000000</v>
      </c>
      <c r="J18" s="6">
        <f ca="1">IFERROR(ROUND(I18/$J$23,0),0)</f>
        <v>0</v>
      </c>
      <c r="L18" s="6"/>
      <c r="N18" s="6">
        <f ca="1">C18+E18+G18+J18+L18</f>
        <v>0</v>
      </c>
      <c r="O18" s="18" t="e">
        <f ca="1">N18/$N$21</f>
        <v>#REF!</v>
      </c>
    </row>
    <row r="19" spans="2:15" x14ac:dyDescent="0.2">
      <c r="B19" s="15" t="s">
        <v>78</v>
      </c>
      <c r="C19" s="11"/>
      <c r="D19" s="10" t="e">
        <f>#REF!</f>
        <v>#REF!</v>
      </c>
      <c r="E19" s="6">
        <f ca="1">IFERROR(ROUND(D19/$E$23,0),0)</f>
        <v>0</v>
      </c>
      <c r="G19" s="11"/>
      <c r="I19" s="49"/>
      <c r="J19" s="6"/>
      <c r="L19" s="6"/>
      <c r="N19" s="6">
        <f ca="1">C19+E19+G19+J19+L19</f>
        <v>0</v>
      </c>
      <c r="O19" s="18" t="e">
        <f ca="1">N19/$N$21</f>
        <v>#REF!</v>
      </c>
    </row>
    <row r="20" spans="2:15" x14ac:dyDescent="0.2">
      <c r="B20" s="16"/>
      <c r="C20" s="11"/>
      <c r="D20" s="49"/>
      <c r="E20" s="11"/>
      <c r="G20" s="11"/>
      <c r="I20" s="49"/>
      <c r="J20" s="11"/>
      <c r="L20" s="11"/>
      <c r="N20" s="11"/>
      <c r="O20" s="42"/>
    </row>
    <row r="21" spans="2:15" x14ac:dyDescent="0.2">
      <c r="B21" s="17" t="s">
        <v>69</v>
      </c>
      <c r="C21" s="44" t="e">
        <f>SUM(C8:C19)</f>
        <v>#REF!</v>
      </c>
      <c r="D21" s="47" t="e">
        <f>SUM(D8:D19)</f>
        <v>#REF!</v>
      </c>
      <c r="E21" s="46">
        <f ca="1">SUM(E8:E19)</f>
        <v>0</v>
      </c>
      <c r="G21" s="44" t="e">
        <f>SUM(G8:G19)</f>
        <v>#REF!</v>
      </c>
      <c r="I21" s="47">
        <f>SUM(I8:I19)</f>
        <v>20000000</v>
      </c>
      <c r="J21" s="46">
        <f ca="1">SUM(J8:J19)</f>
        <v>0</v>
      </c>
      <c r="L21" s="44">
        <f>SUM(L8:L19)</f>
        <v>0</v>
      </c>
      <c r="N21" s="44" t="e">
        <f>SUM(N14,N16:N19)</f>
        <v>#REF!</v>
      </c>
      <c r="O21" s="45" t="e">
        <f>SUM(O14,O16:O19)</f>
        <v>#REF!</v>
      </c>
    </row>
    <row r="22" spans="2:15" ht="13.75" customHeight="1" thickBot="1" x14ac:dyDescent="0.25">
      <c r="B22" s="16"/>
      <c r="C22" s="34"/>
      <c r="D22" s="2"/>
      <c r="E22" s="2"/>
      <c r="G22" s="34"/>
      <c r="I22" s="2"/>
      <c r="J22" s="2"/>
      <c r="L22" s="34"/>
      <c r="N22" s="34"/>
      <c r="O22" s="51"/>
    </row>
    <row r="23" spans="2:15" ht="13.75" customHeight="1" thickBot="1" x14ac:dyDescent="0.25">
      <c r="B23" s="16" t="s">
        <v>70</v>
      </c>
      <c r="C23" s="2"/>
      <c r="D23" s="2"/>
      <c r="E23" s="52">
        <f ca="1">IFERROR(ROUND(50000000/(C14+G11+G12+E21),4),0)</f>
        <v>0</v>
      </c>
      <c r="G23" s="2"/>
      <c r="I23" s="2"/>
      <c r="J23" s="52">
        <f ca="1">IFERROR(ROUND(J24/(C14+G11+G12+L12+E21),4),0)</f>
        <v>0</v>
      </c>
      <c r="L23" s="2"/>
      <c r="N23" s="2"/>
      <c r="O23" s="43"/>
    </row>
    <row r="24" spans="2:15" x14ac:dyDescent="0.2">
      <c r="B24" s="16" t="s">
        <v>71</v>
      </c>
      <c r="C24" s="2"/>
      <c r="D24" s="2"/>
      <c r="E24" s="2"/>
      <c r="G24" s="2"/>
      <c r="I24" s="2"/>
      <c r="J24" s="7">
        <v>60000000</v>
      </c>
      <c r="L24" s="2"/>
      <c r="N24" s="2"/>
      <c r="O24" s="43"/>
    </row>
    <row r="25" spans="2:15" ht="13.75" customHeight="1" thickBot="1" x14ac:dyDescent="0.25">
      <c r="B25" s="38" t="s">
        <v>72</v>
      </c>
      <c r="C25" s="36"/>
      <c r="D25" s="36"/>
      <c r="E25" s="36"/>
      <c r="F25" s="14"/>
      <c r="G25" s="36"/>
      <c r="H25" s="14"/>
      <c r="I25" s="36"/>
      <c r="J25" s="53">
        <f>J24+I21</f>
        <v>80000000</v>
      </c>
      <c r="K25" s="14"/>
      <c r="L25" s="36"/>
      <c r="M25" s="14"/>
      <c r="N25" s="36"/>
      <c r="O25" s="48"/>
    </row>
    <row r="27" spans="2:15" x14ac:dyDescent="0.2">
      <c r="B27" s="3" t="s">
        <v>73</v>
      </c>
    </row>
    <row r="29" spans="2:15" x14ac:dyDescent="0.2">
      <c r="B29" s="3" t="s">
        <v>75</v>
      </c>
      <c r="C29" s="3"/>
    </row>
    <row r="30" spans="2:15" x14ac:dyDescent="0.2">
      <c r="B30" s="3" t="s">
        <v>74</v>
      </c>
      <c r="C30" s="22">
        <f>I21</f>
        <v>20000000</v>
      </c>
    </row>
    <row r="31" spans="2:15" x14ac:dyDescent="0.2">
      <c r="B31" s="3" t="s">
        <v>87</v>
      </c>
      <c r="C31" s="4">
        <f>I21/J25</f>
        <v>0.25</v>
      </c>
    </row>
    <row r="32" spans="2:15" x14ac:dyDescent="0.2">
      <c r="B32" s="3" t="s">
        <v>88</v>
      </c>
      <c r="C32" s="8">
        <v>0.1</v>
      </c>
    </row>
    <row r="33" spans="2:3" x14ac:dyDescent="0.2">
      <c r="B33" s="3" t="s">
        <v>82</v>
      </c>
      <c r="C33" s="39">
        <v>50000000</v>
      </c>
    </row>
    <row r="34" spans="2:3" x14ac:dyDescent="0.2">
      <c r="B34" s="3" t="s">
        <v>89</v>
      </c>
      <c r="C34" s="21">
        <f ca="1">E23</f>
        <v>0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67316-53BC-114B-A078-C25AAB6A57B9}">
  <dimension ref="A1:J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27"/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2">
      <c r="A2" s="27"/>
      <c r="B2" s="27"/>
      <c r="C2" s="27"/>
      <c r="D2" s="27"/>
      <c r="E2" s="27"/>
      <c r="F2" s="27"/>
      <c r="G2" s="27"/>
      <c r="H2" s="28" t="s">
        <v>1</v>
      </c>
      <c r="I2" s="27"/>
      <c r="J2" s="27"/>
    </row>
    <row r="3" spans="1:10" x14ac:dyDescent="0.2">
      <c r="A3" s="27"/>
      <c r="B3" s="28" t="s">
        <v>2</v>
      </c>
      <c r="C3" s="28" t="s">
        <v>3</v>
      </c>
      <c r="D3" s="28" t="s">
        <v>4</v>
      </c>
      <c r="E3" s="28" t="s">
        <v>5</v>
      </c>
      <c r="F3" s="28" t="s">
        <v>6</v>
      </c>
      <c r="G3" s="28" t="s">
        <v>0</v>
      </c>
      <c r="H3" s="28" t="s">
        <v>7</v>
      </c>
      <c r="I3" s="27"/>
      <c r="J3" s="27"/>
    </row>
    <row r="4" spans="1:10" x14ac:dyDescent="0.2">
      <c r="A4" s="27"/>
      <c r="B4" s="27" t="s">
        <v>8</v>
      </c>
      <c r="C4" s="29">
        <v>3600000</v>
      </c>
      <c r="D4" s="29"/>
      <c r="E4" s="29"/>
      <c r="F4" s="29"/>
      <c r="G4" s="29">
        <f>SUM(C4:F4)</f>
        <v>3600000</v>
      </c>
      <c r="H4" s="30">
        <f>G4/$G$23</f>
        <v>0.36959987630724139</v>
      </c>
      <c r="I4" s="27"/>
      <c r="J4" s="27"/>
    </row>
    <row r="5" spans="1:10" x14ac:dyDescent="0.2">
      <c r="A5" s="27"/>
      <c r="B5" s="27" t="s">
        <v>9</v>
      </c>
      <c r="C5" s="29">
        <v>3600000</v>
      </c>
      <c r="D5" s="29"/>
      <c r="E5" s="29"/>
      <c r="F5" s="29"/>
      <c r="G5" s="29">
        <f>SUM(C5:F5)</f>
        <v>3600000</v>
      </c>
      <c r="H5" s="30">
        <f>G5/$G$23</f>
        <v>0.36959987630724139</v>
      </c>
      <c r="I5" s="27"/>
      <c r="J5" s="27"/>
    </row>
    <row r="6" spans="1:10" x14ac:dyDescent="0.2">
      <c r="A6" s="27"/>
      <c r="B6" s="27" t="s">
        <v>10</v>
      </c>
      <c r="C6" s="29">
        <v>222187</v>
      </c>
      <c r="D6" s="29"/>
      <c r="E6" s="29"/>
      <c r="F6" s="29"/>
      <c r="G6" s="29">
        <f>SUM(C6:F6)</f>
        <v>222187</v>
      </c>
      <c r="H6" s="30">
        <f>G6/$G$23</f>
        <v>2.28111910325214E-2</v>
      </c>
      <c r="I6" s="27"/>
      <c r="J6" s="27"/>
    </row>
    <row r="7" spans="1:10" x14ac:dyDescent="0.2">
      <c r="A7" s="27"/>
      <c r="B7" s="27" t="s">
        <v>11</v>
      </c>
      <c r="C7" s="29">
        <v>592500</v>
      </c>
      <c r="D7" s="29"/>
      <c r="E7" s="29"/>
      <c r="F7" s="29"/>
      <c r="G7" s="29">
        <f>SUM(C7:F7)</f>
        <v>592500</v>
      </c>
      <c r="H7" s="30">
        <f>G7/$G$23</f>
        <v>6.0829979642233481E-2</v>
      </c>
      <c r="I7" s="27"/>
      <c r="J7" s="27"/>
    </row>
    <row r="8" spans="1:10" x14ac:dyDescent="0.2">
      <c r="A8" s="27"/>
      <c r="B8" s="27" t="s">
        <v>12</v>
      </c>
      <c r="C8" s="29">
        <v>592500</v>
      </c>
      <c r="D8" s="29"/>
      <c r="E8" s="29"/>
      <c r="F8" s="29"/>
      <c r="G8" s="29">
        <f>SUM(C8:F8)</f>
        <v>592500</v>
      </c>
      <c r="H8" s="30">
        <f>G8/$G$23</f>
        <v>6.0829979642233481E-2</v>
      </c>
      <c r="I8" s="27"/>
      <c r="J8" s="27"/>
    </row>
    <row r="9" spans="1:10" x14ac:dyDescent="0.2">
      <c r="A9" s="27"/>
      <c r="B9" s="27" t="s">
        <v>13</v>
      </c>
      <c r="C9" s="29">
        <v>13500</v>
      </c>
      <c r="D9" s="29">
        <v>98900</v>
      </c>
      <c r="E9" s="29"/>
      <c r="F9" s="29"/>
      <c r="G9" s="29">
        <f>SUM(C9:F9)</f>
        <v>112400</v>
      </c>
      <c r="H9" s="30">
        <f>G9/$G$23</f>
        <v>1.1539729471370537E-2</v>
      </c>
      <c r="I9" s="27"/>
      <c r="J9" s="27"/>
    </row>
    <row r="10" spans="1:10" x14ac:dyDescent="0.2">
      <c r="A10" s="27"/>
      <c r="B10" s="27" t="s">
        <v>14</v>
      </c>
      <c r="C10" s="29">
        <v>9000</v>
      </c>
      <c r="D10" s="29"/>
      <c r="E10" s="29"/>
      <c r="F10" s="29"/>
      <c r="G10" s="29">
        <f>SUM(C10:F10)</f>
        <v>9000</v>
      </c>
      <c r="H10" s="30">
        <f>G10/$G$23</f>
        <v>9.2399969076810353E-4</v>
      </c>
      <c r="I10" s="27"/>
      <c r="J10" s="27"/>
    </row>
    <row r="11" spans="1:10" x14ac:dyDescent="0.2">
      <c r="A11" s="27"/>
      <c r="B11" s="27" t="s">
        <v>15</v>
      </c>
      <c r="C11" s="29"/>
      <c r="D11" s="29">
        <v>95000</v>
      </c>
      <c r="E11" s="29"/>
      <c r="F11" s="29"/>
      <c r="G11" s="29">
        <f>SUM(C11:F11)</f>
        <v>95000</v>
      </c>
      <c r="H11" s="30">
        <f>G11/$G$23</f>
        <v>9.7533300692188695E-3</v>
      </c>
      <c r="I11" s="27"/>
      <c r="J11" s="27"/>
    </row>
    <row r="12" spans="1:10" x14ac:dyDescent="0.2">
      <c r="A12" s="27"/>
      <c r="B12" s="27" t="s">
        <v>16</v>
      </c>
      <c r="C12" s="29"/>
      <c r="D12" s="29"/>
      <c r="E12" s="29">
        <v>25000</v>
      </c>
      <c r="F12" s="29"/>
      <c r="G12" s="29">
        <f>SUM(C12:F12)</f>
        <v>25000</v>
      </c>
      <c r="H12" s="30">
        <f>G12/$G$23</f>
        <v>2.5666658076891765E-3</v>
      </c>
      <c r="I12" s="27"/>
      <c r="J12" s="27"/>
    </row>
    <row r="13" spans="1:10" x14ac:dyDescent="0.2">
      <c r="A13" s="27"/>
      <c r="B13" s="27" t="s">
        <v>17</v>
      </c>
      <c r="C13" s="29"/>
      <c r="D13" s="29"/>
      <c r="E13" s="29">
        <v>41562</v>
      </c>
      <c r="F13" s="29"/>
      <c r="G13" s="29">
        <f>SUM(C13:F13)</f>
        <v>41562</v>
      </c>
      <c r="H13" s="30">
        <f>G13/$G$23</f>
        <v>4.2670305719671019E-3</v>
      </c>
      <c r="I13" s="27"/>
      <c r="J13" s="27"/>
    </row>
    <row r="14" spans="1:10" x14ac:dyDescent="0.2">
      <c r="A14" s="27"/>
      <c r="B14" s="27" t="s">
        <v>18</v>
      </c>
      <c r="C14" s="29"/>
      <c r="D14" s="29">
        <v>285000</v>
      </c>
      <c r="E14" s="29"/>
      <c r="F14" s="29"/>
      <c r="G14" s="29">
        <f>SUM(C14:F14)</f>
        <v>285000</v>
      </c>
      <c r="H14" s="30">
        <f>G14/$G$23</f>
        <v>2.925999020765661E-2</v>
      </c>
      <c r="I14" s="27"/>
      <c r="J14" s="27"/>
    </row>
    <row r="15" spans="1:10" x14ac:dyDescent="0.2">
      <c r="A15" s="27"/>
      <c r="B15" s="27" t="s">
        <v>19</v>
      </c>
      <c r="C15" s="29"/>
      <c r="D15" s="29">
        <v>50000</v>
      </c>
      <c r="E15" s="29"/>
      <c r="F15" s="29"/>
      <c r="G15" s="29">
        <f>SUM(C15:F15)</f>
        <v>50000</v>
      </c>
      <c r="H15" s="30">
        <f>G15/$G$23</f>
        <v>5.133331615378353E-3</v>
      </c>
      <c r="I15" s="27"/>
      <c r="J15" s="27"/>
    </row>
    <row r="16" spans="1:10" x14ac:dyDescent="0.2">
      <c r="A16" s="27"/>
      <c r="B16" s="27" t="s">
        <v>20</v>
      </c>
      <c r="C16" s="29"/>
      <c r="D16" s="29">
        <v>285000</v>
      </c>
      <c r="E16" s="29"/>
      <c r="F16" s="29"/>
      <c r="G16" s="29">
        <f>SUM(C16:F16)</f>
        <v>285000</v>
      </c>
      <c r="H16" s="30">
        <f>G16/$G$23</f>
        <v>2.925999020765661E-2</v>
      </c>
      <c r="I16" s="27"/>
      <c r="J16" s="27"/>
    </row>
    <row r="17" spans="1:10" x14ac:dyDescent="0.2">
      <c r="A17" s="27"/>
      <c r="B17" s="27" t="s">
        <v>21</v>
      </c>
      <c r="C17" s="29"/>
      <c r="D17" s="29"/>
      <c r="E17" s="29">
        <v>96186</v>
      </c>
      <c r="F17" s="29"/>
      <c r="G17" s="29">
        <f>SUM(C17:F17)</f>
        <v>96186</v>
      </c>
      <c r="H17" s="30">
        <f>G17/$G$23</f>
        <v>9.8750926951356455E-3</v>
      </c>
      <c r="I17" s="27"/>
      <c r="J17" s="27"/>
    </row>
    <row r="18" spans="1:10" x14ac:dyDescent="0.2">
      <c r="A18" s="27"/>
      <c r="B18" s="27" t="s">
        <v>22</v>
      </c>
      <c r="C18" s="29"/>
      <c r="D18" s="29"/>
      <c r="E18" s="29">
        <v>48095</v>
      </c>
      <c r="F18" s="29"/>
      <c r="G18" s="29">
        <f>SUM(C18:F18)</f>
        <v>48095</v>
      </c>
      <c r="H18" s="30">
        <f>G18/$G$23</f>
        <v>4.9377516808324371E-3</v>
      </c>
      <c r="I18" s="27"/>
      <c r="J18" s="27"/>
    </row>
    <row r="19" spans="1:10" x14ac:dyDescent="0.2">
      <c r="A19" s="27"/>
      <c r="B19" s="27" t="s">
        <v>23</v>
      </c>
      <c r="C19" s="29"/>
      <c r="D19" s="29"/>
      <c r="E19" s="29"/>
      <c r="F19" s="29">
        <v>12395</v>
      </c>
      <c r="G19" s="29">
        <f>SUM(C19:F19)</f>
        <v>12395</v>
      </c>
      <c r="H19" s="30">
        <f>G19/$G$23</f>
        <v>1.2725529074522936E-3</v>
      </c>
      <c r="I19" s="27"/>
      <c r="J19" s="27"/>
    </row>
    <row r="20" spans="1:10" x14ac:dyDescent="0.2">
      <c r="A20" s="27"/>
      <c r="B20" s="27" t="s">
        <v>24</v>
      </c>
      <c r="C20" s="29"/>
      <c r="D20" s="29"/>
      <c r="E20" s="29"/>
      <c r="F20" s="29">
        <v>8333</v>
      </c>
      <c r="G20" s="29">
        <f>SUM(C20:F20)</f>
        <v>8333</v>
      </c>
      <c r="H20" s="30">
        <f>G20/$G$23</f>
        <v>8.5552104701895626E-4</v>
      </c>
      <c r="I20" s="27"/>
      <c r="J20" s="27"/>
    </row>
    <row r="21" spans="1:10" ht="15.75" customHeight="1" x14ac:dyDescent="0.2">
      <c r="A21" s="27"/>
      <c r="B21" s="27" t="s">
        <v>25</v>
      </c>
      <c r="C21" s="29"/>
      <c r="D21" s="29">
        <v>65105</v>
      </c>
      <c r="E21" s="29"/>
      <c r="F21" s="29"/>
      <c r="G21" s="29">
        <f>SUM(C21:F21)</f>
        <v>65105</v>
      </c>
      <c r="H21" s="30">
        <f>G21/$G$23</f>
        <v>6.6841110963841528E-3</v>
      </c>
      <c r="I21" s="27"/>
      <c r="J21" s="27"/>
    </row>
    <row r="22" spans="1:10" ht="15.75" customHeight="1" x14ac:dyDescent="0.2">
      <c r="A22" s="27"/>
      <c r="B22" s="27"/>
      <c r="C22" s="29"/>
      <c r="D22" s="29"/>
      <c r="E22" s="29"/>
      <c r="F22" s="29"/>
      <c r="G22" s="29"/>
      <c r="H22" s="30"/>
      <c r="I22" s="27"/>
      <c r="J22" s="27"/>
    </row>
    <row r="23" spans="1:10" ht="15.75" customHeight="1" x14ac:dyDescent="0.2">
      <c r="A23" s="27"/>
      <c r="B23" s="28" t="s">
        <v>0</v>
      </c>
      <c r="C23" s="29">
        <f>SUM(C4:C21)</f>
        <v>8629687</v>
      </c>
      <c r="D23" s="29">
        <f>SUM(D4:D21)</f>
        <v>879005</v>
      </c>
      <c r="E23" s="29">
        <f>SUM(E4:E21)</f>
        <v>210843</v>
      </c>
      <c r="F23" s="29">
        <f>SUM(F4:F21)</f>
        <v>20728</v>
      </c>
      <c r="G23" s="29">
        <f>SUM(G4:G21)</f>
        <v>9740263</v>
      </c>
      <c r="H23" s="30"/>
      <c r="I23" s="27"/>
      <c r="J23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BC71C-70E7-7F4D-8D3B-146049E1735A}">
  <dimension ref="A1:F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27"/>
      <c r="B1" s="27"/>
      <c r="C1" s="27"/>
      <c r="D1" s="27"/>
      <c r="E1" s="27"/>
      <c r="F1" s="27"/>
    </row>
    <row r="2" spans="1:6" x14ac:dyDescent="0.2">
      <c r="A2" s="27"/>
      <c r="B2" s="27"/>
      <c r="C2" s="27"/>
      <c r="D2" s="27"/>
      <c r="E2" s="27"/>
      <c r="F2" s="27"/>
    </row>
    <row r="3" spans="1:6" x14ac:dyDescent="0.2">
      <c r="A3" s="27"/>
      <c r="B3" s="28" t="s">
        <v>2</v>
      </c>
      <c r="C3" s="28" t="s">
        <v>26</v>
      </c>
      <c r="D3" s="27"/>
      <c r="E3" s="28" t="s">
        <v>27</v>
      </c>
      <c r="F3" s="27"/>
    </row>
    <row r="4" spans="1:6" x14ac:dyDescent="0.2">
      <c r="A4" s="27"/>
      <c r="B4" s="27" t="s">
        <v>13</v>
      </c>
      <c r="C4" s="31">
        <v>25000</v>
      </c>
      <c r="D4" s="27"/>
      <c r="E4" s="27" t="s">
        <v>28</v>
      </c>
      <c r="F4" s="27"/>
    </row>
    <row r="5" spans="1:6" x14ac:dyDescent="0.2">
      <c r="A5" s="27"/>
      <c r="B5" s="27" t="s">
        <v>14</v>
      </c>
      <c r="C5" s="31">
        <v>25000</v>
      </c>
      <c r="D5" s="27"/>
      <c r="E5" s="27"/>
      <c r="F5" s="27"/>
    </row>
    <row r="6" spans="1:6" ht="15.75" customHeight="1" x14ac:dyDescent="0.2">
      <c r="A6" s="27"/>
      <c r="B6" s="27" t="s">
        <v>29</v>
      </c>
      <c r="C6" s="31">
        <v>137170.75</v>
      </c>
      <c r="D6" s="27"/>
      <c r="E6" s="27"/>
      <c r="F6" s="27"/>
    </row>
    <row r="7" spans="1:6" ht="15.75" customHeight="1" x14ac:dyDescent="0.2">
      <c r="A7" s="27"/>
      <c r="B7" s="27" t="s">
        <v>30</v>
      </c>
      <c r="C7" s="31">
        <v>3846829.25</v>
      </c>
      <c r="D7" s="27"/>
      <c r="E7" s="27"/>
      <c r="F7" s="27"/>
    </row>
    <row r="8" spans="1:6" ht="15.75" customHeight="1" x14ac:dyDescent="0.2">
      <c r="A8" s="27"/>
      <c r="B8" s="27" t="s">
        <v>31</v>
      </c>
      <c r="C8" s="31">
        <v>16566</v>
      </c>
      <c r="D8" s="27"/>
      <c r="E8" s="27" t="s">
        <v>79</v>
      </c>
      <c r="F8" s="27"/>
    </row>
    <row r="9" spans="1:6" ht="15.75" customHeight="1" x14ac:dyDescent="0.2">
      <c r="A9" s="27"/>
      <c r="B9" s="27" t="s">
        <v>32</v>
      </c>
      <c r="C9" s="31">
        <v>250000</v>
      </c>
      <c r="D9" s="27"/>
      <c r="E9" s="27"/>
      <c r="F9" s="27"/>
    </row>
    <row r="10" spans="1:6" ht="15.75" customHeight="1" x14ac:dyDescent="0.2">
      <c r="A10" s="27"/>
      <c r="B10" s="27" t="s">
        <v>33</v>
      </c>
      <c r="C10" s="31">
        <v>100000</v>
      </c>
      <c r="D10" s="27"/>
      <c r="E10" s="27"/>
      <c r="F10" s="27"/>
    </row>
    <row r="11" spans="1:6" ht="15.75" customHeight="1" x14ac:dyDescent="0.2">
      <c r="A11" s="27"/>
      <c r="B11" s="27" t="s">
        <v>34</v>
      </c>
      <c r="C11" s="31">
        <v>300000</v>
      </c>
      <c r="D11" s="27"/>
      <c r="E11" s="27" t="s">
        <v>28</v>
      </c>
      <c r="F11" s="27"/>
    </row>
    <row r="12" spans="1:6" ht="15.75" customHeight="1" x14ac:dyDescent="0.2">
      <c r="A12" s="27"/>
      <c r="B12" s="27" t="s">
        <v>35</v>
      </c>
      <c r="C12" s="31">
        <v>37500</v>
      </c>
      <c r="D12" s="27"/>
      <c r="E12" s="27" t="s">
        <v>36</v>
      </c>
      <c r="F12" s="27"/>
    </row>
    <row r="13" spans="1:6" ht="15.75" customHeight="1" x14ac:dyDescent="0.2">
      <c r="A13" s="27"/>
      <c r="B13" s="27" t="s">
        <v>37</v>
      </c>
      <c r="C13" s="31">
        <v>250000</v>
      </c>
      <c r="D13" s="27"/>
      <c r="E13" s="27"/>
      <c r="F13" s="27"/>
    </row>
    <row r="14" spans="1:6" ht="15.75" customHeight="1" x14ac:dyDescent="0.2">
      <c r="A14" s="27"/>
      <c r="B14" s="27" t="s">
        <v>38</v>
      </c>
      <c r="C14" s="31">
        <v>100000</v>
      </c>
      <c r="D14" s="27"/>
      <c r="E14" s="27"/>
      <c r="F14" s="27"/>
    </row>
    <row r="15" spans="1:6" ht="15.75" customHeight="1" x14ac:dyDescent="0.2">
      <c r="A15" s="27"/>
      <c r="B15" s="27" t="s">
        <v>39</v>
      </c>
      <c r="C15" s="31">
        <v>41164</v>
      </c>
      <c r="D15" s="27"/>
      <c r="E15" s="27" t="s">
        <v>79</v>
      </c>
      <c r="F15" s="27"/>
    </row>
    <row r="16" spans="1:6" ht="15.75" customHeight="1" x14ac:dyDescent="0.2">
      <c r="A16" s="27"/>
      <c r="B16" s="27" t="s">
        <v>40</v>
      </c>
      <c r="C16" s="31">
        <v>2328778</v>
      </c>
      <c r="D16" s="27"/>
      <c r="E16" s="27" t="s">
        <v>79</v>
      </c>
      <c r="F16" s="27"/>
    </row>
    <row r="17" spans="1:6" ht="15.75" customHeight="1" x14ac:dyDescent="0.2">
      <c r="A17" s="27"/>
      <c r="B17" s="27" t="s">
        <v>41</v>
      </c>
      <c r="C17" s="31">
        <v>1506000</v>
      </c>
      <c r="D17" s="27"/>
      <c r="E17" s="27" t="s">
        <v>42</v>
      </c>
      <c r="F17" s="27"/>
    </row>
    <row r="18" spans="1:6" ht="15.75" customHeight="1" x14ac:dyDescent="0.2">
      <c r="A18" s="27"/>
      <c r="B18" s="27" t="s">
        <v>43</v>
      </c>
      <c r="C18" s="31">
        <v>50000</v>
      </c>
      <c r="D18" s="27"/>
      <c r="E18" s="27"/>
      <c r="F18" s="27"/>
    </row>
    <row r="19" spans="1:6" ht="15.75" customHeight="1" x14ac:dyDescent="0.2">
      <c r="A19" s="27"/>
      <c r="B19" s="27" t="s">
        <v>44</v>
      </c>
      <c r="C19" s="31">
        <v>212500</v>
      </c>
      <c r="D19" s="27"/>
      <c r="E19" s="27" t="s">
        <v>36</v>
      </c>
      <c r="F19" s="27"/>
    </row>
    <row r="20" spans="1:6" ht="15.75" customHeight="1" x14ac:dyDescent="0.2">
      <c r="A20" s="27"/>
      <c r="B20" s="27" t="s">
        <v>45</v>
      </c>
      <c r="C20" s="31">
        <v>25000</v>
      </c>
      <c r="D20" s="27"/>
      <c r="E20" s="27"/>
      <c r="F20" s="27"/>
    </row>
    <row r="21" spans="1:6" ht="15.75" customHeight="1" x14ac:dyDescent="0.2">
      <c r="A21" s="27"/>
      <c r="B21" s="27" t="s">
        <v>46</v>
      </c>
      <c r="C21" s="31">
        <v>61746</v>
      </c>
      <c r="D21" s="27"/>
      <c r="E21" s="27" t="s">
        <v>79</v>
      </c>
      <c r="F21" s="27"/>
    </row>
    <row r="22" spans="1:6" ht="15.75" customHeight="1" x14ac:dyDescent="0.2">
      <c r="A22" s="27"/>
      <c r="B22" s="27" t="s">
        <v>47</v>
      </c>
      <c r="C22" s="31">
        <v>100000</v>
      </c>
      <c r="D22" s="27"/>
      <c r="E22" s="27"/>
      <c r="F22" s="27"/>
    </row>
    <row r="23" spans="1:6" ht="15.75" customHeight="1" x14ac:dyDescent="0.2">
      <c r="A23" s="27"/>
      <c r="B23" s="27" t="s">
        <v>48</v>
      </c>
      <c r="C23" s="31">
        <v>100000</v>
      </c>
      <c r="D23" s="27"/>
      <c r="E23" s="27"/>
      <c r="F23" s="27"/>
    </row>
    <row r="24" spans="1:6" ht="15.75" customHeight="1" x14ac:dyDescent="0.2">
      <c r="A24" s="27"/>
      <c r="B24" s="27" t="s">
        <v>49</v>
      </c>
      <c r="C24" s="31">
        <v>61746</v>
      </c>
      <c r="D24" s="27"/>
      <c r="E24" s="27" t="s">
        <v>79</v>
      </c>
      <c r="F24" s="27"/>
    </row>
    <row r="25" spans="1:6" ht="15.75" customHeight="1" x14ac:dyDescent="0.2">
      <c r="A25" s="27"/>
      <c r="B25" s="27" t="s">
        <v>50</v>
      </c>
      <c r="C25" s="31">
        <v>250000</v>
      </c>
      <c r="D25" s="27"/>
      <c r="E25" s="27" t="s">
        <v>51</v>
      </c>
      <c r="F25" s="27"/>
    </row>
    <row r="26" spans="1:6" ht="15.75" customHeight="1" x14ac:dyDescent="0.2">
      <c r="A26" s="27"/>
      <c r="B26" s="27"/>
      <c r="C26" s="31"/>
      <c r="D26" s="27"/>
      <c r="E26" s="27"/>
      <c r="F26" s="27"/>
    </row>
    <row r="27" spans="1:6" ht="15.75" customHeight="1" x14ac:dyDescent="0.2">
      <c r="A27" s="27"/>
      <c r="B27" s="27" t="s">
        <v>0</v>
      </c>
      <c r="C27" s="31">
        <f>SUM(C4:C25)</f>
        <v>9825000</v>
      </c>
      <c r="D27" s="27"/>
      <c r="E27" s="27"/>
      <c r="F27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Series A</vt:lpstr>
      <vt:lpstr>Detailed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2026-04-14T21:35:31Z</dcterms:modified>
</cp:coreProperties>
</file>