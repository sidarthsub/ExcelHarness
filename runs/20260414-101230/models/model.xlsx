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697DD009-A20A-EF49-90B3-0FDB66A0933D}" xr6:coauthVersionLast="47" xr6:coauthVersionMax="47" xr10:uidLastSave="{00000000-0000-0000-0000-000000000000}"/>
  <bookViews>
    <workbookView xWindow="0" yWindow="760" windowWidth="29400" windowHeight="17180" activeTab="2" xr2:uid="{00000000-000D-0000-FFFF-FFFF00000000}"/>
  </bookViews>
  <sheets>
    <sheet name="__temp__" sheetId="103" r:id="rId1"/>
    <sheet name="SidekickCapTable" sheetId="111" r:id="rId2"/>
    <sheet name="Inputs" sheetId="112" r:id="rId3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12" l="1"/>
  <c r="C32" i="112"/>
  <c r="C31" i="112"/>
  <c r="C10" i="112"/>
  <c r="C51" i="111"/>
  <c r="G23" i="111"/>
  <c r="F23" i="111"/>
  <c r="E23" i="111"/>
  <c r="D23" i="111"/>
  <c r="C23" i="111"/>
  <c r="H21" i="111"/>
  <c r="H20" i="111"/>
  <c r="H19" i="111"/>
  <c r="H18" i="111"/>
  <c r="H17" i="111"/>
  <c r="H16" i="111"/>
  <c r="H15" i="111"/>
  <c r="H14" i="111"/>
  <c r="H13" i="111"/>
  <c r="H12" i="111"/>
  <c r="H11" i="111"/>
  <c r="H10" i="111"/>
  <c r="H9" i="111"/>
  <c r="H8" i="111"/>
  <c r="H7" i="111"/>
  <c r="H6" i="111"/>
  <c r="H5" i="111"/>
  <c r="H4" i="111"/>
  <c r="G21" i="111"/>
  <c r="G20" i="111"/>
  <c r="G19" i="111"/>
  <c r="G18" i="111"/>
  <c r="G17" i="111"/>
  <c r="G16" i="111"/>
  <c r="G15" i="111"/>
  <c r="G14" i="111"/>
  <c r="G13" i="111"/>
  <c r="G12" i="111"/>
  <c r="G11" i="111"/>
  <c r="G10" i="111"/>
  <c r="G9" i="111"/>
  <c r="G8" i="111"/>
  <c r="G7" i="111"/>
  <c r="G6" i="111"/>
  <c r="G5" i="111"/>
  <c r="G4" i="111"/>
</calcChain>
</file>

<file path=xl/sharedStrings.xml><?xml version="1.0" encoding="utf-8"?>
<sst xmlns="http://schemas.openxmlformats.org/spreadsheetml/2006/main" count="92" uniqueCount="80">
  <si>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</si>
  <si>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</si>
  <si>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</si>
  <si>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</si>
  <si>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</si>
  <si>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</si>
  <si>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</si>
  <si>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</si>
  <si>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</si>
  <si>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</si>
  <si>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</si>
  <si>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</si>
  <si>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</si>
  <si>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</si>
  <si>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</si>
  <si>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</si>
  <si>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</si>
  <si>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</si>
  <si>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</si>
  <si>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</si>
  <si>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</si>
  <si>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</si>
  <si>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</si>
  <si>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</si>
  <si>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</si>
  <si>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</si>
  <si>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</si>
  <si>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</si>
  <si>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</si>
  <si>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</si>
  <si>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</si>
  <si>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</si>
  <si>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</si>
  <si>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</si>
  <si>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</si>
  <si>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</si>
  <si>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</si>
  <si>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</si>
  <si>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</si>
  <si>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</si>
  <si>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</si>
  <si>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</si>
  <si>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</si>
  <si>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</si>
  <si>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</si>
  <si>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</si>
  <si>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</si>
  <si>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</si>
  <si>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</si>
  <si>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</si>
  <si>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</si>
  <si>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</si>
  <si>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SAFE Investments</t>
  </si>
  <si>
    <t>Other Series A Investors</t>
  </si>
  <si>
    <t>Pre-Money Valuation</t>
  </si>
  <si>
    <t>1011 Ventures Investment</t>
  </si>
  <si>
    <t>Accomplice Investment</t>
  </si>
  <si>
    <t>SAFE Post-Money Valuation Cap</t>
  </si>
  <si>
    <t>Transfer from Owl Rocl Capital II, LLC (Accomplice)</t>
  </si>
  <si>
    <t>Sidekick (Think More Security, Inc.)</t>
  </si>
  <si>
    <t>Investment Model Inputs</t>
  </si>
  <si>
    <t>Series A Assumptions</t>
  </si>
  <si>
    <t>Total Series A Raise</t>
  </si>
  <si>
    <t>Check: Total = Sum of investors</t>
  </si>
  <si>
    <t>SAFE Conversion</t>
  </si>
  <si>
    <t>Series A Option Pool</t>
  </si>
  <si>
    <t>Option Pool Target (% of post-A FD)</t>
  </si>
  <si>
    <t>Series B Assumptions</t>
  </si>
  <si>
    <t>Total Series B Raise</t>
  </si>
  <si>
    <t>New Other Series B Investors</t>
  </si>
  <si>
    <t>Pro-Rata Participant Tranche</t>
  </si>
  <si>
    <t>Series B Option Pool Gross Top-Up (% of post-B FD)</t>
  </si>
  <si>
    <t>Waterfall Assumptions</t>
  </si>
  <si>
    <t>Transaction Expense Rate</t>
  </si>
  <si>
    <t>Management Carveout Rate</t>
  </si>
  <si>
    <t>Key Dates</t>
  </si>
  <si>
    <t>1011 Ventures First Investment Date (Series A Close)</t>
  </si>
  <si>
    <t>Series B Close Date</t>
  </si>
  <si>
    <t>Assumed Exit Date (Post-A)</t>
  </si>
  <si>
    <t>Assumed Exit Date (Post-B)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</si>
</sst>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5" formatCode="&quot;$&quot;#,##0_);\(&quot;$&quot;#,##0\)"/>
    <numFmt numFmtId="164" formatCode="&quot;$&quot;#,##0"/>
    <numFmt numFmtId="165" formatCode="0.0%"/>
  </numFmts>
  <fonts count="2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Garamond"/>
      <family val="1"/>
    </font>
    <font>
      <b/>
      <sz val="10"/>
      <color theme="1"/>
      <name val="Garamond"/>
      <family val="1"/>
    </font>
    <font>
      <sz val="10"/>
      <color rgb="FF0000FF"/>
      <name val="Garamond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Garamond"/>
      <family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">
    <xf numFmtId="0" fontId="0" fillId="0" borderId="0" xfId="0"/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8" fillId="0" borderId="0" xfId="0" applyFont="1"/>
    <xf numFmtId="0" fontId="19" fillId="0" borderId="0" xfId="0" applyFont="1"/>
    <xf numFmtId="165" fontId="20" fillId="33" borderId="0" xfId="0" applyNumberFormat="1" applyFont="1" applyFill="1"/>
    <xf numFmtId="0" fontId="22" fillId="0" borderId="0" xfId="0" applyFont="1"/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3" fontId="21" fillId="0" borderId="0" xfId="0" applyNumberFormat="1" applyFont="1" applyAlignment="1">
      <alignment horizontal="center"/>
    </xf>
    <xf numFmtId="10" fontId="21" fillId="0" borderId="0" xfId="0" applyNumberFormat="1" applyFont="1" applyAlignment="1">
      <alignment horizontal="center"/>
    </xf>
    <xf numFmtId="164" fontId="21" fillId="0" borderId="0" xfId="0" applyNumberFormat="1" applyFont="1" applyAlignment="1">
      <alignment horizontal="center"/>
    </xf>
    <xf numFmtId="0" fontId="23" fillId="0" borderId="0" xfId="0" applyFont="1"/>
    <xf numFmtId="164" fontId="21" fillId="0" borderId="0" xfId="0" applyNumberFormat="1" applyFont="1"/>
    <xf numFmtId="5" fontId="20" fillId="33" borderId="0" xfId="0" applyNumberFormat="1" applyFont="1" applyFill="1"/>
    <xf numFmtId="5" fontId="18" fillId="0" borderId="0" xfId="0" applyNumberFormat="1" applyFont="1"/>
    <xf numFmtId="14" fontId="20" fillId="33" borderId="0" xfId="0" applyNumberFormat="1" applyFont="1" applyFill="1"/>
    <xf numFmtId="14" fontId="18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5A474-5AC6-5048-8F91-0C2401531367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37B6E-AF57-924A-818B-D8F76BC5BE6B}">
  <dimension ref="A1:O51"/>
  <sheetViews>
    <sheetView workbookViewId="0"/>
  </sheetViews>
  <sheetFormatPr baseColWidth="10" defaultRowHeight="16" x14ac:dyDescent="0.2"/>
  <cols>
    <col min="1" max="1" width="11.5" customWidth="1"/>
    <col min="2" max="2" width="32.83203125" customWidth="1"/>
    <col min="3" max="3" width="15.5" customWidth="1"/>
    <col min="4" max="4" width="9.5" customWidth="1"/>
    <col min="5" max="5" width="13.5" customWidth="1"/>
    <col min="6" max="6" width="22.1640625" customWidth="1"/>
    <col min="7" max="7" width="14" customWidth="1"/>
    <col min="8" max="8" width="12" customWidth="1"/>
    <col min="9" max="9" width="3.33203125" customWidth="1"/>
    <col min="10" max="10" width="10.6640625" customWidth="1"/>
    <col min="11" max="15" width="10.5" customWidth="1"/>
  </cols>
  <sheetData>
    <row r="1" spans="1:15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x14ac:dyDescent="0.2">
      <c r="A2" s="3"/>
      <c r="B2" s="3"/>
      <c r="C2" s="3"/>
      <c r="D2" s="3"/>
      <c r="E2" s="3"/>
      <c r="F2" s="3"/>
      <c r="G2" s="3"/>
      <c r="H2" s="9" t="s">
        <v>1</v>
      </c>
      <c r="I2" s="3"/>
      <c r="J2" s="3"/>
      <c r="K2" s="3"/>
      <c r="L2" s="3"/>
      <c r="M2" s="3"/>
      <c r="N2" s="3"/>
      <c r="O2" s="3"/>
    </row>
    <row r="3" spans="1:15" x14ac:dyDescent="0.2">
      <c r="A3" s="3"/>
      <c r="B3" s="9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0</v>
      </c>
      <c r="H3" s="9" t="s">
        <v>7</v>
      </c>
      <c r="I3" s="3"/>
      <c r="J3" s="3"/>
      <c r="K3" s="3"/>
      <c r="L3" s="3"/>
      <c r="M3" s="3"/>
      <c r="N3" s="3"/>
      <c r="O3" s="3"/>
    </row>
    <row r="4" spans="1:15" x14ac:dyDescent="0.2">
      <c r="A4" s="3"/>
      <c r="B4" s="8" t="s">
        <v>8</v>
      </c>
      <c r="C4" s="10">
        <v>3600000</v>
      </c>
      <c r="D4" s="10"/>
      <c r="E4" s="10"/>
      <c r="F4" s="10"/>
      <c r="G4" s="10">
        <f>SUM(C4:F4)</f>
        <v>3600000</v>
      </c>
      <c r="H4" s="11">
        <f>G4/$G$23</f>
        <v>0.36959987630724139</v>
      </c>
      <c r="I4" s="3"/>
      <c r="J4" s="3"/>
      <c r="K4" s="3"/>
      <c r="L4" s="3"/>
      <c r="M4" s="3"/>
      <c r="N4" s="3"/>
      <c r="O4" s="3"/>
    </row>
    <row r="5" spans="1:15" x14ac:dyDescent="0.2">
      <c r="A5" s="3"/>
      <c r="B5" s="8" t="s">
        <v>9</v>
      </c>
      <c r="C5" s="10">
        <v>3600000</v>
      </c>
      <c r="D5" s="10"/>
      <c r="E5" s="10"/>
      <c r="F5" s="10"/>
      <c r="G5" s="10">
        <f>SUM(C5:F5)</f>
        <v>3600000</v>
      </c>
      <c r="H5" s="11">
        <f>G5/$G$23</f>
        <v>0.36959987630724139</v>
      </c>
      <c r="I5" s="3"/>
      <c r="J5" s="3"/>
      <c r="K5" s="3"/>
      <c r="L5" s="3"/>
      <c r="M5" s="3"/>
      <c r="N5" s="3"/>
      <c r="O5" s="3"/>
    </row>
    <row r="6" spans="1:15" x14ac:dyDescent="0.2">
      <c r="A6" s="3"/>
      <c r="B6" s="8" t="s">
        <v>10</v>
      </c>
      <c r="C6" s="10">
        <v>222187</v>
      </c>
      <c r="D6" s="10"/>
      <c r="E6" s="10"/>
      <c r="F6" s="10"/>
      <c r="G6" s="10">
        <f>SUM(C6:F6)</f>
        <v>222187</v>
      </c>
      <c r="H6" s="11">
        <f>G6/$G$23</f>
        <v>2.28111910325214E-2</v>
      </c>
      <c r="I6" s="3"/>
      <c r="J6" s="3"/>
      <c r="K6" s="3"/>
      <c r="L6" s="3"/>
      <c r="M6" s="3"/>
      <c r="N6" s="3"/>
      <c r="O6" s="3"/>
    </row>
    <row r="7" spans="1:15" x14ac:dyDescent="0.2">
      <c r="A7" s="3"/>
      <c r="B7" s="8" t="s">
        <v>11</v>
      </c>
      <c r="C7" s="10">
        <v>592500</v>
      </c>
      <c r="D7" s="10"/>
      <c r="E7" s="10"/>
      <c r="F7" s="10"/>
      <c r="G7" s="10">
        <f>SUM(C7:F7)</f>
        <v>592500</v>
      </c>
      <c r="H7" s="11">
        <f>G7/$G$23</f>
        <v>6.0829979642233481E-2</v>
      </c>
      <c r="I7" s="3"/>
      <c r="J7" s="3"/>
      <c r="K7" s="3"/>
      <c r="L7" s="3"/>
      <c r="M7" s="3"/>
      <c r="N7" s="3"/>
      <c r="O7" s="3"/>
    </row>
    <row r="8" spans="1:15" x14ac:dyDescent="0.2">
      <c r="A8" s="3"/>
      <c r="B8" s="8" t="s">
        <v>12</v>
      </c>
      <c r="C8" s="10">
        <v>592500</v>
      </c>
      <c r="D8" s="10"/>
      <c r="E8" s="10"/>
      <c r="F8" s="10"/>
      <c r="G8" s="10">
        <f>SUM(C8:F8)</f>
        <v>592500</v>
      </c>
      <c r="H8" s="11">
        <f>G8/$G$23</f>
        <v>6.0829979642233481E-2</v>
      </c>
      <c r="I8" s="3"/>
      <c r="J8" s="3"/>
      <c r="K8" s="3"/>
      <c r="L8" s="3"/>
      <c r="M8" s="3"/>
      <c r="N8" s="3"/>
      <c r="O8" s="3"/>
    </row>
    <row r="9" spans="1:15" x14ac:dyDescent="0.2">
      <c r="A9" s="3"/>
      <c r="B9" s="8" t="s">
        <v>13</v>
      </c>
      <c r="C9" s="10">
        <v>13500</v>
      </c>
      <c r="D9" s="10">
        <v>98900</v>
      </c>
      <c r="E9" s="10"/>
      <c r="F9" s="10"/>
      <c r="G9" s="10">
        <f>SUM(C9:F9)</f>
        <v>112400</v>
      </c>
      <c r="H9" s="11">
        <f>G9/$G$23</f>
        <v>1.1539729471370537E-2</v>
      </c>
      <c r="I9" s="3"/>
      <c r="J9" s="3"/>
      <c r="K9" s="3"/>
      <c r="L9" s="3"/>
      <c r="M9" s="3"/>
      <c r="N9" s="3"/>
      <c r="O9" s="3"/>
    </row>
    <row r="10" spans="1:15" x14ac:dyDescent="0.2">
      <c r="A10" s="3"/>
      <c r="B10" s="8" t="s">
        <v>14</v>
      </c>
      <c r="C10" s="10">
        <v>9000</v>
      </c>
      <c r="D10" s="10"/>
      <c r="E10" s="10"/>
      <c r="F10" s="10"/>
      <c r="G10" s="10">
        <f>SUM(C10:F10)</f>
        <v>9000</v>
      </c>
      <c r="H10" s="11">
        <f>G10/$G$23</f>
        <v>9.2399969076810353E-4</v>
      </c>
      <c r="I10" s="3"/>
      <c r="J10" s="3"/>
      <c r="K10" s="3"/>
      <c r="L10" s="3"/>
      <c r="M10" s="3"/>
      <c r="N10" s="3"/>
      <c r="O10" s="3"/>
    </row>
    <row r="11" spans="1:15" x14ac:dyDescent="0.2">
      <c r="A11" s="3"/>
      <c r="B11" s="8" t="s">
        <v>15</v>
      </c>
      <c r="C11" s="10"/>
      <c r="D11" s="10">
        <v>95000</v>
      </c>
      <c r="E11" s="10"/>
      <c r="F11" s="10"/>
      <c r="G11" s="10">
        <f>SUM(C11:F11)</f>
        <v>95000</v>
      </c>
      <c r="H11" s="11">
        <f>G11/$G$23</f>
        <v>9.7533300692188695E-3</v>
      </c>
      <c r="I11" s="3"/>
      <c r="J11" s="3"/>
      <c r="K11" s="3"/>
      <c r="L11" s="3"/>
      <c r="M11" s="3"/>
      <c r="N11" s="3"/>
      <c r="O11" s="3"/>
    </row>
    <row r="12" spans="1:15" x14ac:dyDescent="0.2">
      <c r="A12" s="3"/>
      <c r="B12" s="8" t="s">
        <v>16</v>
      </c>
      <c r="C12" s="10"/>
      <c r="D12" s="10"/>
      <c r="E12" s="10">
        <v>25000</v>
      </c>
      <c r="F12" s="10"/>
      <c r="G12" s="10">
        <f>SUM(C12:F12)</f>
        <v>25000</v>
      </c>
      <c r="H12" s="11">
        <f>G12/$G$23</f>
        <v>2.5666658076891765E-3</v>
      </c>
      <c r="I12" s="3"/>
      <c r="J12" s="3"/>
      <c r="K12" s="3"/>
      <c r="L12" s="3"/>
      <c r="M12" s="3"/>
      <c r="N12" s="3"/>
      <c r="O12" s="3"/>
    </row>
    <row r="13" spans="1:15" x14ac:dyDescent="0.2">
      <c r="A13" s="3"/>
      <c r="B13" s="8" t="s">
        <v>17</v>
      </c>
      <c r="C13" s="10"/>
      <c r="D13" s="10"/>
      <c r="E13" s="10">
        <v>41562</v>
      </c>
      <c r="F13" s="10"/>
      <c r="G13" s="10">
        <f>SUM(C13:F13)</f>
        <v>41562</v>
      </c>
      <c r="H13" s="11">
        <f>G13/$G$23</f>
        <v>4.2670305719671019E-3</v>
      </c>
      <c r="I13" s="3"/>
      <c r="J13" s="3"/>
      <c r="K13" s="3"/>
      <c r="L13" s="3"/>
      <c r="M13" s="3"/>
      <c r="N13" s="3"/>
      <c r="O13" s="3"/>
    </row>
    <row r="14" spans="1:15" x14ac:dyDescent="0.2">
      <c r="A14" s="3"/>
      <c r="B14" s="8" t="s">
        <v>18</v>
      </c>
      <c r="C14" s="10"/>
      <c r="D14" s="10">
        <v>285000</v>
      </c>
      <c r="E14" s="10"/>
      <c r="F14" s="10"/>
      <c r="G14" s="10">
        <f>SUM(C14:F14)</f>
        <v>285000</v>
      </c>
      <c r="H14" s="11">
        <f>G14/$G$23</f>
        <v>2.925999020765661E-2</v>
      </c>
      <c r="I14" s="3"/>
      <c r="J14" s="3"/>
      <c r="K14" s="3"/>
      <c r="L14" s="3"/>
      <c r="M14" s="3"/>
      <c r="N14" s="3"/>
      <c r="O14" s="3"/>
    </row>
    <row r="15" spans="1:15" x14ac:dyDescent="0.2">
      <c r="A15" s="3"/>
      <c r="B15" s="8" t="s">
        <v>19</v>
      </c>
      <c r="C15" s="10"/>
      <c r="D15" s="10">
        <v>50000</v>
      </c>
      <c r="E15" s="10"/>
      <c r="F15" s="10"/>
      <c r="G15" s="10">
        <f>SUM(C15:F15)</f>
        <v>50000</v>
      </c>
      <c r="H15" s="11">
        <f>G15/$G$23</f>
        <v>5.133331615378353E-3</v>
      </c>
      <c r="I15" s="3"/>
      <c r="J15" s="3"/>
      <c r="K15" s="3"/>
      <c r="L15" s="3"/>
      <c r="M15" s="3"/>
      <c r="N15" s="3"/>
      <c r="O15" s="3"/>
    </row>
    <row r="16" spans="1:15" x14ac:dyDescent="0.2">
      <c r="A16" s="3"/>
      <c r="B16" s="8" t="s">
        <v>20</v>
      </c>
      <c r="C16" s="10"/>
      <c r="D16" s="10">
        <v>285000</v>
      </c>
      <c r="E16" s="10"/>
      <c r="F16" s="10"/>
      <c r="G16" s="10">
        <f>SUM(C16:F16)</f>
        <v>285000</v>
      </c>
      <c r="H16" s="11">
        <f>G16/$G$23</f>
        <v>2.925999020765661E-2</v>
      </c>
      <c r="I16" s="3"/>
      <c r="J16" s="3"/>
      <c r="K16" s="3"/>
      <c r="L16" s="3"/>
      <c r="M16" s="3"/>
      <c r="N16" s="3"/>
      <c r="O16" s="3"/>
    </row>
    <row r="17" spans="1:15" x14ac:dyDescent="0.2">
      <c r="A17" s="3"/>
      <c r="B17" s="8" t="s">
        <v>21</v>
      </c>
      <c r="C17" s="10"/>
      <c r="D17" s="10"/>
      <c r="E17" s="10">
        <v>96186</v>
      </c>
      <c r="F17" s="10"/>
      <c r="G17" s="10">
        <f>SUM(C17:F17)</f>
        <v>96186</v>
      </c>
      <c r="H17" s="11">
        <f>G17/$G$23</f>
        <v>9.8750926951356455E-3</v>
      </c>
      <c r="I17" s="3"/>
      <c r="J17" s="3"/>
      <c r="K17" s="3"/>
      <c r="L17" s="3"/>
      <c r="M17" s="3"/>
      <c r="N17" s="3"/>
      <c r="O17" s="3"/>
    </row>
    <row r="18" spans="1:15" x14ac:dyDescent="0.2">
      <c r="A18" s="3"/>
      <c r="B18" s="8" t="s">
        <v>22</v>
      </c>
      <c r="C18" s="10"/>
      <c r="D18" s="10"/>
      <c r="E18" s="10">
        <v>48095</v>
      </c>
      <c r="F18" s="10"/>
      <c r="G18" s="10">
        <f>SUM(C18:F18)</f>
        <v>48095</v>
      </c>
      <c r="H18" s="11">
        <f>G18/$G$23</f>
        <v>4.9377516808324371E-3</v>
      </c>
      <c r="I18" s="3"/>
      <c r="J18" s="3"/>
      <c r="K18" s="3"/>
      <c r="L18" s="3"/>
      <c r="M18" s="3"/>
      <c r="N18" s="3"/>
      <c r="O18" s="3"/>
    </row>
    <row r="19" spans="1:15" x14ac:dyDescent="0.2">
      <c r="A19" s="3"/>
      <c r="B19" s="8" t="s">
        <v>23</v>
      </c>
      <c r="C19" s="10"/>
      <c r="D19" s="10"/>
      <c r="E19" s="10"/>
      <c r="F19" s="10">
        <v>12395</v>
      </c>
      <c r="G19" s="10">
        <f>SUM(C19:F19)</f>
        <v>12395</v>
      </c>
      <c r="H19" s="11">
        <f>G19/$G$23</f>
        <v>1.2725529074522936E-3</v>
      </c>
      <c r="I19" s="3"/>
      <c r="J19" s="3"/>
      <c r="K19" s="3"/>
      <c r="L19" s="3"/>
      <c r="M19" s="3"/>
      <c r="N19" s="3"/>
      <c r="O19" s="3"/>
    </row>
    <row r="20" spans="1:15" x14ac:dyDescent="0.2">
      <c r="A20" s="3"/>
      <c r="B20" s="8" t="s">
        <v>24</v>
      </c>
      <c r="C20" s="10"/>
      <c r="D20" s="10"/>
      <c r="E20" s="10"/>
      <c r="F20" s="10">
        <v>8333</v>
      </c>
      <c r="G20" s="10">
        <f>SUM(C20:F20)</f>
        <v>8333</v>
      </c>
      <c r="H20" s="11">
        <f>G20/$G$23</f>
        <v>8.5552104701895626E-4</v>
      </c>
      <c r="I20" s="3"/>
      <c r="J20" s="3"/>
      <c r="K20" s="3"/>
      <c r="L20" s="3"/>
      <c r="M20" s="3"/>
      <c r="N20" s="3"/>
      <c r="O20" s="3"/>
    </row>
    <row r="21" spans="1:15" ht="15.75" customHeight="1" x14ac:dyDescent="0.2">
      <c r="A21" s="3"/>
      <c r="B21" s="8" t="s">
        <v>25</v>
      </c>
      <c r="C21" s="10"/>
      <c r="D21" s="10">
        <v>65105</v>
      </c>
      <c r="E21" s="10"/>
      <c r="F21" s="10"/>
      <c r="G21" s="10">
        <f>SUM(C21:F21)</f>
        <v>65105</v>
      </c>
      <c r="H21" s="11">
        <f>G21/$G$23</f>
        <v>6.6841110963841528E-3</v>
      </c>
      <c r="I21" s="3"/>
      <c r="J21" s="3"/>
      <c r="K21" s="3"/>
      <c r="L21" s="3"/>
      <c r="M21" s="3"/>
      <c r="N21" s="3"/>
      <c r="O21" s="3"/>
    </row>
    <row r="22" spans="1:15" ht="15.75" customHeight="1" x14ac:dyDescent="0.2">
      <c r="A22" s="3"/>
      <c r="B22" s="3"/>
      <c r="C22" s="1"/>
      <c r="D22" s="1"/>
      <c r="E22" s="1"/>
      <c r="F22" s="1"/>
      <c r="G22" s="1"/>
      <c r="H22" s="3"/>
      <c r="I22" s="3"/>
      <c r="J22" s="3"/>
      <c r="K22" s="3"/>
      <c r="L22" s="3"/>
      <c r="M22" s="3"/>
      <c r="N22" s="3"/>
      <c r="O22" s="3"/>
    </row>
    <row r="23" spans="1:15" ht="15.75" customHeight="1" x14ac:dyDescent="0.2">
      <c r="A23" s="3"/>
      <c r="B23" s="9" t="s">
        <v>0</v>
      </c>
      <c r="C23" s="10">
        <f>SUM(C4:C21)</f>
        <v>8629687</v>
      </c>
      <c r="D23" s="10">
        <f>SUM(D4:D21)</f>
        <v>879005</v>
      </c>
      <c r="E23" s="10">
        <f>SUM(E4:E21)</f>
        <v>210843</v>
      </c>
      <c r="F23" s="10">
        <f>SUM(F4:F21)</f>
        <v>20728</v>
      </c>
      <c r="G23" s="10">
        <f>SUM(G4:G21)</f>
        <v>9740263</v>
      </c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/>
      <c r="B26" s="9" t="s">
        <v>52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/>
      <c r="B27" s="9" t="s">
        <v>2</v>
      </c>
      <c r="C27" s="9" t="s">
        <v>26</v>
      </c>
      <c r="D27" s="9"/>
      <c r="E27" s="9" t="s">
        <v>27</v>
      </c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/>
      <c r="B28" s="8" t="s">
        <v>13</v>
      </c>
      <c r="C28" s="12">
        <v>25000</v>
      </c>
      <c r="D28" s="8"/>
      <c r="E28" s="8" t="s">
        <v>28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/>
      <c r="B29" s="8" t="s">
        <v>14</v>
      </c>
      <c r="C29" s="12">
        <v>25000</v>
      </c>
      <c r="D29" s="8"/>
      <c r="E29" s="8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/>
      <c r="B30" s="8" t="s">
        <v>29</v>
      </c>
      <c r="C30" s="12">
        <v>137170.75</v>
      </c>
      <c r="D30" s="8"/>
      <c r="E30" s="8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/>
      <c r="B31" s="8" t="s">
        <v>30</v>
      </c>
      <c r="C31" s="12">
        <v>3846829.25</v>
      </c>
      <c r="D31" s="8"/>
      <c r="E31" s="8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/>
      <c r="B32" s="8" t="s">
        <v>31</v>
      </c>
      <c r="C32" s="12">
        <v>16566</v>
      </c>
      <c r="D32" s="8"/>
      <c r="E32" s="8" t="s">
        <v>58</v>
      </c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/>
      <c r="B33" s="8" t="s">
        <v>32</v>
      </c>
      <c r="C33" s="12">
        <v>250000</v>
      </c>
      <c r="D33" s="8"/>
      <c r="E33" s="8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/>
      <c r="B34" s="8" t="s">
        <v>33</v>
      </c>
      <c r="C34" s="12">
        <v>100000</v>
      </c>
      <c r="D34" s="8"/>
      <c r="E34" s="8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/>
      <c r="B35" s="8" t="s">
        <v>34</v>
      </c>
      <c r="C35" s="12">
        <v>300000</v>
      </c>
      <c r="D35" s="8"/>
      <c r="E35" s="8" t="s">
        <v>28</v>
      </c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/>
      <c r="B36" s="8" t="s">
        <v>35</v>
      </c>
      <c r="C36" s="12">
        <v>37500</v>
      </c>
      <c r="D36" s="8"/>
      <c r="E36" s="8" t="s">
        <v>36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/>
      <c r="B37" s="8" t="s">
        <v>37</v>
      </c>
      <c r="C37" s="12">
        <v>250000</v>
      </c>
      <c r="D37" s="8"/>
      <c r="E37" s="8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/>
      <c r="B38" s="8" t="s">
        <v>38</v>
      </c>
      <c r="C38" s="12">
        <v>100000</v>
      </c>
      <c r="D38" s="8"/>
      <c r="E38" s="8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/>
      <c r="B39" s="8" t="s">
        <v>39</v>
      </c>
      <c r="C39" s="12">
        <v>41164</v>
      </c>
      <c r="D39" s="8"/>
      <c r="E39" s="8" t="s">
        <v>58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/>
      <c r="B40" s="8" t="s">
        <v>40</v>
      </c>
      <c r="C40" s="12">
        <v>2328778</v>
      </c>
      <c r="D40" s="8"/>
      <c r="E40" s="8" t="s">
        <v>58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/>
      <c r="B41" s="8" t="s">
        <v>41</v>
      </c>
      <c r="C41" s="12">
        <v>1506000</v>
      </c>
      <c r="D41" s="8"/>
      <c r="E41" s="8" t="s">
        <v>42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/>
      <c r="B42" s="8" t="s">
        <v>43</v>
      </c>
      <c r="C42" s="12">
        <v>50000</v>
      </c>
      <c r="D42" s="8"/>
      <c r="E42" s="8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/>
      <c r="B43" s="8" t="s">
        <v>44</v>
      </c>
      <c r="C43" s="12">
        <v>212500</v>
      </c>
      <c r="D43" s="8"/>
      <c r="E43" s="8" t="s">
        <v>36</v>
      </c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/>
      <c r="B44" s="8" t="s">
        <v>45</v>
      </c>
      <c r="C44" s="12">
        <v>25000</v>
      </c>
      <c r="D44" s="8"/>
      <c r="E44" s="8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/>
      <c r="B45" s="8" t="s">
        <v>46</v>
      </c>
      <c r="C45" s="12">
        <v>61746</v>
      </c>
      <c r="D45" s="8"/>
      <c r="E45" s="8" t="s">
        <v>58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/>
      <c r="B46" s="8" t="s">
        <v>47</v>
      </c>
      <c r="C46" s="12">
        <v>100000</v>
      </c>
      <c r="D46" s="8"/>
      <c r="E46" s="8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/>
      <c r="B47" s="8" t="s">
        <v>48</v>
      </c>
      <c r="C47" s="12">
        <v>100000</v>
      </c>
      <c r="D47" s="8"/>
      <c r="E47" s="8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/>
      <c r="B48" s="8" t="s">
        <v>49</v>
      </c>
      <c r="C48" s="12">
        <v>61746</v>
      </c>
      <c r="D48" s="8"/>
      <c r="E48" s="8" t="s">
        <v>58</v>
      </c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/>
      <c r="B49" s="8" t="s">
        <v>50</v>
      </c>
      <c r="C49" s="12">
        <v>250000</v>
      </c>
      <c r="D49" s="8"/>
      <c r="E49" s="8" t="s">
        <v>51</v>
      </c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/>
      <c r="B50" s="3"/>
      <c r="C50" s="2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B51" s="7" t="s">
        <v>0</v>
      </c>
      <c r="C51" s="14">
        <f>SUM(C28:C49)</f>
        <v>9825000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E5CF8-CE71-224D-8F1F-D43A309B5A51}">
  <dimension ref="B1:C33"/>
  <sheetViews>
    <sheetView showGridLines="0" tabSelected="1" workbookViewId="0"/>
  </sheetViews>
  <sheetFormatPr baseColWidth="10" defaultRowHeight="16" x14ac:dyDescent="0.2"/>
  <cols>
    <col min="1" max="1" width="6.33203125" customWidth="1"/>
    <col min="2" max="2" width="47.5" customWidth="1"/>
    <col min="3" max="4" width="22.5" customWidth="1"/>
    <col min="5" max="5" width="18.83203125" customWidth="1"/>
  </cols>
  <sheetData>
    <row r="1" spans="2:3" x14ac:dyDescent="0.2">
      <c r="B1" s="13" t="s">
        <v>59</v>
      </c>
    </row>
    <row r="2" spans="2:3" x14ac:dyDescent="0.2">
      <c r="B2" s="13" t="s">
        <v>60</v>
      </c>
    </row>
    <row r="4" spans="2:3" x14ac:dyDescent="0.2">
      <c r="B4" s="5" t="s">
        <v>61</v>
      </c>
    </row>
    <row r="5" spans="2:3" x14ac:dyDescent="0.2">
      <c r="B5" s="4" t="s">
        <v>54</v>
      </c>
      <c r="C5" s="15">
        <v>60000000</v>
      </c>
    </row>
    <row r="6" spans="2:3" x14ac:dyDescent="0.2">
      <c r="B6" s="4" t="s">
        <v>62</v>
      </c>
      <c r="C6" s="15">
        <v>20000000</v>
      </c>
    </row>
    <row r="7" spans="2:3" x14ac:dyDescent="0.2">
      <c r="B7" s="4" t="s">
        <v>55</v>
      </c>
      <c r="C7" s="15">
        <v>12000000</v>
      </c>
    </row>
    <row r="8" spans="2:3" x14ac:dyDescent="0.2">
      <c r="B8" s="4" t="s">
        <v>56</v>
      </c>
      <c r="C8" s="15">
        <v>5000000</v>
      </c>
    </row>
    <row r="9" spans="2:3" x14ac:dyDescent="0.2">
      <c r="B9" s="4" t="s">
        <v>53</v>
      </c>
      <c r="C9" s="15">
        <v>3000000</v>
      </c>
    </row>
    <row r="10" spans="2:3" x14ac:dyDescent="0.2">
      <c r="B10" s="4" t="s">
        <v>63</v>
      </c>
      <c r="C10" s="16">
        <f>C6-(C7+C8+C9)</f>
        <v>0</v>
      </c>
    </row>
    <row r="12" spans="2:3" x14ac:dyDescent="0.2">
      <c r="B12" s="5" t="s">
        <v>64</v>
      </c>
    </row>
    <row r="13" spans="2:3" x14ac:dyDescent="0.2">
      <c r="B13" s="4" t="s">
        <v>57</v>
      </c>
      <c r="C13" s="15">
        <v>50000000</v>
      </c>
    </row>
    <row r="15" spans="2:3" x14ac:dyDescent="0.2">
      <c r="B15" s="5" t="s">
        <v>65</v>
      </c>
    </row>
    <row r="16" spans="2:3" x14ac:dyDescent="0.2">
      <c r="B16" s="4" t="s">
        <v>66</v>
      </c>
      <c r="C16" s="6">
        <v>0.1</v>
      </c>
    </row>
    <row r="18" spans="2:3" x14ac:dyDescent="0.2">
      <c r="B18" s="5" t="s">
        <v>67</v>
      </c>
    </row>
    <row r="19" spans="2:3" x14ac:dyDescent="0.2">
      <c r="B19" s="4" t="s">
        <v>54</v>
      </c>
      <c r="C19" s="15">
        <v>150000000</v>
      </c>
    </row>
    <row r="20" spans="2:3" x14ac:dyDescent="0.2">
      <c r="B20" s="4" t="s">
        <v>68</v>
      </c>
      <c r="C20" s="15">
        <v>30000000</v>
      </c>
    </row>
    <row r="21" spans="2:3" x14ac:dyDescent="0.2">
      <c r="B21" s="4" t="s">
        <v>69</v>
      </c>
      <c r="C21" s="15">
        <v>15000000</v>
      </c>
    </row>
    <row r="22" spans="2:3" x14ac:dyDescent="0.2">
      <c r="B22" s="4" t="s">
        <v>70</v>
      </c>
      <c r="C22" s="15">
        <v>15000000</v>
      </c>
    </row>
    <row r="23" spans="2:3" x14ac:dyDescent="0.2">
      <c r="B23" s="4" t="s">
        <v>71</v>
      </c>
      <c r="C23" s="6">
        <v>7.0000000000000007E-2</v>
      </c>
    </row>
    <row r="25" spans="2:3" x14ac:dyDescent="0.2">
      <c r="B25" s="5" t="s">
        <v>72</v>
      </c>
    </row>
    <row r="26" spans="2:3" x14ac:dyDescent="0.2">
      <c r="B26" s="4" t="s">
        <v>73</v>
      </c>
      <c r="C26" s="6">
        <v>1.4999999999999999E-2</v>
      </c>
    </row>
    <row r="27" spans="2:3" x14ac:dyDescent="0.2">
      <c r="B27" s="4" t="s">
        <v>74</v>
      </c>
      <c r="C27" s="6">
        <v>0.1</v>
      </c>
    </row>
    <row r="29" spans="2:3" x14ac:dyDescent="0.2">
      <c r="B29" s="5" t="s">
        <v>75</v>
      </c>
    </row>
    <row r="30" spans="2:3" x14ac:dyDescent="0.2">
      <c r="B30" s="4" t="s">
        <v>76</v>
      </c>
      <c r="C30" s="17">
        <v>46174</v>
      </c>
    </row>
    <row r="31" spans="2:3" x14ac:dyDescent="0.2">
      <c r="B31" s="4" t="s">
        <v>77</v>
      </c>
      <c r="C31" s="17">
        <f>DATE(YEAR(C30)+1,MONTH(C30)+6,DAY(C30))</f>
        <v>46722</v>
      </c>
    </row>
    <row r="32" spans="2:3" x14ac:dyDescent="0.2">
      <c r="B32" s="4" t="s">
        <v>78</v>
      </c>
      <c r="C32" s="18">
        <f>DATE(YEAR(C30)+5,MONTH(C30),DAY(C30))</f>
        <v>48000</v>
      </c>
    </row>
    <row r="33" spans="2:3" x14ac:dyDescent="0.2">
      <c r="B33" s="4" t="s">
        <v>79</v>
      </c>
      <c r="C33" s="18">
        <f>DATE(YEAR(C31)+3,MONTH(C31),DAY(C31))</f>
        <v>47818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__temp__</vt:lpstr>
      <vt:lpstr>SidekickCapTable</vt:lpstr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2026-04-14T14:29:22Z</dcterms:modified>
</cp:coreProperties>
</file>