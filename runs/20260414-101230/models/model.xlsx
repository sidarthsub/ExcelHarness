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1B600FD6-D3CE-704C-AE21-85E9774F5956}" xr6:coauthVersionLast="47" xr6:coauthVersionMax="47" xr10:uidLastSave="{00000000-0000-0000-0000-000000000000}"/>
  <bookViews>
    <workbookView xWindow="0" yWindow="760" windowWidth="29400" windowHeight="17180" activeTab="3" xr2:uid="{00000000-000D-0000-FFFF-FFFF00000000}"/>
  </bookViews>
  <sheets>
    <sheet name="SidekickCapTable" sheetId="111" r:id="rId1"/>
    <sheet name="Inputs" sheetId="112" r:id="rId2"/>
    <sheet name="SeriesA" sheetId="113" r:id="rId3"/>
    <sheet name="SeriesB" sheetId="11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3" l="1"/>
  <c r="D20" i="113" s="1"/>
  <c r="D16" i="113"/>
  <c r="D17" i="114" s="1"/>
  <c r="S27" i="114"/>
  <c r="S11" i="114"/>
  <c r="S10" i="114"/>
  <c r="S9" i="114"/>
  <c r="S8" i="114"/>
  <c r="L23" i="114"/>
  <c r="I23" i="114"/>
  <c r="C23" i="114"/>
  <c r="N21" i="114"/>
  <c r="I20" i="114"/>
  <c r="I19" i="114"/>
  <c r="I17" i="114"/>
  <c r="C14" i="114"/>
  <c r="C12" i="114"/>
  <c r="C11" i="114"/>
  <c r="C10" i="114"/>
  <c r="C9" i="114"/>
  <c r="C8" i="114"/>
  <c r="C12" i="113"/>
  <c r="N25" i="113"/>
  <c r="N11" i="113"/>
  <c r="N10" i="113"/>
  <c r="N9" i="113"/>
  <c r="N8" i="113"/>
  <c r="L20" i="113"/>
  <c r="I20" i="113"/>
  <c r="I19" i="113"/>
  <c r="I18" i="113"/>
  <c r="I16" i="113"/>
  <c r="C13" i="113"/>
  <c r="C20" i="113" s="1"/>
  <c r="C11" i="113"/>
  <c r="C10" i="113"/>
  <c r="C9" i="113"/>
  <c r="C8" i="113"/>
  <c r="C33" i="112"/>
  <c r="C32" i="112"/>
  <c r="C31" i="112"/>
  <c r="C10" i="112"/>
  <c r="C51" i="111"/>
  <c r="G23" i="111"/>
  <c r="F23" i="111"/>
  <c r="E23" i="111"/>
  <c r="D23" i="111"/>
  <c r="C23" i="111"/>
  <c r="H21" i="111"/>
  <c r="H20" i="111"/>
  <c r="H19" i="111"/>
  <c r="H18" i="111"/>
  <c r="H17" i="111"/>
  <c r="H16" i="111"/>
  <c r="H15" i="111"/>
  <c r="H14" i="111"/>
  <c r="H13" i="111"/>
  <c r="H12" i="111"/>
  <c r="H11" i="111"/>
  <c r="H10" i="111"/>
  <c r="H9" i="111"/>
  <c r="H8" i="111"/>
  <c r="H7" i="111"/>
  <c r="H6" i="111"/>
  <c r="H5" i="111"/>
  <c r="H4" i="111"/>
  <c r="G21" i="111"/>
  <c r="G20" i="111"/>
  <c r="G19" i="111"/>
  <c r="G18" i="111"/>
  <c r="G17" i="111"/>
  <c r="G16" i="111"/>
  <c r="G15" i="111"/>
  <c r="G14" i="111"/>
  <c r="G13" i="111"/>
  <c r="G12" i="111"/>
  <c r="G11" i="111"/>
  <c r="G10" i="111"/>
  <c r="G9" i="111"/>
  <c r="G8" i="111"/>
  <c r="G7" i="111"/>
  <c r="G6" i="111"/>
  <c r="G5" i="111"/>
  <c r="G4" i="111"/>
  <c r="D18" i="114" l="1"/>
  <c r="D23" i="114" s="1"/>
  <c r="O8" i="113" l="1"/>
  <c r="O9" i="113"/>
  <c r="O10" i="113"/>
  <c r="O11" i="113"/>
  <c r="G12" i="113"/>
  <c r="N12" i="113"/>
  <c r="O12" i="113"/>
  <c r="G13" i="113"/>
  <c r="N13" i="113"/>
  <c r="O13" i="113"/>
  <c r="E16" i="113"/>
  <c r="J16" i="113"/>
  <c r="N16" i="113"/>
  <c r="O16" i="113"/>
  <c r="E17" i="113"/>
  <c r="N17" i="113"/>
  <c r="O17" i="113"/>
  <c r="J18" i="113"/>
  <c r="N18" i="113"/>
  <c r="O18" i="113"/>
  <c r="J19" i="113"/>
  <c r="N19" i="113"/>
  <c r="O19" i="113"/>
  <c r="E20" i="113"/>
  <c r="G20" i="113"/>
  <c r="J20" i="113"/>
  <c r="N20" i="113"/>
  <c r="O20" i="113"/>
  <c r="N23" i="113"/>
  <c r="N24" i="113"/>
  <c r="T8" i="114"/>
  <c r="T9" i="114"/>
  <c r="T10" i="114"/>
  <c r="T11" i="114"/>
  <c r="G12" i="114"/>
  <c r="S12" i="114"/>
  <c r="T12" i="114"/>
  <c r="Q13" i="114"/>
  <c r="S13" i="114"/>
  <c r="T13" i="114"/>
  <c r="G14" i="114"/>
  <c r="Q14" i="114"/>
  <c r="S14" i="114"/>
  <c r="T14" i="114"/>
  <c r="E17" i="114"/>
  <c r="J17" i="114"/>
  <c r="N17" i="114"/>
  <c r="O17" i="114"/>
  <c r="S17" i="114"/>
  <c r="T17" i="114"/>
  <c r="E18" i="114"/>
  <c r="S18" i="114"/>
  <c r="T18" i="114"/>
  <c r="J19" i="114"/>
  <c r="N19" i="114"/>
  <c r="O19" i="114"/>
  <c r="S19" i="114"/>
  <c r="T19" i="114"/>
  <c r="J20" i="114"/>
  <c r="N20" i="114"/>
  <c r="O20" i="114"/>
  <c r="S20" i="114"/>
  <c r="T20" i="114"/>
  <c r="O21" i="114"/>
  <c r="S21" i="114"/>
  <c r="T21" i="114"/>
  <c r="E23" i="114"/>
  <c r="G23" i="114"/>
  <c r="J23" i="114"/>
  <c r="N23" i="114"/>
  <c r="O23" i="114"/>
  <c r="Q23" i="114"/>
  <c r="S23" i="114"/>
  <c r="T23" i="114"/>
  <c r="S26" i="114"/>
  <c r="S28" i="114"/>
  <c r="S29" i="114"/>
</calcChain>
</file>

<file path=xl/sharedStrings.xml><?xml version="1.0" encoding="utf-8"?>
<sst xmlns="http://schemas.openxmlformats.org/spreadsheetml/2006/main" count="187" uniqueCount="121">
  <si>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</si>
  <si>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</si>
  <si>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</si>
  <si>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</si>
  <si>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</si>
  <si>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</si>
  <si>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</si>
  <si>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</si>
  <si>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</si>
  <si>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</si>
  <si>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</si>
  <si>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</si>
  <si>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</si>
  <si>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</si>
  <si>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</si>
  <si>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</si>
  <si>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</si>
  <si>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</si>
  <si>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</si>
  <si>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</si>
  <si>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</si>
  <si>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</si>
  <si>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</si>
  <si>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</si>
  <si>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</si>
  <si>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</si>
  <si>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</si>
  <si>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</si>
  <si>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</si>
  <si>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</si>
  <si>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</si>
  <si>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</si>
  <si>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</si>
  <si>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</si>
  <si>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</si>
  <si>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</si>
  <si>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</si>
  <si>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</si>
  <si>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</si>
  <si>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</si>
  <si>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</si>
  <si>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</si>
  <si>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</si>
  <si>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</si>
  <si>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</si>
  <si>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</si>
  <si>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</si>
  <si>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</si>
  <si>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</si>
  <si>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</si>
  <si>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</si>
  <si>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</si>
  <si>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>SAFE Investments</t>
  </si>
  <si>
    <t>Series A</t>
  </si>
  <si>
    <t>Total Capitalization</t>
  </si>
  <si>
    <t># of</t>
  </si>
  <si>
    <t>$</t>
  </si>
  <si>
    <t>Pool +</t>
  </si>
  <si>
    <t>Total FD</t>
  </si>
  <si>
    <t>%</t>
  </si>
  <si>
    <t>Shares</t>
  </si>
  <si>
    <t>Pre A</t>
  </si>
  <si>
    <t>FD</t>
  </si>
  <si>
    <t>Common Stock and Options:</t>
  </si>
  <si>
    <t>Total Common</t>
  </si>
  <si>
    <t>Preferred Rounds</t>
  </si>
  <si>
    <t>1011 Ventures</t>
  </si>
  <si>
    <t>Other Series A Investors</t>
  </si>
  <si>
    <t>Totals</t>
  </si>
  <si>
    <t>Price per Share</t>
  </si>
  <si>
    <t>Pre-Money Valuation</t>
  </si>
  <si>
    <t>Post-Money Valuation</t>
  </si>
  <si>
    <t>1011 Ventures Investment</t>
  </si>
  <si>
    <t>Accomplice Investment</t>
  </si>
  <si>
    <t>SAFE Post-Money Valuation Cap</t>
  </si>
  <si>
    <t>Series B</t>
  </si>
  <si>
    <t>Pre B</t>
  </si>
  <si>
    <t>Common</t>
  </si>
  <si>
    <t>Option</t>
  </si>
  <si>
    <t>Other Common Shareholders</t>
  </si>
  <si>
    <t>ESOP Available</t>
  </si>
  <si>
    <t>Other SAFE Investors</t>
  </si>
  <si>
    <t>Other Series B Investors</t>
  </si>
  <si>
    <t>Invested</t>
  </si>
  <si>
    <t>Transfer from Owl Rocl Capital II, LLC (Accomplice)</t>
  </si>
  <si>
    <t>SIDEKICK &amp; 1011 VENTURES SERIES A</t>
  </si>
  <si>
    <t>Sidekick (Think More Security, Inc.)</t>
  </si>
  <si>
    <t>Investment Model Inputs</t>
  </si>
  <si>
    <t>Series A Assumptions</t>
  </si>
  <si>
    <t>Total Series A Raise</t>
  </si>
  <si>
    <t>Check: Total = Sum of investors</t>
  </si>
  <si>
    <t>SAFE Conversion</t>
  </si>
  <si>
    <t>Series A Option Pool</t>
  </si>
  <si>
    <t>Option Pool Target (% of post-A FD)</t>
  </si>
  <si>
    <t>Series B Assumptions</t>
  </si>
  <si>
    <t>Total Series B Raise</t>
  </si>
  <si>
    <t>New Other Series B Investors</t>
  </si>
  <si>
    <t>Pro-Rata Participant Tranche</t>
  </si>
  <si>
    <t>Series B Option Pool Gross Top-Up (% of post-B FD)</t>
  </si>
  <si>
    <t>Waterfall Assumptions</t>
  </si>
  <si>
    <t>Transaction Expense Rate</t>
  </si>
  <si>
    <t>Management Carveout Rate</t>
  </si>
  <si>
    <t>Key Dates</t>
  </si>
  <si>
    <t>1011 Ventures First Investment Date (Series A Close)</t>
  </si>
  <si>
    <t>Series B Close Date</t>
  </si>
  <si>
    <t>Assumed Exit Date (Post-A)</t>
  </si>
  <si>
    <t>Assumed Exit Date (Post-B)</t>
  </si>
  <si>
    <t>Safe Preferred</t>
  </si>
  <si>
    <t>Series A Preferred</t>
  </si>
  <si>
    <t>Safe Pref</t>
  </si>
  <si>
    <t>ESOP Issued and Outstanding</t>
  </si>
  <si>
    <t>Safe Price</t>
  </si>
  <si>
    <t>Series A Price</t>
  </si>
  <si>
    <t>SIDEKICK &amp; 1011 VENTURES SERIES B</t>
  </si>
  <si>
    <t>Series B Preferred</t>
  </si>
  <si>
    <t>Total Cap</t>
  </si>
  <si>
    <t>ESOP Available (from Series A)</t>
  </si>
  <si>
    <t>ESOP Gross Top-Up (Series B)</t>
  </si>
  <si>
    <t>Series B Price</t>
  </si>
  <si>
    <t>Safe Price (from Series A)</t>
  </si>
  <si>
    <t>Series A Price (from Series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</si>
</sst>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164" formatCode="&quot;$&quot;#,##0"/>
    <numFmt numFmtId="165" formatCode="0.0%"/>
    <numFmt numFmtId="166" formatCode="&quot;$&quot;#,##0.00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008000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Garamond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65" fontId="20" fillId="33" borderId="0" xfId="0" applyNumberFormat="1" applyFont="1" applyFill="1"/>
    <xf numFmtId="3" fontId="21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6" fontId="21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23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Continuous"/>
    </xf>
    <xf numFmtId="0" fontId="19" fillId="0" borderId="11" xfId="0" applyFont="1" applyBorder="1"/>
    <xf numFmtId="0" fontId="18" fillId="0" borderId="13" xfId="0" applyFont="1" applyBorder="1"/>
    <xf numFmtId="0" fontId="0" fillId="0" borderId="13" xfId="0" applyBorder="1"/>
    <xf numFmtId="0" fontId="19" fillId="0" borderId="13" xfId="0" applyFont="1" applyBorder="1"/>
    <xf numFmtId="164" fontId="22" fillId="0" borderId="0" xfId="0" applyNumberFormat="1" applyFont="1"/>
    <xf numFmtId="5" fontId="20" fillId="33" borderId="0" xfId="0" applyNumberFormat="1" applyFont="1" applyFill="1"/>
    <xf numFmtId="5" fontId="18" fillId="0" borderId="0" xfId="0" applyNumberFormat="1" applyFont="1"/>
    <xf numFmtId="14" fontId="20" fillId="33" borderId="0" xfId="0" applyNumberFormat="1" applyFont="1" applyFill="1"/>
    <xf numFmtId="14" fontId="18" fillId="0" borderId="0" xfId="0" applyNumberFormat="1" applyFont="1"/>
    <xf numFmtId="0" fontId="0" fillId="0" borderId="11" xfId="0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2" xfId="0" applyFont="1" applyBorder="1"/>
    <xf numFmtId="3" fontId="19" fillId="0" borderId="16" xfId="0" applyNumberFormat="1" applyFont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9" fillId="0" borderId="16" xfId="0" applyFont="1" applyBorder="1" applyAlignment="1">
      <alignment horizontal="center"/>
    </xf>
    <xf numFmtId="165" fontId="19" fillId="0" borderId="17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7B6E-AF57-924A-818B-D8F76BC5BE6B}">
  <dimension ref="A1:O51"/>
  <sheetViews>
    <sheetView workbookViewId="0"/>
  </sheetViews>
  <sheetFormatPr baseColWidth="10" defaultRowHeight="16" x14ac:dyDescent="0.2"/>
  <cols>
    <col min="1" max="1" width="11.5" customWidth="1"/>
    <col min="2" max="2" width="32.83203125" customWidth="1"/>
    <col min="3" max="3" width="15.5" customWidth="1"/>
    <col min="4" max="4" width="9.5" customWidth="1"/>
    <col min="5" max="5" width="13.5" customWidth="1"/>
    <col min="6" max="6" width="22.1640625" customWidth="1"/>
    <col min="7" max="7" width="14" customWidth="1"/>
    <col min="8" max="8" width="12" customWidth="1"/>
    <col min="9" max="9" width="3.33203125" customWidth="1"/>
    <col min="10" max="10" width="10.6640625" customWidth="1"/>
    <col min="11" max="15" width="10.5" customWidth="1"/>
  </cols>
  <sheetData>
    <row r="1" spans="1:15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A2" s="3"/>
      <c r="B2" s="3"/>
      <c r="C2" s="3"/>
      <c r="D2" s="3"/>
      <c r="E2" s="3"/>
      <c r="F2" s="3"/>
      <c r="G2" s="3"/>
      <c r="H2" s="16" t="s">
        <v>1</v>
      </c>
      <c r="I2" s="3"/>
      <c r="J2" s="3"/>
      <c r="K2" s="3"/>
      <c r="L2" s="3"/>
      <c r="M2" s="3"/>
      <c r="N2" s="3"/>
      <c r="O2" s="3"/>
    </row>
    <row r="3" spans="1:15" x14ac:dyDescent="0.2">
      <c r="A3" s="3"/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0</v>
      </c>
      <c r="H3" s="16" t="s">
        <v>7</v>
      </c>
      <c r="I3" s="3"/>
      <c r="J3" s="3"/>
      <c r="K3" s="3"/>
      <c r="L3" s="3"/>
      <c r="M3" s="3"/>
      <c r="N3" s="3"/>
      <c r="O3" s="3"/>
    </row>
    <row r="4" spans="1:15" x14ac:dyDescent="0.2">
      <c r="A4" s="3"/>
      <c r="B4" s="15" t="s">
        <v>8</v>
      </c>
      <c r="C4" s="17">
        <v>3600000</v>
      </c>
      <c r="D4" s="17"/>
      <c r="E4" s="17"/>
      <c r="F4" s="17"/>
      <c r="G4" s="17">
        <f>SUM(C4:F4)</f>
        <v>3600000</v>
      </c>
      <c r="H4" s="18">
        <f>G4/$G$23</f>
        <v>0.36959987630724139</v>
      </c>
      <c r="I4" s="3"/>
      <c r="J4" s="3"/>
      <c r="K4" s="3"/>
      <c r="L4" s="3"/>
      <c r="M4" s="3"/>
      <c r="N4" s="3"/>
      <c r="O4" s="3"/>
    </row>
    <row r="5" spans="1:15" x14ac:dyDescent="0.2">
      <c r="A5" s="3"/>
      <c r="B5" s="15" t="s">
        <v>9</v>
      </c>
      <c r="C5" s="17">
        <v>3600000</v>
      </c>
      <c r="D5" s="17"/>
      <c r="E5" s="17"/>
      <c r="F5" s="17"/>
      <c r="G5" s="17">
        <f>SUM(C5:F5)</f>
        <v>3600000</v>
      </c>
      <c r="H5" s="18">
        <f>G5/$G$23</f>
        <v>0.36959987630724139</v>
      </c>
      <c r="I5" s="3"/>
      <c r="J5" s="3"/>
      <c r="K5" s="3"/>
      <c r="L5" s="3"/>
      <c r="M5" s="3"/>
      <c r="N5" s="3"/>
      <c r="O5" s="3"/>
    </row>
    <row r="6" spans="1:15" x14ac:dyDescent="0.2">
      <c r="A6" s="3"/>
      <c r="B6" s="15" t="s">
        <v>10</v>
      </c>
      <c r="C6" s="17">
        <v>222187</v>
      </c>
      <c r="D6" s="17"/>
      <c r="E6" s="17"/>
      <c r="F6" s="17"/>
      <c r="G6" s="17">
        <f>SUM(C6:F6)</f>
        <v>222187</v>
      </c>
      <c r="H6" s="18">
        <f>G6/$G$23</f>
        <v>2.28111910325214E-2</v>
      </c>
      <c r="I6" s="3"/>
      <c r="J6" s="3"/>
      <c r="K6" s="3"/>
      <c r="L6" s="3"/>
      <c r="M6" s="3"/>
      <c r="N6" s="3"/>
      <c r="O6" s="3"/>
    </row>
    <row r="7" spans="1:15" x14ac:dyDescent="0.2">
      <c r="A7" s="3"/>
      <c r="B7" s="15" t="s">
        <v>11</v>
      </c>
      <c r="C7" s="17">
        <v>592500</v>
      </c>
      <c r="D7" s="17"/>
      <c r="E7" s="17"/>
      <c r="F7" s="17"/>
      <c r="G7" s="17">
        <f>SUM(C7:F7)</f>
        <v>592500</v>
      </c>
      <c r="H7" s="18">
        <f>G7/$G$23</f>
        <v>6.0829979642233481E-2</v>
      </c>
      <c r="I7" s="3"/>
      <c r="J7" s="3"/>
      <c r="K7" s="3"/>
      <c r="L7" s="3"/>
      <c r="M7" s="3"/>
      <c r="N7" s="3"/>
      <c r="O7" s="3"/>
    </row>
    <row r="8" spans="1:15" x14ac:dyDescent="0.2">
      <c r="A8" s="3"/>
      <c r="B8" s="15" t="s">
        <v>12</v>
      </c>
      <c r="C8" s="17">
        <v>592500</v>
      </c>
      <c r="D8" s="17"/>
      <c r="E8" s="17"/>
      <c r="F8" s="17"/>
      <c r="G8" s="17">
        <f>SUM(C8:F8)</f>
        <v>592500</v>
      </c>
      <c r="H8" s="18">
        <f>G8/$G$23</f>
        <v>6.0829979642233481E-2</v>
      </c>
      <c r="I8" s="3"/>
      <c r="J8" s="3"/>
      <c r="K8" s="3"/>
      <c r="L8" s="3"/>
      <c r="M8" s="3"/>
      <c r="N8" s="3"/>
      <c r="O8" s="3"/>
    </row>
    <row r="9" spans="1:15" x14ac:dyDescent="0.2">
      <c r="A9" s="3"/>
      <c r="B9" s="15" t="s">
        <v>13</v>
      </c>
      <c r="C9" s="17">
        <v>13500</v>
      </c>
      <c r="D9" s="17">
        <v>98900</v>
      </c>
      <c r="E9" s="17"/>
      <c r="F9" s="17"/>
      <c r="G9" s="17">
        <f>SUM(C9:F9)</f>
        <v>112400</v>
      </c>
      <c r="H9" s="18">
        <f>G9/$G$23</f>
        <v>1.1539729471370537E-2</v>
      </c>
      <c r="I9" s="3"/>
      <c r="J9" s="3"/>
      <c r="K9" s="3"/>
      <c r="L9" s="3"/>
      <c r="M9" s="3"/>
      <c r="N9" s="3"/>
      <c r="O9" s="3"/>
    </row>
    <row r="10" spans="1:15" x14ac:dyDescent="0.2">
      <c r="A10" s="3"/>
      <c r="B10" s="15" t="s">
        <v>14</v>
      </c>
      <c r="C10" s="17">
        <v>9000</v>
      </c>
      <c r="D10" s="17"/>
      <c r="E10" s="17"/>
      <c r="F10" s="17"/>
      <c r="G10" s="17">
        <f>SUM(C10:F10)</f>
        <v>9000</v>
      </c>
      <c r="H10" s="18">
        <f>G10/$G$23</f>
        <v>9.2399969076810353E-4</v>
      </c>
      <c r="I10" s="3"/>
      <c r="J10" s="3"/>
      <c r="K10" s="3"/>
      <c r="L10" s="3"/>
      <c r="M10" s="3"/>
      <c r="N10" s="3"/>
      <c r="O10" s="3"/>
    </row>
    <row r="11" spans="1:15" x14ac:dyDescent="0.2">
      <c r="A11" s="3"/>
      <c r="B11" s="15" t="s">
        <v>15</v>
      </c>
      <c r="C11" s="17"/>
      <c r="D11" s="17">
        <v>95000</v>
      </c>
      <c r="E11" s="17"/>
      <c r="F11" s="17"/>
      <c r="G11" s="17">
        <f>SUM(C11:F11)</f>
        <v>95000</v>
      </c>
      <c r="H11" s="18">
        <f>G11/$G$23</f>
        <v>9.7533300692188695E-3</v>
      </c>
      <c r="I11" s="3"/>
      <c r="J11" s="3"/>
      <c r="K11" s="3"/>
      <c r="L11" s="3"/>
      <c r="M11" s="3"/>
      <c r="N11" s="3"/>
      <c r="O11" s="3"/>
    </row>
    <row r="12" spans="1:15" x14ac:dyDescent="0.2">
      <c r="A12" s="3"/>
      <c r="B12" s="15" t="s">
        <v>16</v>
      </c>
      <c r="C12" s="17"/>
      <c r="D12" s="17"/>
      <c r="E12" s="17">
        <v>25000</v>
      </c>
      <c r="F12" s="17"/>
      <c r="G12" s="17">
        <f>SUM(C12:F12)</f>
        <v>25000</v>
      </c>
      <c r="H12" s="18">
        <f>G12/$G$23</f>
        <v>2.5666658076891765E-3</v>
      </c>
      <c r="I12" s="3"/>
      <c r="J12" s="3"/>
      <c r="K12" s="3"/>
      <c r="L12" s="3"/>
      <c r="M12" s="3"/>
      <c r="N12" s="3"/>
      <c r="O12" s="3"/>
    </row>
    <row r="13" spans="1:15" x14ac:dyDescent="0.2">
      <c r="A13" s="3"/>
      <c r="B13" s="15" t="s">
        <v>17</v>
      </c>
      <c r="C13" s="17"/>
      <c r="D13" s="17"/>
      <c r="E13" s="17">
        <v>41562</v>
      </c>
      <c r="F13" s="17"/>
      <c r="G13" s="17">
        <f>SUM(C13:F13)</f>
        <v>41562</v>
      </c>
      <c r="H13" s="18">
        <f>G13/$G$23</f>
        <v>4.2670305719671019E-3</v>
      </c>
      <c r="I13" s="3"/>
      <c r="J13" s="3"/>
      <c r="K13" s="3"/>
      <c r="L13" s="3"/>
      <c r="M13" s="3"/>
      <c r="N13" s="3"/>
      <c r="O13" s="3"/>
    </row>
    <row r="14" spans="1:15" x14ac:dyDescent="0.2">
      <c r="A14" s="3"/>
      <c r="B14" s="15" t="s">
        <v>18</v>
      </c>
      <c r="C14" s="17"/>
      <c r="D14" s="17">
        <v>285000</v>
      </c>
      <c r="E14" s="17"/>
      <c r="F14" s="17"/>
      <c r="G14" s="17">
        <f>SUM(C14:F14)</f>
        <v>285000</v>
      </c>
      <c r="H14" s="18">
        <f>G14/$G$23</f>
        <v>2.925999020765661E-2</v>
      </c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15" t="s">
        <v>19</v>
      </c>
      <c r="C15" s="17"/>
      <c r="D15" s="17">
        <v>50000</v>
      </c>
      <c r="E15" s="17"/>
      <c r="F15" s="17"/>
      <c r="G15" s="17">
        <f>SUM(C15:F15)</f>
        <v>50000</v>
      </c>
      <c r="H15" s="18">
        <f>G15/$G$23</f>
        <v>5.133331615378353E-3</v>
      </c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15" t="s">
        <v>20</v>
      </c>
      <c r="C16" s="17"/>
      <c r="D16" s="17">
        <v>285000</v>
      </c>
      <c r="E16" s="17"/>
      <c r="F16" s="17"/>
      <c r="G16" s="17">
        <f>SUM(C16:F16)</f>
        <v>285000</v>
      </c>
      <c r="H16" s="18">
        <f>G16/$G$23</f>
        <v>2.925999020765661E-2</v>
      </c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15" t="s">
        <v>21</v>
      </c>
      <c r="C17" s="17"/>
      <c r="D17" s="17"/>
      <c r="E17" s="17">
        <v>96186</v>
      </c>
      <c r="F17" s="17"/>
      <c r="G17" s="17">
        <f>SUM(C17:F17)</f>
        <v>96186</v>
      </c>
      <c r="H17" s="18">
        <f>G17/$G$23</f>
        <v>9.8750926951356455E-3</v>
      </c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15" t="s">
        <v>22</v>
      </c>
      <c r="C18" s="17"/>
      <c r="D18" s="17"/>
      <c r="E18" s="17">
        <v>48095</v>
      </c>
      <c r="F18" s="17"/>
      <c r="G18" s="17">
        <f>SUM(C18:F18)</f>
        <v>48095</v>
      </c>
      <c r="H18" s="18">
        <f>G18/$G$23</f>
        <v>4.9377516808324371E-3</v>
      </c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15" t="s">
        <v>23</v>
      </c>
      <c r="C19" s="17"/>
      <c r="D19" s="17"/>
      <c r="E19" s="17"/>
      <c r="F19" s="17">
        <v>12395</v>
      </c>
      <c r="G19" s="17">
        <f>SUM(C19:F19)</f>
        <v>12395</v>
      </c>
      <c r="H19" s="18">
        <f>G19/$G$23</f>
        <v>1.2725529074522936E-3</v>
      </c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15" t="s">
        <v>24</v>
      </c>
      <c r="C20" s="17"/>
      <c r="D20" s="17"/>
      <c r="E20" s="17"/>
      <c r="F20" s="17">
        <v>8333</v>
      </c>
      <c r="G20" s="17">
        <f>SUM(C20:F20)</f>
        <v>8333</v>
      </c>
      <c r="H20" s="18">
        <f>G20/$G$23</f>
        <v>8.5552104701895626E-4</v>
      </c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15" t="s">
        <v>25</v>
      </c>
      <c r="C21" s="17"/>
      <c r="D21" s="17">
        <v>65105</v>
      </c>
      <c r="E21" s="17"/>
      <c r="F21" s="17"/>
      <c r="G21" s="17">
        <f>SUM(C21:F21)</f>
        <v>65105</v>
      </c>
      <c r="H21" s="18">
        <f>G21/$G$23</f>
        <v>6.6841110963841528E-3</v>
      </c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1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16" t="s">
        <v>0</v>
      </c>
      <c r="C23" s="17">
        <f>SUM(C4:C21)</f>
        <v>8629687</v>
      </c>
      <c r="D23" s="17">
        <f>SUM(D4:D21)</f>
        <v>879005</v>
      </c>
      <c r="E23" s="17">
        <f>SUM(E4:E21)</f>
        <v>210843</v>
      </c>
      <c r="F23" s="17">
        <f>SUM(F4:F21)</f>
        <v>20728</v>
      </c>
      <c r="G23" s="17">
        <f>SUM(G4:G21)</f>
        <v>9740263</v>
      </c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/>
      <c r="B26" s="16" t="s">
        <v>52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/>
      <c r="B27" s="16" t="s">
        <v>2</v>
      </c>
      <c r="C27" s="16" t="s">
        <v>26</v>
      </c>
      <c r="D27" s="16"/>
      <c r="E27" s="16" t="s">
        <v>27</v>
      </c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/>
      <c r="B28" s="15" t="s">
        <v>13</v>
      </c>
      <c r="C28" s="19">
        <v>25000</v>
      </c>
      <c r="D28" s="15"/>
      <c r="E28" s="15" t="s">
        <v>28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/>
      <c r="B29" s="15" t="s">
        <v>14</v>
      </c>
      <c r="C29" s="19">
        <v>25000</v>
      </c>
      <c r="D29" s="15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/>
      <c r="B30" s="15" t="s">
        <v>29</v>
      </c>
      <c r="C30" s="19">
        <v>137170.75</v>
      </c>
      <c r="D30" s="15"/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/>
      <c r="B31" s="15" t="s">
        <v>30</v>
      </c>
      <c r="C31" s="19">
        <v>3846829.25</v>
      </c>
      <c r="D31" s="15"/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/>
      <c r="B32" s="15" t="s">
        <v>31</v>
      </c>
      <c r="C32" s="19">
        <v>16566</v>
      </c>
      <c r="D32" s="15"/>
      <c r="E32" s="15" t="s">
        <v>84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/>
      <c r="B33" s="15" t="s">
        <v>32</v>
      </c>
      <c r="C33" s="19">
        <v>250000</v>
      </c>
      <c r="D33" s="15"/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/>
      <c r="B34" s="15" t="s">
        <v>33</v>
      </c>
      <c r="C34" s="19">
        <v>100000</v>
      </c>
      <c r="D34" s="15"/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/>
      <c r="B35" s="15" t="s">
        <v>34</v>
      </c>
      <c r="C35" s="19">
        <v>300000</v>
      </c>
      <c r="D35" s="15"/>
      <c r="E35" s="15" t="s">
        <v>28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/>
      <c r="B36" s="15" t="s">
        <v>35</v>
      </c>
      <c r="C36" s="19">
        <v>37500</v>
      </c>
      <c r="D36" s="15"/>
      <c r="E36" s="15" t="s">
        <v>36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/>
      <c r="B37" s="15" t="s">
        <v>37</v>
      </c>
      <c r="C37" s="19">
        <v>250000</v>
      </c>
      <c r="D37" s="15"/>
      <c r="E37" s="15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/>
      <c r="B38" s="15" t="s">
        <v>38</v>
      </c>
      <c r="C38" s="19">
        <v>100000</v>
      </c>
      <c r="D38" s="15"/>
      <c r="E38" s="15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/>
      <c r="B39" s="15" t="s">
        <v>39</v>
      </c>
      <c r="C39" s="19">
        <v>41164</v>
      </c>
      <c r="D39" s="15"/>
      <c r="E39" s="15" t="s">
        <v>84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/>
      <c r="B40" s="15" t="s">
        <v>40</v>
      </c>
      <c r="C40" s="19">
        <v>2328778</v>
      </c>
      <c r="D40" s="15"/>
      <c r="E40" s="15" t="s">
        <v>84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/>
      <c r="B41" s="15" t="s">
        <v>41</v>
      </c>
      <c r="C41" s="19">
        <v>1506000</v>
      </c>
      <c r="D41" s="15"/>
      <c r="E41" s="15" t="s">
        <v>42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/>
      <c r="B42" s="15" t="s">
        <v>43</v>
      </c>
      <c r="C42" s="19">
        <v>50000</v>
      </c>
      <c r="D42" s="15"/>
      <c r="E42" s="15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/>
      <c r="B43" s="15" t="s">
        <v>44</v>
      </c>
      <c r="C43" s="19">
        <v>212500</v>
      </c>
      <c r="D43" s="15"/>
      <c r="E43" s="15" t="s">
        <v>36</v>
      </c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/>
      <c r="B44" s="15" t="s">
        <v>45</v>
      </c>
      <c r="C44" s="19">
        <v>25000</v>
      </c>
      <c r="D44" s="15"/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/>
      <c r="B45" s="15" t="s">
        <v>46</v>
      </c>
      <c r="C45" s="19">
        <v>61746</v>
      </c>
      <c r="D45" s="15"/>
      <c r="E45" s="15" t="s">
        <v>84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/>
      <c r="B46" s="15" t="s">
        <v>47</v>
      </c>
      <c r="C46" s="19">
        <v>100000</v>
      </c>
      <c r="D46" s="15"/>
      <c r="E46" s="15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/>
      <c r="B47" s="15" t="s">
        <v>48</v>
      </c>
      <c r="C47" s="19">
        <v>100000</v>
      </c>
      <c r="D47" s="15"/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/>
      <c r="B48" s="15" t="s">
        <v>49</v>
      </c>
      <c r="C48" s="19">
        <v>61746</v>
      </c>
      <c r="D48" s="15"/>
      <c r="E48" s="15" t="s">
        <v>84</v>
      </c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/>
      <c r="B49" s="15" t="s">
        <v>50</v>
      </c>
      <c r="C49" s="19">
        <v>250000</v>
      </c>
      <c r="D49" s="15"/>
      <c r="E49" s="15" t="s">
        <v>51</v>
      </c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/>
      <c r="B50" s="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B51" s="14" t="s">
        <v>0</v>
      </c>
      <c r="C51" s="26">
        <f>SUM(C28:C49)</f>
        <v>9825000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5CF8-CE71-224D-8F1F-D43A309B5A51}">
  <dimension ref="B1:C33"/>
  <sheetViews>
    <sheetView showGridLines="0" topLeftCell="A7" workbookViewId="0">
      <selection activeCell="C25" sqref="C25"/>
    </sheetView>
  </sheetViews>
  <sheetFormatPr baseColWidth="10" defaultRowHeight="16" x14ac:dyDescent="0.2"/>
  <cols>
    <col min="1" max="1" width="6.33203125" customWidth="1"/>
    <col min="2" max="2" width="47.5" customWidth="1"/>
    <col min="3" max="4" width="22.5" customWidth="1"/>
    <col min="5" max="5" width="18.83203125" customWidth="1"/>
  </cols>
  <sheetData>
    <row r="1" spans="2:3" x14ac:dyDescent="0.2">
      <c r="B1" s="20" t="s">
        <v>86</v>
      </c>
    </row>
    <row r="2" spans="2:3" x14ac:dyDescent="0.2">
      <c r="B2" s="20" t="s">
        <v>87</v>
      </c>
    </row>
    <row r="4" spans="2:3" x14ac:dyDescent="0.2">
      <c r="B4" s="5" t="s">
        <v>88</v>
      </c>
    </row>
    <row r="5" spans="2:3" x14ac:dyDescent="0.2">
      <c r="B5" s="4" t="s">
        <v>70</v>
      </c>
      <c r="C5" s="27">
        <v>60000000</v>
      </c>
    </row>
    <row r="6" spans="2:3" x14ac:dyDescent="0.2">
      <c r="B6" s="4" t="s">
        <v>89</v>
      </c>
      <c r="C6" s="27">
        <v>20000000</v>
      </c>
    </row>
    <row r="7" spans="2:3" x14ac:dyDescent="0.2">
      <c r="B7" s="4" t="s">
        <v>72</v>
      </c>
      <c r="C7" s="27">
        <v>12000000</v>
      </c>
    </row>
    <row r="8" spans="2:3" x14ac:dyDescent="0.2">
      <c r="B8" s="4" t="s">
        <v>73</v>
      </c>
      <c r="C8" s="27">
        <v>5000000</v>
      </c>
    </row>
    <row r="9" spans="2:3" x14ac:dyDescent="0.2">
      <c r="B9" s="4" t="s">
        <v>67</v>
      </c>
      <c r="C9" s="27">
        <v>3000000</v>
      </c>
    </row>
    <row r="10" spans="2:3" x14ac:dyDescent="0.2">
      <c r="B10" s="4" t="s">
        <v>90</v>
      </c>
      <c r="C10" s="28">
        <f>C6-(C7+C8+C9)</f>
        <v>0</v>
      </c>
    </row>
    <row r="12" spans="2:3" x14ac:dyDescent="0.2">
      <c r="B12" s="5" t="s">
        <v>91</v>
      </c>
    </row>
    <row r="13" spans="2:3" x14ac:dyDescent="0.2">
      <c r="B13" s="4" t="s">
        <v>74</v>
      </c>
      <c r="C13" s="27">
        <v>50000000</v>
      </c>
    </row>
    <row r="15" spans="2:3" x14ac:dyDescent="0.2">
      <c r="B15" s="5" t="s">
        <v>92</v>
      </c>
    </row>
    <row r="16" spans="2:3" x14ac:dyDescent="0.2">
      <c r="B16" s="4" t="s">
        <v>93</v>
      </c>
      <c r="C16" s="7">
        <v>0.1</v>
      </c>
    </row>
    <row r="18" spans="2:3" x14ac:dyDescent="0.2">
      <c r="B18" s="5" t="s">
        <v>94</v>
      </c>
    </row>
    <row r="19" spans="2:3" x14ac:dyDescent="0.2">
      <c r="B19" s="4" t="s">
        <v>70</v>
      </c>
      <c r="C19" s="27">
        <v>150000000</v>
      </c>
    </row>
    <row r="20" spans="2:3" x14ac:dyDescent="0.2">
      <c r="B20" s="4" t="s">
        <v>95</v>
      </c>
      <c r="C20" s="27">
        <v>30000000</v>
      </c>
    </row>
    <row r="21" spans="2:3" x14ac:dyDescent="0.2">
      <c r="B21" s="4" t="s">
        <v>96</v>
      </c>
      <c r="C21" s="27">
        <v>15000000</v>
      </c>
    </row>
    <row r="22" spans="2:3" x14ac:dyDescent="0.2">
      <c r="B22" s="4" t="s">
        <v>97</v>
      </c>
      <c r="C22" s="27">
        <v>15000000</v>
      </c>
    </row>
    <row r="23" spans="2:3" x14ac:dyDescent="0.2">
      <c r="B23" s="4" t="s">
        <v>98</v>
      </c>
      <c r="C23" s="7">
        <v>7.0000000000000007E-2</v>
      </c>
    </row>
    <row r="25" spans="2:3" x14ac:dyDescent="0.2">
      <c r="B25" s="5" t="s">
        <v>99</v>
      </c>
    </row>
    <row r="26" spans="2:3" x14ac:dyDescent="0.2">
      <c r="B26" s="4" t="s">
        <v>100</v>
      </c>
      <c r="C26" s="7">
        <v>1.4999999999999999E-2</v>
      </c>
    </row>
    <row r="27" spans="2:3" x14ac:dyDescent="0.2">
      <c r="B27" s="4" t="s">
        <v>101</v>
      </c>
      <c r="C27" s="7">
        <v>0.1</v>
      </c>
    </row>
    <row r="29" spans="2:3" x14ac:dyDescent="0.2">
      <c r="B29" s="5" t="s">
        <v>102</v>
      </c>
    </row>
    <row r="30" spans="2:3" x14ac:dyDescent="0.2">
      <c r="B30" s="4" t="s">
        <v>103</v>
      </c>
      <c r="C30" s="29">
        <v>46174</v>
      </c>
    </row>
    <row r="31" spans="2:3" x14ac:dyDescent="0.2">
      <c r="B31" s="4" t="s">
        <v>104</v>
      </c>
      <c r="C31" s="29">
        <f>DATE(YEAR(C30)+1,MONTH(C30)+6,DAY(C30))</f>
        <v>46722</v>
      </c>
    </row>
    <row r="32" spans="2:3" x14ac:dyDescent="0.2">
      <c r="B32" s="4" t="s">
        <v>105</v>
      </c>
      <c r="C32" s="30">
        <f>DATE(YEAR(C30)+5,MONTH(C30),DAY(C30))</f>
        <v>48000</v>
      </c>
    </row>
    <row r="33" spans="2:3" x14ac:dyDescent="0.2">
      <c r="B33" s="4" t="s">
        <v>106</v>
      </c>
      <c r="C33" s="30">
        <f>DATE(YEAR(C31)+3,MONTH(C31),DAY(C31))</f>
        <v>47818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FC32-5C18-724D-B91B-63EE81C382F3}">
  <dimension ref="B1:O25"/>
  <sheetViews>
    <sheetView showGridLines="0" workbookViewId="0"/>
  </sheetViews>
  <sheetFormatPr baseColWidth="10" defaultRowHeight="16" x14ac:dyDescent="0.2"/>
  <cols>
    <col min="1" max="1" width="6.33203125" customWidth="1"/>
    <col min="2" max="2" width="35" customWidth="1"/>
    <col min="3" max="3" width="16.33203125" customWidth="1"/>
    <col min="4" max="4" width="17.5" customWidth="1"/>
    <col min="5" max="5" width="16.33203125" customWidth="1"/>
    <col min="6" max="6" width="0.6640625" customWidth="1"/>
    <col min="7" max="7" width="13.83203125" customWidth="1"/>
    <col min="8" max="8" width="0.6640625" customWidth="1"/>
    <col min="9" max="9" width="15" customWidth="1"/>
    <col min="10" max="10" width="16.33203125" customWidth="1"/>
    <col min="11" max="11" width="0.6640625" customWidth="1"/>
    <col min="12" max="12" width="13.83203125" customWidth="1"/>
    <col min="13" max="13" width="0.6640625" customWidth="1"/>
    <col min="14" max="14" width="15" customWidth="1"/>
    <col min="15" max="15" width="8.83203125" customWidth="1"/>
    <col min="16" max="16" width="7.5" customWidth="1"/>
  </cols>
  <sheetData>
    <row r="1" spans="2:15" x14ac:dyDescent="0.2">
      <c r="B1" s="21" t="s">
        <v>85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2:15" ht="15.5" customHeight="1" x14ac:dyDescent="0.2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15" ht="16.25" customHeight="1" x14ac:dyDescent="0.2"/>
    <row r="4" spans="2:15" ht="13.75" customHeight="1" x14ac:dyDescent="0.2">
      <c r="C4" s="5" t="s">
        <v>77</v>
      </c>
      <c r="D4" s="6" t="s">
        <v>107</v>
      </c>
      <c r="E4" s="6"/>
      <c r="G4" s="5" t="s">
        <v>78</v>
      </c>
      <c r="I4" s="6" t="s">
        <v>108</v>
      </c>
      <c r="J4" s="6"/>
      <c r="L4" s="5" t="s">
        <v>78</v>
      </c>
      <c r="N4" s="6" t="s">
        <v>54</v>
      </c>
      <c r="O4" s="6"/>
    </row>
    <row r="5" spans="2:15" x14ac:dyDescent="0.2">
      <c r="C5" s="6" t="s">
        <v>55</v>
      </c>
      <c r="D5" s="6" t="s">
        <v>56</v>
      </c>
      <c r="E5" s="6" t="s">
        <v>109</v>
      </c>
      <c r="G5" s="6" t="s">
        <v>57</v>
      </c>
      <c r="I5" s="6" t="s">
        <v>56</v>
      </c>
      <c r="J5" s="6" t="s">
        <v>53</v>
      </c>
      <c r="L5" s="6" t="s">
        <v>57</v>
      </c>
      <c r="N5" s="6" t="s">
        <v>58</v>
      </c>
      <c r="O5" s="6" t="s">
        <v>59</v>
      </c>
    </row>
    <row r="6" spans="2:15" ht="13.75" customHeight="1" thickBot="1" x14ac:dyDescent="0.25">
      <c r="C6" s="6" t="s">
        <v>60</v>
      </c>
      <c r="D6" s="6" t="s">
        <v>83</v>
      </c>
      <c r="E6" s="6" t="s">
        <v>60</v>
      </c>
      <c r="G6" s="6" t="s">
        <v>61</v>
      </c>
      <c r="I6" s="6" t="s">
        <v>83</v>
      </c>
      <c r="J6" s="6" t="s">
        <v>60</v>
      </c>
      <c r="L6" s="6" t="s">
        <v>61</v>
      </c>
      <c r="N6" s="6" t="s">
        <v>60</v>
      </c>
      <c r="O6" s="6" t="s">
        <v>62</v>
      </c>
    </row>
    <row r="7" spans="2:15" x14ac:dyDescent="0.2">
      <c r="B7" s="22" t="s">
        <v>63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2:15" x14ac:dyDescent="0.2">
      <c r="B8" s="23" t="s">
        <v>8</v>
      </c>
      <c r="C8" s="8">
        <f>SidekickCapTable!C4</f>
        <v>3600000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9">
        <f>C8+E8+G8+J8</f>
        <v>3600000</v>
      </c>
      <c r="O8" s="32">
        <f ca="1">N8/$N$20</f>
        <v>0.20126781328857071</v>
      </c>
    </row>
    <row r="9" spans="2:15" x14ac:dyDescent="0.2">
      <c r="B9" s="23" t="s">
        <v>9</v>
      </c>
      <c r="C9" s="8">
        <f>SidekickCapTable!C5</f>
        <v>3600000</v>
      </c>
      <c r="D9" s="3"/>
      <c r="E9" s="3"/>
      <c r="F9" s="3"/>
      <c r="G9" s="3"/>
      <c r="H9" s="3"/>
      <c r="I9" s="3"/>
      <c r="J9" s="3"/>
      <c r="K9" s="3"/>
      <c r="L9" s="3"/>
      <c r="M9" s="3"/>
      <c r="N9" s="9">
        <f>C9+E9+G9+J9</f>
        <v>3600000</v>
      </c>
      <c r="O9" s="32">
        <f ca="1">N9/$N$20</f>
        <v>0.20126781328857071</v>
      </c>
    </row>
    <row r="10" spans="2:15" x14ac:dyDescent="0.2">
      <c r="B10" s="23" t="s">
        <v>79</v>
      </c>
      <c r="C10" s="8">
        <f>SUM(SidekickCapTable!C6:C10)</f>
        <v>1429687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9">
        <f>C10+E10+G10+J10</f>
        <v>1429687</v>
      </c>
      <c r="O10" s="32">
        <f ca="1">N10/$N$20</f>
        <v>7.9930548938082435E-2</v>
      </c>
    </row>
    <row r="11" spans="2:15" x14ac:dyDescent="0.2">
      <c r="B11" s="23" t="s">
        <v>110</v>
      </c>
      <c r="C11" s="8">
        <f>SUM(SidekickCapTable!D4:D21,SidekickCapTable!E4:E21,SidekickCapTable!F4:F21)-SidekickCapTable!D21</f>
        <v>1045471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9">
        <f>C11+E11+G11+J11</f>
        <v>1045471</v>
      </c>
      <c r="O11" s="32">
        <f ca="1">N11/$N$20</f>
        <v>5.8449906118504251E-2</v>
      </c>
    </row>
    <row r="12" spans="2:15" x14ac:dyDescent="0.2">
      <c r="B12" s="23" t="s">
        <v>80</v>
      </c>
      <c r="C12" s="1">
        <f>SidekickCapTable!D21</f>
        <v>65105</v>
      </c>
      <c r="D12" s="3"/>
      <c r="E12" s="3"/>
      <c r="F12" s="3"/>
      <c r="G12" s="8">
        <f ca="1">Inputs!C16*N20-C12</f>
        <v>1723556.5555555557</v>
      </c>
      <c r="H12" s="3"/>
      <c r="I12" s="3"/>
      <c r="J12" s="3"/>
      <c r="K12" s="3"/>
      <c r="L12" s="3"/>
      <c r="M12" s="3"/>
      <c r="N12" s="9">
        <f ca="1">C12+G12</f>
        <v>1788661.5555555557</v>
      </c>
      <c r="O12" s="32">
        <f ca="1">N12/$N$20</f>
        <v>0.1</v>
      </c>
    </row>
    <row r="13" spans="2:15" x14ac:dyDescent="0.2">
      <c r="B13" s="25" t="s">
        <v>64</v>
      </c>
      <c r="C13" s="43">
        <f>SUM(C8:C12)</f>
        <v>9740263</v>
      </c>
      <c r="D13" s="35"/>
      <c r="E13" s="35"/>
      <c r="F13" s="35"/>
      <c r="G13" s="43">
        <f ca="1">G12</f>
        <v>1723556.5555555557</v>
      </c>
      <c r="H13" s="35"/>
      <c r="I13" s="35"/>
      <c r="J13" s="35"/>
      <c r="K13" s="35"/>
      <c r="L13" s="35"/>
      <c r="M13" s="35"/>
      <c r="N13" s="34">
        <f ca="1">SUM(N8:N12)</f>
        <v>11463819.555555556</v>
      </c>
      <c r="O13" s="36">
        <f ca="1">N13/$N$20</f>
        <v>0.64091608163372815</v>
      </c>
    </row>
    <row r="14" spans="2:15" x14ac:dyDescent="0.2">
      <c r="B14" s="24"/>
      <c r="C14" s="1"/>
      <c r="D14" s="3"/>
      <c r="E14" s="3"/>
      <c r="F14" s="3"/>
      <c r="G14" s="1"/>
      <c r="H14" s="3"/>
      <c r="I14" s="3"/>
      <c r="J14" s="3"/>
      <c r="K14" s="3"/>
      <c r="L14" s="3"/>
      <c r="M14" s="3"/>
      <c r="N14" s="1"/>
      <c r="O14" s="33"/>
    </row>
    <row r="15" spans="2:15" x14ac:dyDescent="0.2">
      <c r="B15" s="25" t="s">
        <v>65</v>
      </c>
      <c r="C15" s="1"/>
      <c r="D15" s="3"/>
      <c r="E15" s="3"/>
      <c r="F15" s="3"/>
      <c r="G15" s="1"/>
      <c r="H15" s="3"/>
      <c r="I15" s="3"/>
      <c r="J15" s="3"/>
      <c r="K15" s="3"/>
      <c r="L15" s="3"/>
      <c r="M15" s="3"/>
      <c r="N15" s="1"/>
      <c r="O15" s="33"/>
    </row>
    <row r="16" spans="2:15" x14ac:dyDescent="0.2">
      <c r="B16" s="23" t="s">
        <v>42</v>
      </c>
      <c r="C16" s="1"/>
      <c r="D16" s="11">
        <f>SUM(SidekickCapTable!C30,SidekickCapTable!C31,SidekickCapTable!C32,SidekickCapTable!C39,SidekickCapTable!C40,SidekickCapTable!C41,SidekickCapTable!C45,SidekickCapTable!C48)</f>
        <v>8000000</v>
      </c>
      <c r="E16" s="9">
        <f ca="1">IFERROR(ROUND(D16/N23,0),0)</f>
        <v>1939567</v>
      </c>
      <c r="F16" s="3"/>
      <c r="G16" s="1"/>
      <c r="H16" s="3"/>
      <c r="I16" s="10">
        <f>Inputs!C8</f>
        <v>5000000</v>
      </c>
      <c r="J16" s="9">
        <f ca="1">IFERROR(ROUND(I16/N24,0),0)</f>
        <v>1010191</v>
      </c>
      <c r="K16" s="3"/>
      <c r="L16" s="3"/>
      <c r="M16" s="3"/>
      <c r="N16" s="9">
        <f ca="1">C16+E16+J16</f>
        <v>2949758</v>
      </c>
      <c r="O16" s="32">
        <f ca="1">N16/$N$20</f>
        <v>0.16491426177512994</v>
      </c>
    </row>
    <row r="17" spans="2:15" x14ac:dyDescent="0.2">
      <c r="B17" s="23" t="s">
        <v>81</v>
      </c>
      <c r="C17" s="1"/>
      <c r="D17" s="11">
        <f>SUM(SidekickCapTable!C28,SidekickCapTable!C29,SidekickCapTable!C33,SidekickCapTable!C34,SidekickCapTable!C35,SidekickCapTable!C36,SidekickCapTable!C37,SidekickCapTable!C38,SidekickCapTable!C42,SidekickCapTable!C43,SidekickCapTable!C44,SidekickCapTable!C46,SidekickCapTable!C47,SidekickCapTable!C49)</f>
        <v>1825000</v>
      </c>
      <c r="E17" s="9">
        <f ca="1">IFERROR(ROUND(D17/N23,0),0)</f>
        <v>442464</v>
      </c>
      <c r="F17" s="3"/>
      <c r="G17" s="1"/>
      <c r="H17" s="3"/>
      <c r="I17" s="2"/>
      <c r="J17" s="1"/>
      <c r="K17" s="3"/>
      <c r="L17" s="3"/>
      <c r="M17" s="3"/>
      <c r="N17" s="9">
        <f ca="1">C17+E17+J17</f>
        <v>442464</v>
      </c>
      <c r="O17" s="32">
        <f ca="1">N17/$N$20</f>
        <v>2.4737156038587265E-2</v>
      </c>
    </row>
    <row r="18" spans="2:15" x14ac:dyDescent="0.2">
      <c r="B18" s="23" t="s">
        <v>66</v>
      </c>
      <c r="C18" s="1"/>
      <c r="D18" s="2"/>
      <c r="E18" s="1"/>
      <c r="F18" s="3"/>
      <c r="G18" s="1"/>
      <c r="H18" s="3"/>
      <c r="I18" s="10">
        <f>Inputs!C7</f>
        <v>12000000</v>
      </c>
      <c r="J18" s="9">
        <f ca="1">IFERROR(ROUND(I18/N24,0),0)</f>
        <v>2424459</v>
      </c>
      <c r="K18" s="3"/>
      <c r="L18" s="3"/>
      <c r="M18" s="3"/>
      <c r="N18" s="9">
        <f ca="1">C18+E18+J18</f>
        <v>2424459</v>
      </c>
      <c r="O18" s="32">
        <f ca="1">N18/$N$20</f>
        <v>0.13554598926049857</v>
      </c>
    </row>
    <row r="19" spans="2:15" x14ac:dyDescent="0.2">
      <c r="B19" s="23" t="s">
        <v>67</v>
      </c>
      <c r="C19" s="1"/>
      <c r="D19" s="2"/>
      <c r="E19" s="1"/>
      <c r="F19" s="3"/>
      <c r="G19" s="1"/>
      <c r="H19" s="3"/>
      <c r="I19" s="10">
        <f>Inputs!C9</f>
        <v>3000000</v>
      </c>
      <c r="J19" s="9">
        <f ca="1">IFERROR(ROUND(I19/N24,0),0)</f>
        <v>606115</v>
      </c>
      <c r="K19" s="3"/>
      <c r="L19" s="3"/>
      <c r="M19" s="3"/>
      <c r="N19" s="9">
        <f ca="1">C19+E19+J19</f>
        <v>606115</v>
      </c>
      <c r="O19" s="32">
        <f ca="1">N19/$N$20</f>
        <v>3.3886511292056123E-2</v>
      </c>
    </row>
    <row r="20" spans="2:15" ht="17" thickBot="1" x14ac:dyDescent="0.25">
      <c r="B20" s="37" t="s">
        <v>68</v>
      </c>
      <c r="C20" s="38">
        <f>C13+SUM(C16:C19)</f>
        <v>9740263</v>
      </c>
      <c r="D20" s="39">
        <f>SUM(D16:D19)</f>
        <v>9825000</v>
      </c>
      <c r="E20" s="38">
        <f ca="1">SUM(E16:E19)</f>
        <v>2382031</v>
      </c>
      <c r="F20" s="40"/>
      <c r="G20" s="38">
        <f ca="1">G13</f>
        <v>1723556.5555555557</v>
      </c>
      <c r="H20" s="40"/>
      <c r="I20" s="39">
        <f>SUM(I16:I19)</f>
        <v>20000000</v>
      </c>
      <c r="J20" s="38">
        <f ca="1">SUM(J16:J19)</f>
        <v>4040765</v>
      </c>
      <c r="K20" s="40"/>
      <c r="L20" s="41">
        <f>L12</f>
        <v>0</v>
      </c>
      <c r="M20" s="40"/>
      <c r="N20" s="38">
        <f ca="1">SUM(N8:N12)+SUM(N16:N19)</f>
        <v>17886615.555555556</v>
      </c>
      <c r="O20" s="42">
        <f ca="1">SUM(O8:O12)+SUM(O16:O19)</f>
        <v>0.99999999999999989</v>
      </c>
    </row>
    <row r="21" spans="2:15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x14ac:dyDescent="0.2">
      <c r="B22" s="5" t="s">
        <v>69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x14ac:dyDescent="0.2">
      <c r="B23" s="4" t="s">
        <v>111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3">
        <f ca="1">Inputs!C13/(C8+C9+C10+C11+E16+E17+SidekickCapTable!D21)</f>
        <v>4.1246318559836945</v>
      </c>
      <c r="O23" s="3"/>
    </row>
    <row r="24" spans="2:15" x14ac:dyDescent="0.2">
      <c r="B24" s="4" t="s">
        <v>112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3">
        <f ca="1">Inputs!C5/(C8+C9+C10+C11+E16+E17+SidekickCapTable!D21)</f>
        <v>4.9495582271804333</v>
      </c>
      <c r="O24" s="3"/>
    </row>
    <row r="25" spans="2:15" x14ac:dyDescent="0.2">
      <c r="B25" s="4" t="s">
        <v>71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1">
        <f>Inputs!C5+Inputs!C6</f>
        <v>80000000</v>
      </c>
      <c r="O2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3944-6939-5743-A643-DF5CE87713DB}">
  <dimension ref="B1:T30"/>
  <sheetViews>
    <sheetView showGridLines="0" tabSelected="1" workbookViewId="0"/>
  </sheetViews>
  <sheetFormatPr baseColWidth="10" defaultRowHeight="16" x14ac:dyDescent="0.2"/>
  <cols>
    <col min="1" max="1" width="6.33203125" customWidth="1"/>
    <col min="2" max="2" width="33.83203125" customWidth="1"/>
    <col min="3" max="3" width="13.83203125" customWidth="1"/>
    <col min="4" max="5" width="11.33203125" customWidth="1"/>
    <col min="6" max="6" width="0.6640625" customWidth="1"/>
    <col min="7" max="7" width="11.33203125" customWidth="1"/>
    <col min="8" max="8" width="0.6640625" customWidth="1"/>
    <col min="9" max="9" width="13.83203125" customWidth="1"/>
    <col min="10" max="10" width="15" customWidth="1"/>
    <col min="11" max="11" width="0.6640625" customWidth="1"/>
    <col min="12" max="12" width="11.33203125" customWidth="1"/>
    <col min="13" max="13" width="0.6640625" customWidth="1"/>
    <col min="14" max="14" width="15" customWidth="1"/>
    <col min="15" max="15" width="16.33203125" customWidth="1"/>
    <col min="16" max="16" width="0.6640625" customWidth="1"/>
    <col min="17" max="17" width="11.33203125" customWidth="1"/>
    <col min="18" max="18" width="0.6640625" customWidth="1"/>
    <col min="19" max="19" width="15" customWidth="1"/>
    <col min="20" max="20" width="8.83203125" customWidth="1"/>
  </cols>
  <sheetData>
    <row r="1" spans="2:20" x14ac:dyDescent="0.2">
      <c r="B1" s="21" t="s">
        <v>113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2:20" ht="15.5" customHeight="1" x14ac:dyDescent="0.2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2:20" ht="16.25" customHeight="1" x14ac:dyDescent="0.2"/>
    <row r="4" spans="2:20" ht="13.75" customHeight="1" x14ac:dyDescent="0.2">
      <c r="C4" s="6" t="s">
        <v>77</v>
      </c>
      <c r="D4" s="6" t="s">
        <v>107</v>
      </c>
      <c r="E4" s="6"/>
      <c r="G4" s="6" t="s">
        <v>78</v>
      </c>
      <c r="I4" s="6" t="s">
        <v>108</v>
      </c>
      <c r="J4" s="6"/>
      <c r="L4" s="6" t="s">
        <v>78</v>
      </c>
      <c r="N4" s="6" t="s">
        <v>114</v>
      </c>
      <c r="O4" s="6"/>
      <c r="Q4" s="6" t="s">
        <v>78</v>
      </c>
      <c r="S4" s="6" t="s">
        <v>115</v>
      </c>
      <c r="T4" s="6"/>
    </row>
    <row r="5" spans="2:20" x14ac:dyDescent="0.2">
      <c r="C5" s="6" t="s">
        <v>55</v>
      </c>
      <c r="D5" s="6" t="s">
        <v>56</v>
      </c>
      <c r="E5" s="6" t="s">
        <v>109</v>
      </c>
      <c r="G5" s="6" t="s">
        <v>57</v>
      </c>
      <c r="I5" s="6" t="s">
        <v>56</v>
      </c>
      <c r="J5" s="6" t="s">
        <v>53</v>
      </c>
      <c r="L5" s="6" t="s">
        <v>57</v>
      </c>
      <c r="N5" s="6" t="s">
        <v>56</v>
      </c>
      <c r="O5" s="6" t="s">
        <v>75</v>
      </c>
      <c r="Q5" s="6" t="s">
        <v>57</v>
      </c>
      <c r="S5" s="6" t="s">
        <v>58</v>
      </c>
      <c r="T5" s="6" t="s">
        <v>59</v>
      </c>
    </row>
    <row r="6" spans="2:20" ht="13.75" customHeight="1" thickBot="1" x14ac:dyDescent="0.25">
      <c r="C6" s="6" t="s">
        <v>60</v>
      </c>
      <c r="D6" s="6" t="s">
        <v>83</v>
      </c>
      <c r="E6" s="6" t="s">
        <v>60</v>
      </c>
      <c r="G6" s="6" t="s">
        <v>61</v>
      </c>
      <c r="I6" s="6" t="s">
        <v>83</v>
      </c>
      <c r="J6" s="6" t="s">
        <v>60</v>
      </c>
      <c r="L6" s="6" t="s">
        <v>61</v>
      </c>
      <c r="N6" s="6" t="s">
        <v>83</v>
      </c>
      <c r="O6" s="6" t="s">
        <v>60</v>
      </c>
      <c r="Q6" s="6" t="s">
        <v>76</v>
      </c>
      <c r="S6" s="6" t="s">
        <v>60</v>
      </c>
      <c r="T6" s="6" t="s">
        <v>62</v>
      </c>
    </row>
    <row r="7" spans="2:20" x14ac:dyDescent="0.2">
      <c r="B7" s="22" t="s">
        <v>63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2:20" x14ac:dyDescent="0.2">
      <c r="B8" s="23" t="s">
        <v>8</v>
      </c>
      <c r="C8" s="8">
        <f>SeriesA!C8</f>
        <v>3600000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9">
        <f>C8+E8+G8+J8+O8+Q8</f>
        <v>3600000</v>
      </c>
      <c r="T8" s="32">
        <f ca="1">S8/$S$23</f>
        <v>0.15598255610610803</v>
      </c>
    </row>
    <row r="9" spans="2:20" x14ac:dyDescent="0.2">
      <c r="B9" s="23" t="s">
        <v>9</v>
      </c>
      <c r="C9" s="8">
        <f>SeriesA!C9</f>
        <v>3600000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9">
        <f>C9+E9+G9+J9+O9+Q9</f>
        <v>3600000</v>
      </c>
      <c r="T9" s="32">
        <f ca="1">S9/$S$23</f>
        <v>0.15598255610610803</v>
      </c>
    </row>
    <row r="10" spans="2:20" x14ac:dyDescent="0.2">
      <c r="B10" s="23" t="s">
        <v>79</v>
      </c>
      <c r="C10" s="8">
        <f>SeriesA!C10</f>
        <v>1429687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9">
        <f>C10+E10+G10+J10+O10+Q10</f>
        <v>1429687</v>
      </c>
      <c r="T10" s="32">
        <f ca="1">S10/$S$23</f>
        <v>6.194617574768703E-2</v>
      </c>
    </row>
    <row r="11" spans="2:20" x14ac:dyDescent="0.2">
      <c r="B11" s="23" t="s">
        <v>110</v>
      </c>
      <c r="C11" s="8">
        <f>SeriesA!C11</f>
        <v>1045471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>
        <f>C11+E11+G11+J11+O11+Q11</f>
        <v>1045471</v>
      </c>
      <c r="T11" s="32">
        <f ca="1">S11/$S$23</f>
        <v>4.52986774763358E-2</v>
      </c>
    </row>
    <row r="12" spans="2:20" x14ac:dyDescent="0.2">
      <c r="B12" s="23" t="s">
        <v>116</v>
      </c>
      <c r="C12" s="8">
        <f>SeriesA!C12</f>
        <v>65105</v>
      </c>
      <c r="D12" s="3"/>
      <c r="E12" s="3"/>
      <c r="F12" s="3"/>
      <c r="G12" s="8">
        <f ca="1">SeriesA!G12</f>
        <v>1723556.5555555557</v>
      </c>
      <c r="H12" s="3"/>
      <c r="I12" s="3"/>
      <c r="J12" s="3"/>
      <c r="K12" s="3"/>
      <c r="L12" s="1"/>
      <c r="M12" s="3"/>
      <c r="N12" s="3"/>
      <c r="O12" s="3"/>
      <c r="P12" s="3"/>
      <c r="Q12" s="3"/>
      <c r="R12" s="3"/>
      <c r="S12" s="9">
        <f ca="1">C12+E12+G12+J12+O12+Q12</f>
        <v>1788661.5555555557</v>
      </c>
      <c r="T12" s="32">
        <f ca="1">S12/$S$23</f>
        <v>7.750000040118972E-2</v>
      </c>
    </row>
    <row r="13" spans="2:20" x14ac:dyDescent="0.2">
      <c r="B13" s="23" t="s">
        <v>117</v>
      </c>
      <c r="C13" s="1"/>
      <c r="D13" s="3"/>
      <c r="E13" s="3"/>
      <c r="F13" s="3"/>
      <c r="G13" s="1"/>
      <c r="H13" s="3"/>
      <c r="I13" s="3"/>
      <c r="J13" s="3"/>
      <c r="K13" s="3"/>
      <c r="L13" s="1"/>
      <c r="M13" s="3"/>
      <c r="N13" s="3"/>
      <c r="O13" s="3"/>
      <c r="P13" s="3"/>
      <c r="Q13" s="9">
        <f ca="1">Inputs!C23*S23</f>
        <v>1615565.2676224613</v>
      </c>
      <c r="R13" s="3"/>
      <c r="S13" s="9">
        <f ca="1">C13+E13+G13+J13+O13+Q13</f>
        <v>1615565.2676224613</v>
      </c>
      <c r="T13" s="32">
        <f ca="1">S13/$S$23</f>
        <v>7.0000000000000007E-2</v>
      </c>
    </row>
    <row r="14" spans="2:20" x14ac:dyDescent="0.2">
      <c r="B14" s="25" t="s">
        <v>64</v>
      </c>
      <c r="C14" s="43">
        <f>SUM(C8:C13)</f>
        <v>9740263</v>
      </c>
      <c r="D14" s="35"/>
      <c r="E14" s="35"/>
      <c r="F14" s="35"/>
      <c r="G14" s="43">
        <f ca="1">G12</f>
        <v>1723556.5555555557</v>
      </c>
      <c r="H14" s="35"/>
      <c r="I14" s="35"/>
      <c r="J14" s="35"/>
      <c r="K14" s="35"/>
      <c r="L14" s="44"/>
      <c r="M14" s="35"/>
      <c r="N14" s="35"/>
      <c r="O14" s="35"/>
      <c r="P14" s="35"/>
      <c r="Q14" s="43">
        <f ca="1">Q13</f>
        <v>1615565.2676224613</v>
      </c>
      <c r="R14" s="35"/>
      <c r="S14" s="34">
        <f ca="1">SUM(S8:S13)</f>
        <v>13079384.823178018</v>
      </c>
      <c r="T14" s="36">
        <f ca="1">S14/$S$23</f>
        <v>0.56670996583742872</v>
      </c>
    </row>
    <row r="15" spans="2:20" x14ac:dyDescent="0.2">
      <c r="B15" s="24"/>
      <c r="C15" s="1"/>
      <c r="D15" s="3"/>
      <c r="E15" s="3"/>
      <c r="F15" s="3"/>
      <c r="G15" s="1"/>
      <c r="H15" s="3"/>
      <c r="I15" s="3"/>
      <c r="J15" s="3"/>
      <c r="K15" s="3"/>
      <c r="L15" s="1"/>
      <c r="M15" s="3"/>
      <c r="N15" s="3"/>
      <c r="O15" s="3"/>
      <c r="P15" s="3"/>
      <c r="Q15" s="1"/>
      <c r="R15" s="3"/>
      <c r="S15" s="1"/>
      <c r="T15" s="33"/>
    </row>
    <row r="16" spans="2:20" x14ac:dyDescent="0.2">
      <c r="B16" s="25" t="s">
        <v>65</v>
      </c>
      <c r="C16" s="1"/>
      <c r="D16" s="3"/>
      <c r="E16" s="3"/>
      <c r="F16" s="3"/>
      <c r="G16" s="1"/>
      <c r="H16" s="3"/>
      <c r="I16" s="3"/>
      <c r="J16" s="3"/>
      <c r="K16" s="3"/>
      <c r="L16" s="1"/>
      <c r="M16" s="3"/>
      <c r="N16" s="3"/>
      <c r="O16" s="3"/>
      <c r="P16" s="3"/>
      <c r="Q16" s="1"/>
      <c r="R16" s="3"/>
      <c r="S16" s="1"/>
      <c r="T16" s="33"/>
    </row>
    <row r="17" spans="2:20" x14ac:dyDescent="0.2">
      <c r="B17" s="23" t="s">
        <v>42</v>
      </c>
      <c r="C17" s="1"/>
      <c r="D17" s="10">
        <f>SeriesA!D16</f>
        <v>8000000</v>
      </c>
      <c r="E17" s="8">
        <f ca="1">SeriesA!E16</f>
        <v>1939567</v>
      </c>
      <c r="F17" s="3"/>
      <c r="G17" s="1"/>
      <c r="H17" s="3"/>
      <c r="I17" s="10">
        <f>SeriesA!I16</f>
        <v>5000000</v>
      </c>
      <c r="J17" s="8">
        <f ca="1">SeriesA!J16</f>
        <v>1010191</v>
      </c>
      <c r="K17" s="3"/>
      <c r="L17" s="1"/>
      <c r="M17" s="3"/>
      <c r="N17" s="11">
        <f ca="1">Inputs!C22*(SeriesA!O16/(SeriesA!O16+SeriesA!O18+SeriesA!O19))</f>
        <v>7398647.7673814772</v>
      </c>
      <c r="O17" s="9">
        <f ca="1">IFERROR(ROUND(N17/$S$26,0),0)</f>
        <v>882245</v>
      </c>
      <c r="P17" s="3"/>
      <c r="Q17" s="1"/>
      <c r="R17" s="3"/>
      <c r="S17" s="9">
        <f ca="1">C17+E17+J17+O17</f>
        <v>3832003</v>
      </c>
      <c r="T17" s="32">
        <f ca="1">S17/$S$23</f>
        <v>0.16603489526285398</v>
      </c>
    </row>
    <row r="18" spans="2:20" x14ac:dyDescent="0.2">
      <c r="B18" s="23" t="s">
        <v>81</v>
      </c>
      <c r="C18" s="1"/>
      <c r="D18" s="10">
        <f>SeriesA!D17</f>
        <v>1825000</v>
      </c>
      <c r="E18" s="8">
        <f ca="1">SeriesA!E17</f>
        <v>442464</v>
      </c>
      <c r="F18" s="3"/>
      <c r="G18" s="1"/>
      <c r="H18" s="3"/>
      <c r="I18" s="2"/>
      <c r="J18" s="1"/>
      <c r="K18" s="3"/>
      <c r="L18" s="1"/>
      <c r="M18" s="3"/>
      <c r="N18" s="2"/>
      <c r="O18" s="1"/>
      <c r="P18" s="3"/>
      <c r="Q18" s="1"/>
      <c r="R18" s="3"/>
      <c r="S18" s="9">
        <f ca="1">C18+E18+J18+O18</f>
        <v>442464</v>
      </c>
      <c r="T18" s="32">
        <f ca="1">S18/$S$23</f>
        <v>1.9171296029148053E-2</v>
      </c>
    </row>
    <row r="19" spans="2:20" x14ac:dyDescent="0.2">
      <c r="B19" s="23" t="s">
        <v>66</v>
      </c>
      <c r="C19" s="1"/>
      <c r="D19" s="2"/>
      <c r="E19" s="1"/>
      <c r="F19" s="3"/>
      <c r="G19" s="1"/>
      <c r="H19" s="3"/>
      <c r="I19" s="10">
        <f>SeriesA!I18</f>
        <v>12000000</v>
      </c>
      <c r="J19" s="8">
        <f ca="1">SeriesA!J18</f>
        <v>2424459</v>
      </c>
      <c r="K19" s="3"/>
      <c r="L19" s="1"/>
      <c r="M19" s="3"/>
      <c r="N19" s="11">
        <f ca="1">Inputs!C22*(SeriesA!O18/(SeriesA!O16+SeriesA!O18+SeriesA!O19))</f>
        <v>6081081.2844504286</v>
      </c>
      <c r="O19" s="9">
        <f ca="1">IFERROR(ROUND(N19/$S$26,0),0)</f>
        <v>725133</v>
      </c>
      <c r="P19" s="3"/>
      <c r="Q19" s="1"/>
      <c r="R19" s="3"/>
      <c r="S19" s="9">
        <f ca="1">C19+E19+J19+O19</f>
        <v>3149592</v>
      </c>
      <c r="T19" s="32">
        <f ca="1">S19/$S$23</f>
        <v>0.13646705856981919</v>
      </c>
    </row>
    <row r="20" spans="2:20" x14ac:dyDescent="0.2">
      <c r="B20" s="23" t="s">
        <v>67</v>
      </c>
      <c r="C20" s="1"/>
      <c r="D20" s="2"/>
      <c r="E20" s="1"/>
      <c r="F20" s="3"/>
      <c r="G20" s="1"/>
      <c r="H20" s="3"/>
      <c r="I20" s="10">
        <f>SeriesA!I19</f>
        <v>3000000</v>
      </c>
      <c r="J20" s="8">
        <f ca="1">SeriesA!J19</f>
        <v>606115</v>
      </c>
      <c r="K20" s="3"/>
      <c r="L20" s="1"/>
      <c r="M20" s="3"/>
      <c r="N20" s="11">
        <f ca="1">Inputs!C22*(SeriesA!O19/(SeriesA!O16+SeriesA!O18+SeriesA!O19))</f>
        <v>1520270.9481680952</v>
      </c>
      <c r="O20" s="9">
        <f ca="1">IFERROR(ROUND(N20/$S$26,0),0)</f>
        <v>181283</v>
      </c>
      <c r="P20" s="3"/>
      <c r="Q20" s="1"/>
      <c r="R20" s="3"/>
      <c r="S20" s="9">
        <f ca="1">C20+E20+J20+O20</f>
        <v>787398</v>
      </c>
      <c r="T20" s="32">
        <f ca="1">S20/$S$23</f>
        <v>3.4116764642454799E-2</v>
      </c>
    </row>
    <row r="21" spans="2:20" x14ac:dyDescent="0.2">
      <c r="B21" s="23" t="s">
        <v>82</v>
      </c>
      <c r="C21" s="1"/>
      <c r="D21" s="2"/>
      <c r="E21" s="1"/>
      <c r="F21" s="3"/>
      <c r="G21" s="1"/>
      <c r="H21" s="3"/>
      <c r="I21" s="2"/>
      <c r="J21" s="1"/>
      <c r="K21" s="3"/>
      <c r="L21" s="1"/>
      <c r="M21" s="3"/>
      <c r="N21" s="10">
        <f>Inputs!C21</f>
        <v>15000000</v>
      </c>
      <c r="O21" s="9">
        <f ca="1">IFERROR(ROUND(N21/$S$26,0),0)</f>
        <v>1788662</v>
      </c>
      <c r="P21" s="3"/>
      <c r="Q21" s="1"/>
      <c r="R21" s="3"/>
      <c r="S21" s="9">
        <f ca="1">C21+E21+J21+O21</f>
        <v>1788662</v>
      </c>
      <c r="T21" s="32">
        <f ca="1">S21/$S$23</f>
        <v>7.7500019658295394E-2</v>
      </c>
    </row>
    <row r="22" spans="2:20" x14ac:dyDescent="0.2">
      <c r="B22" s="24"/>
      <c r="C22" s="1"/>
      <c r="D22" s="2"/>
      <c r="E22" s="1"/>
      <c r="F22" s="3"/>
      <c r="G22" s="1"/>
      <c r="H22" s="3"/>
      <c r="I22" s="2"/>
      <c r="J22" s="1"/>
      <c r="K22" s="3"/>
      <c r="L22" s="1"/>
      <c r="M22" s="3"/>
      <c r="N22" s="2"/>
      <c r="O22" s="1"/>
      <c r="P22" s="3"/>
      <c r="Q22" s="1"/>
      <c r="R22" s="3"/>
      <c r="S22" s="1"/>
      <c r="T22" s="33"/>
    </row>
    <row r="23" spans="2:20" ht="17" thickBot="1" x14ac:dyDescent="0.25">
      <c r="B23" s="37" t="s">
        <v>68</v>
      </c>
      <c r="C23" s="38">
        <f>C14+SUM(C17:C21)</f>
        <v>9740263</v>
      </c>
      <c r="D23" s="39">
        <f>SUM(D17:D21)</f>
        <v>9825000</v>
      </c>
      <c r="E23" s="38">
        <f ca="1">SUM(E17:E21)</f>
        <v>2382031</v>
      </c>
      <c r="F23" s="40"/>
      <c r="G23" s="38">
        <f ca="1">G14</f>
        <v>1723556.5555555557</v>
      </c>
      <c r="H23" s="40"/>
      <c r="I23" s="39">
        <f>SUM(I17:I21)</f>
        <v>20000000</v>
      </c>
      <c r="J23" s="38">
        <f ca="1">SUM(J17:J21)</f>
        <v>4040765</v>
      </c>
      <c r="K23" s="40"/>
      <c r="L23" s="38">
        <f>L12</f>
        <v>0</v>
      </c>
      <c r="M23" s="40"/>
      <c r="N23" s="39">
        <f ca="1">SUM(N17:N21)</f>
        <v>30000000</v>
      </c>
      <c r="O23" s="38">
        <f ca="1">SUM(O17:O21)</f>
        <v>3577323</v>
      </c>
      <c r="P23" s="40"/>
      <c r="Q23" s="38">
        <f ca="1">Q14</f>
        <v>1615565.2676224613</v>
      </c>
      <c r="R23" s="40"/>
      <c r="S23" s="38">
        <f ca="1">SUM(S8:S13)+SUM(S17:S21)</f>
        <v>23079503.823178016</v>
      </c>
      <c r="T23" s="42">
        <f ca="1">SUM(T8:T13)+SUM(T17:T21)</f>
        <v>1</v>
      </c>
    </row>
    <row r="24" spans="2:20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x14ac:dyDescent="0.2">
      <c r="B25" s="5" t="s">
        <v>69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x14ac:dyDescent="0.2">
      <c r="B26" s="4" t="s">
        <v>118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3">
        <f ca="1">Inputs!C19/SeriesA!N20</f>
        <v>8.3861588870237789</v>
      </c>
      <c r="T26" s="3"/>
    </row>
    <row r="27" spans="2:20" x14ac:dyDescent="0.2">
      <c r="B27" s="4" t="s">
        <v>71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1">
        <f>Inputs!C19+Inputs!C20</f>
        <v>180000000</v>
      </c>
      <c r="T27" s="3"/>
    </row>
    <row r="28" spans="2:20" x14ac:dyDescent="0.2">
      <c r="B28" s="4" t="s">
        <v>119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2">
        <f ca="1">SeriesA!N23</f>
        <v>4.1246318559836945</v>
      </c>
      <c r="T28" s="3"/>
    </row>
    <row r="29" spans="2:20" x14ac:dyDescent="0.2">
      <c r="B29" s="4" t="s">
        <v>120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2">
        <f ca="1">SeriesA!N24</f>
        <v>4.9495582271804333</v>
      </c>
      <c r="T29" s="3"/>
    </row>
    <row r="30" spans="2:20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SidekickCapTable</vt:lpstr>
      <vt:lpstr>Inputs</vt:lpstr>
      <vt:lpstr>SeriesA</vt:lpstr>
      <vt:lpstr>SeriesB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2026-04-14T14:45:41Z</dcterms:modified>
</cp:coreProperties>
</file>