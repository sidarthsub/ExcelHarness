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BA05ADCB-0193-A34E-ABDF-5F5B6D501518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__temp__" sheetId="72" r:id="rId1"/>
    <sheet name="Sidekick Cap Table" sheetId="73" r:id="rId2"/>
    <sheet name="SAFE Investments" sheetId="74" r:id="rId3"/>
    <sheet name="Series A" sheetId="77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77" l="1"/>
  <c r="J35" i="77"/>
  <c r="J34" i="77" s="1"/>
  <c r="I31" i="77"/>
  <c r="G31" i="77"/>
  <c r="E31" i="77"/>
  <c r="D31" i="77"/>
  <c r="C31" i="77"/>
  <c r="J19" i="77"/>
  <c r="I19" i="77"/>
  <c r="G19" i="77"/>
  <c r="E19" i="77"/>
  <c r="D19" i="77"/>
  <c r="C19" i="77"/>
  <c r="N16" i="77"/>
  <c r="N15" i="77"/>
  <c r="N14" i="77"/>
  <c r="N13" i="77"/>
  <c r="N12" i="77"/>
  <c r="N11" i="77"/>
  <c r="N10" i="77"/>
  <c r="N9" i="77"/>
  <c r="N8" i="77"/>
  <c r="I29" i="77"/>
  <c r="I22" i="77"/>
  <c r="I21" i="77"/>
  <c r="E28" i="77"/>
  <c r="N28" i="77" s="1"/>
  <c r="E33" i="77"/>
  <c r="E24" i="77" s="1"/>
  <c r="N24" i="77" s="1"/>
  <c r="D28" i="77"/>
  <c r="D27" i="77"/>
  <c r="D26" i="77"/>
  <c r="D25" i="77"/>
  <c r="D24" i="77"/>
  <c r="D23" i="77"/>
  <c r="D21" i="77"/>
  <c r="G18" i="77"/>
  <c r="C16" i="77"/>
  <c r="C15" i="77"/>
  <c r="C14" i="77"/>
  <c r="C13" i="77"/>
  <c r="C12" i="77"/>
  <c r="C11" i="77"/>
  <c r="C10" i="77"/>
  <c r="C9" i="77"/>
  <c r="C8" i="77"/>
  <c r="C27" i="74"/>
  <c r="G23" i="73"/>
  <c r="F23" i="73"/>
  <c r="E23" i="73"/>
  <c r="D23" i="73"/>
  <c r="C23" i="73"/>
  <c r="H21" i="73"/>
  <c r="H20" i="73"/>
  <c r="H19" i="73"/>
  <c r="H18" i="73"/>
  <c r="H17" i="73"/>
  <c r="H16" i="73"/>
  <c r="H15" i="73"/>
  <c r="H14" i="73"/>
  <c r="H13" i="73"/>
  <c r="H12" i="73"/>
  <c r="H11" i="73"/>
  <c r="H10" i="73"/>
  <c r="H9" i="73"/>
  <c r="H8" i="73"/>
  <c r="H7" i="73"/>
  <c r="H6" i="73"/>
  <c r="H5" i="73"/>
  <c r="H4" i="73"/>
  <c r="G21" i="73"/>
  <c r="G20" i="73"/>
  <c r="G19" i="73"/>
  <c r="G18" i="73"/>
  <c r="G17" i="73"/>
  <c r="G16" i="73"/>
  <c r="G15" i="73"/>
  <c r="G14" i="73"/>
  <c r="G13" i="73"/>
  <c r="G12" i="73"/>
  <c r="G11" i="73"/>
  <c r="G10" i="73"/>
  <c r="G9" i="73"/>
  <c r="G8" i="73"/>
  <c r="G7" i="73"/>
  <c r="G6" i="73"/>
  <c r="G5" i="73"/>
  <c r="G4" i="73"/>
  <c r="E25" i="77" l="1"/>
  <c r="N25" i="77" s="1"/>
  <c r="E26" i="77"/>
  <c r="N26" i="77" s="1"/>
  <c r="E27" i="77"/>
  <c r="N27" i="77" s="1"/>
  <c r="E23" i="77"/>
  <c r="N23" i="77" s="1"/>
  <c r="E21" i="77"/>
  <c r="O8" i="77" l="1"/>
  <c r="O9" i="77"/>
  <c r="O10" i="77"/>
  <c r="O11" i="77"/>
  <c r="O12" i="77"/>
  <c r="O13" i="77"/>
  <c r="O14" i="77"/>
  <c r="O15" i="77"/>
  <c r="O16" i="77"/>
  <c r="L18" i="77"/>
  <c r="N18" i="77"/>
  <c r="O18" i="77"/>
  <c r="L19" i="77"/>
  <c r="N19" i="77"/>
  <c r="O19" i="77"/>
  <c r="J21" i="77"/>
  <c r="N21" i="77"/>
  <c r="O21" i="77"/>
  <c r="J22" i="77"/>
  <c r="N22" i="77"/>
  <c r="O22" i="77"/>
  <c r="O23" i="77"/>
  <c r="O24" i="77"/>
  <c r="O25" i="77"/>
  <c r="O26" i="77"/>
  <c r="O27" i="77"/>
  <c r="O28" i="77"/>
  <c r="J29" i="77"/>
  <c r="N29" i="77"/>
  <c r="O29" i="77"/>
  <c r="J31" i="77"/>
  <c r="L31" i="77"/>
  <c r="N31" i="77"/>
  <c r="O31" i="77"/>
  <c r="J33" i="77"/>
</calcChain>
</file>

<file path=xl/sharedStrings.xml><?xml version="1.0" encoding="utf-8"?>
<sst xmlns="http://schemas.openxmlformats.org/spreadsheetml/2006/main" count="125" uniqueCount="91">
  <si>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</si>
  <si>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</si>
  <si>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</si>
  <si>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</si>
  <si>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</si>
  <si>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</si>
  <si>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</si>
  <si>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</si>
  <si>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</si>
  <si>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</si>
  <si>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</si>
  <si>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</si>
  <si>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</si>
  <si>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</si>
  <si>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</si>
  <si>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</si>
  <si>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</si>
  <si>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</si>
  <si>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</si>
  <si>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</si>
  <si>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</si>
  <si>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</si>
  <si>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</si>
  <si>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</si>
  <si>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</si>
  <si>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</si>
  <si>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</si>
  <si>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</si>
  <si>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</si>
  <si>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</si>
  <si>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</si>
  <si>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</si>
  <si>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</si>
  <si>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</si>
  <si>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</si>
  <si>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</si>
  <si>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</si>
  <si>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</si>
  <si>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</si>
  <si>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</si>
  <si>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</si>
  <si>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</si>
  <si>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</si>
  <si>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</si>
  <si>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</si>
  <si>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</si>
  <si>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</si>
  <si>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</si>
  <si>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</si>
  <si>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</si>
  <si>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</si>
  <si>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</si>
  <si>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SIDEKICK (THINK MORE SECURITY, INC.)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</si>
  <si>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</si>
  <si>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</si>
  <si>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</si>
  <si>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</si>
  <si>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</si>
  <si>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</si>
  <si>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</si>
  <si>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</si>
  <si>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</si>
  <si>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Shares</t>
  </si>
  <si>
    <t xml:space="preserve"> Invested</t>
  </si>
  <si>
    <t>SAFE Shares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</si>
  <si>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</si>
  <si>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</si>
  <si>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</si>
  <si>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</si>
  <si>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</si>
  <si>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</si>
  <si>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</si>
  <si>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</si>
  <si>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</si>
  <si>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</si>
  <si>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</si>
  <si>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</si>
  <si>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Option Pool Target (% post-money)</t>
  </si>
  <si>
    <t>Other Series A</t>
  </si>
  <si>
    <t>Small Common Holders</t>
  </si>
  <si>
    <t>Pre-A</t>
  </si>
  <si>
    <t>Post-A</t>
  </si>
  <si>
    <t>Accomplice Series A</t>
  </si>
  <si>
    <t>Transfer from Owl Rocl Capital II, LLC (Accomplice)</t>
  </si>
  <si>
    <t>SIDEKICK &amp; 1011 VENTURES / ACCOMPLICE SERIES A</t>
  </si>
  <si>
    <t xml:space="preserve">% </t>
  </si>
  <si>
    <t>% Ownership (Series A)</t>
  </si>
  <si>
    <t>SAFE Post-Money Val Cap</t>
  </si>
  <si>
    <t>1011 Contribution</t>
  </si>
  <si>
    <t>Elizabeth A. Donaghey Irrevocable Trust</t>
  </si>
  <si>
    <t>Small SAFE Investors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</si>
</sst>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0.0%"/>
    <numFmt numFmtId="168" formatCode="_-[$$-409]* #,##0_-;_-[$$-409]* \(#,##0\)_-;_-[$$-409]* &quot;-&quot;??;_-@_-"/>
    <numFmt numFmtId="169" formatCode="0.0%_);\(0.0%\);0.0%_);@_)"/>
    <numFmt numFmtId="171" formatCode="&quot;$&quot;#,##0_);\(&quot;$&quot;#,##0\);&quot;$&quot;#,##0_);@_)"/>
    <numFmt numFmtId="175" formatCode="_-[$$-409]* #,##0.0000_-;_-[$$-409]* \(#,##0.0000\)_-;_-[$$-409]* &quot;-&quot;??;_-@_-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1">
    <xf numFmtId="0" fontId="0" fillId="0" borderId="0" xfId="0"/>
    <xf numFmtId="165" fontId="0" fillId="0" borderId="0" xfId="0" applyNumberFormat="1"/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/>
    <xf numFmtId="0" fontId="19" fillId="0" borderId="0" xfId="0" applyFont="1" applyAlignment="1">
      <alignment horizontal="center"/>
    </xf>
    <xf numFmtId="165" fontId="20" fillId="33" borderId="0" xfId="0" applyNumberFormat="1" applyFont="1" applyFill="1"/>
    <xf numFmtId="0" fontId="18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10" fontId="22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37" fontId="21" fillId="0" borderId="0" xfId="0" applyNumberFormat="1" applyFont="1" applyAlignment="1">
      <alignment horizontal="center"/>
    </xf>
    <xf numFmtId="171" fontId="20" fillId="33" borderId="0" xfId="0" applyNumberFormat="1" applyFont="1" applyFill="1"/>
    <xf numFmtId="0" fontId="19" fillId="0" borderId="0" xfId="0" applyFont="1" applyBorder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 vertical="center"/>
    </xf>
    <xf numFmtId="0" fontId="24" fillId="0" borderId="0" xfId="0" applyFont="1" applyAlignment="1">
      <alignment vertical="center"/>
    </xf>
    <xf numFmtId="175" fontId="21" fillId="0" borderId="0" xfId="0" applyNumberFormat="1" applyFont="1"/>
    <xf numFmtId="175" fontId="0" fillId="0" borderId="0" xfId="0" applyNumberFormat="1"/>
    <xf numFmtId="168" fontId="0" fillId="0" borderId="0" xfId="0" applyNumberFormat="1"/>
    <xf numFmtId="171" fontId="18" fillId="0" borderId="0" xfId="0" applyNumberFormat="1" applyFont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37" fontId="18" fillId="0" borderId="10" xfId="0" applyNumberFormat="1" applyFont="1" applyBorder="1" applyAlignment="1">
      <alignment horizontal="center"/>
    </xf>
    <xf numFmtId="0" fontId="19" fillId="0" borderId="12" xfId="0" applyFont="1" applyBorder="1"/>
    <xf numFmtId="37" fontId="18" fillId="0" borderId="12" xfId="0" applyNumberFormat="1" applyFont="1" applyBorder="1" applyAlignment="1">
      <alignment horizontal="center"/>
    </xf>
    <xf numFmtId="171" fontId="18" fillId="0" borderId="12" xfId="0" applyNumberFormat="1" applyFont="1" applyBorder="1" applyAlignment="1">
      <alignment horizontal="center"/>
    </xf>
    <xf numFmtId="0" fontId="0" fillId="0" borderId="12" xfId="0" applyBorder="1"/>
    <xf numFmtId="169" fontId="18" fillId="0" borderId="12" xfId="0" applyNumberFormat="1" applyFont="1" applyBorder="1" applyAlignment="1">
      <alignment horizontal="center"/>
    </xf>
    <xf numFmtId="37" fontId="18" fillId="0" borderId="11" xfId="0" applyNumberFormat="1" applyFont="1" applyBorder="1" applyAlignment="1">
      <alignment horizontal="center"/>
    </xf>
    <xf numFmtId="171" fontId="18" fillId="0" borderId="11" xfId="0" applyNumberFormat="1" applyFont="1" applyBorder="1" applyAlignment="1">
      <alignment horizontal="center"/>
    </xf>
    <xf numFmtId="0" fontId="0" fillId="0" borderId="14" xfId="0" applyBorder="1"/>
    <xf numFmtId="168" fontId="0" fillId="0" borderId="14" xfId="0" applyNumberFormat="1" applyBorder="1"/>
    <xf numFmtId="0" fontId="18" fillId="0" borderId="16" xfId="0" applyFont="1" applyBorder="1"/>
    <xf numFmtId="0" fontId="0" fillId="0" borderId="16" xfId="0" applyBorder="1"/>
    <xf numFmtId="0" fontId="19" fillId="0" borderId="16" xfId="0" applyFont="1" applyBorder="1"/>
    <xf numFmtId="0" fontId="18" fillId="0" borderId="15" xfId="0" applyFont="1" applyBorder="1"/>
    <xf numFmtId="169" fontId="18" fillId="0" borderId="18" xfId="0" applyNumberFormat="1" applyFont="1" applyBorder="1" applyAlignment="1">
      <alignment horizontal="center"/>
    </xf>
    <xf numFmtId="169" fontId="18" fillId="0" borderId="19" xfId="0" applyNumberFormat="1" applyFont="1" applyBorder="1" applyAlignment="1">
      <alignment horizontal="center"/>
    </xf>
    <xf numFmtId="169" fontId="18" fillId="0" borderId="20" xfId="0" applyNumberFormat="1" applyFont="1" applyBorder="1" applyAlignment="1">
      <alignment horizontal="center"/>
    </xf>
    <xf numFmtId="0" fontId="0" fillId="0" borderId="18" xfId="0" applyBorder="1"/>
    <xf numFmtId="0" fontId="0" fillId="0" borderId="17" xfId="0" applyBorder="1"/>
    <xf numFmtId="37" fontId="18" fillId="0" borderId="0" xfId="0" applyNumberFormat="1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171" fontId="21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B903F-C077-A04C-9BD4-3F9877C0CE7E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757E-0569-A141-AD13-B11F4D6532A0}">
  <dimension ref="A1:J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5"/>
      <c r="B1" s="5"/>
      <c r="C1" s="5"/>
      <c r="D1" s="5"/>
      <c r="E1" s="5"/>
      <c r="F1" s="5"/>
      <c r="G1" s="5"/>
      <c r="H1" s="5"/>
      <c r="I1" s="5"/>
      <c r="J1" s="5"/>
    </row>
    <row r="2" spans="1:10" x14ac:dyDescent="0.2">
      <c r="A2" s="5"/>
      <c r="B2" s="5"/>
      <c r="C2" s="5"/>
      <c r="D2" s="5"/>
      <c r="E2" s="5"/>
      <c r="F2" s="5"/>
      <c r="G2" s="5"/>
      <c r="H2" s="11" t="s">
        <v>1</v>
      </c>
      <c r="I2" s="5"/>
      <c r="J2" s="5"/>
    </row>
    <row r="3" spans="1:10" x14ac:dyDescent="0.2">
      <c r="A3" s="5"/>
      <c r="B3" s="11" t="s">
        <v>2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0</v>
      </c>
      <c r="H3" s="11" t="s">
        <v>7</v>
      </c>
      <c r="I3" s="5"/>
      <c r="J3" s="5"/>
    </row>
    <row r="4" spans="1:10" x14ac:dyDescent="0.2">
      <c r="A4" s="5"/>
      <c r="B4" s="10" t="s">
        <v>8</v>
      </c>
      <c r="C4" s="12">
        <v>3600000</v>
      </c>
      <c r="D4" s="12"/>
      <c r="E4" s="12"/>
      <c r="F4" s="12"/>
      <c r="G4" s="12">
        <f>SUM(C4:F4)</f>
        <v>3600000</v>
      </c>
      <c r="H4" s="13">
        <f>G4/$G$23</f>
        <v>0.36959987630724139</v>
      </c>
      <c r="I4" s="5"/>
      <c r="J4" s="5"/>
    </row>
    <row r="5" spans="1:10" x14ac:dyDescent="0.2">
      <c r="A5" s="5"/>
      <c r="B5" s="10" t="s">
        <v>9</v>
      </c>
      <c r="C5" s="12">
        <v>3600000</v>
      </c>
      <c r="D5" s="12"/>
      <c r="E5" s="12"/>
      <c r="F5" s="12"/>
      <c r="G5" s="12">
        <f>SUM(C5:F5)</f>
        <v>3600000</v>
      </c>
      <c r="H5" s="13">
        <f>G5/$G$23</f>
        <v>0.36959987630724139</v>
      </c>
      <c r="I5" s="5"/>
      <c r="J5" s="5"/>
    </row>
    <row r="6" spans="1:10" x14ac:dyDescent="0.2">
      <c r="A6" s="5"/>
      <c r="B6" s="10" t="s">
        <v>10</v>
      </c>
      <c r="C6" s="12">
        <v>222187</v>
      </c>
      <c r="D6" s="12"/>
      <c r="E6" s="12"/>
      <c r="F6" s="12"/>
      <c r="G6" s="12">
        <f>SUM(C6:F6)</f>
        <v>222187</v>
      </c>
      <c r="H6" s="13">
        <f>G6/$G$23</f>
        <v>2.28111910325214E-2</v>
      </c>
      <c r="I6" s="5"/>
      <c r="J6" s="5"/>
    </row>
    <row r="7" spans="1:10" x14ac:dyDescent="0.2">
      <c r="A7" s="5"/>
      <c r="B7" s="10" t="s">
        <v>11</v>
      </c>
      <c r="C7" s="12">
        <v>592500</v>
      </c>
      <c r="D7" s="12"/>
      <c r="E7" s="12"/>
      <c r="F7" s="12"/>
      <c r="G7" s="12">
        <f>SUM(C7:F7)</f>
        <v>592500</v>
      </c>
      <c r="H7" s="13">
        <f>G7/$G$23</f>
        <v>6.0829979642233481E-2</v>
      </c>
      <c r="I7" s="5"/>
      <c r="J7" s="5"/>
    </row>
    <row r="8" spans="1:10" x14ac:dyDescent="0.2">
      <c r="A8" s="5"/>
      <c r="B8" s="10" t="s">
        <v>12</v>
      </c>
      <c r="C8" s="12">
        <v>592500</v>
      </c>
      <c r="D8" s="12"/>
      <c r="E8" s="12"/>
      <c r="F8" s="12"/>
      <c r="G8" s="12">
        <f>SUM(C8:F8)</f>
        <v>592500</v>
      </c>
      <c r="H8" s="13">
        <f>G8/$G$23</f>
        <v>6.0829979642233481E-2</v>
      </c>
      <c r="I8" s="5"/>
      <c r="J8" s="5"/>
    </row>
    <row r="9" spans="1:10" x14ac:dyDescent="0.2">
      <c r="A9" s="5"/>
      <c r="B9" s="10" t="s">
        <v>13</v>
      </c>
      <c r="C9" s="12">
        <v>13500</v>
      </c>
      <c r="D9" s="12">
        <v>98900</v>
      </c>
      <c r="E9" s="12"/>
      <c r="F9" s="12"/>
      <c r="G9" s="12">
        <f>SUM(C9:F9)</f>
        <v>112400</v>
      </c>
      <c r="H9" s="13">
        <f>G9/$G$23</f>
        <v>1.1539729471370537E-2</v>
      </c>
      <c r="I9" s="5"/>
      <c r="J9" s="5"/>
    </row>
    <row r="10" spans="1:10" x14ac:dyDescent="0.2">
      <c r="A10" s="5"/>
      <c r="B10" s="10" t="s">
        <v>14</v>
      </c>
      <c r="C10" s="12">
        <v>9000</v>
      </c>
      <c r="D10" s="12"/>
      <c r="E10" s="12"/>
      <c r="F10" s="12"/>
      <c r="G10" s="12">
        <f>SUM(C10:F10)</f>
        <v>9000</v>
      </c>
      <c r="H10" s="13">
        <f>G10/$G$23</f>
        <v>9.2399969076810353E-4</v>
      </c>
      <c r="I10" s="5"/>
      <c r="J10" s="5"/>
    </row>
    <row r="11" spans="1:10" x14ac:dyDescent="0.2">
      <c r="A11" s="5"/>
      <c r="B11" s="10" t="s">
        <v>15</v>
      </c>
      <c r="C11" s="12"/>
      <c r="D11" s="12">
        <v>95000</v>
      </c>
      <c r="E11" s="12"/>
      <c r="F11" s="12"/>
      <c r="G11" s="12">
        <f>SUM(C11:F11)</f>
        <v>95000</v>
      </c>
      <c r="H11" s="13">
        <f>G11/$G$23</f>
        <v>9.7533300692188695E-3</v>
      </c>
      <c r="I11" s="5"/>
      <c r="J11" s="5"/>
    </row>
    <row r="12" spans="1:10" x14ac:dyDescent="0.2">
      <c r="A12" s="5"/>
      <c r="B12" s="10" t="s">
        <v>16</v>
      </c>
      <c r="C12" s="12"/>
      <c r="D12" s="12"/>
      <c r="E12" s="12">
        <v>25000</v>
      </c>
      <c r="F12" s="12"/>
      <c r="G12" s="12">
        <f>SUM(C12:F12)</f>
        <v>25000</v>
      </c>
      <c r="H12" s="13">
        <f>G12/$G$23</f>
        <v>2.5666658076891765E-3</v>
      </c>
      <c r="I12" s="5"/>
      <c r="J12" s="5"/>
    </row>
    <row r="13" spans="1:10" x14ac:dyDescent="0.2">
      <c r="A13" s="5"/>
      <c r="B13" s="10" t="s">
        <v>17</v>
      </c>
      <c r="C13" s="12"/>
      <c r="D13" s="12"/>
      <c r="E13" s="12">
        <v>41562</v>
      </c>
      <c r="F13" s="12"/>
      <c r="G13" s="12">
        <f>SUM(C13:F13)</f>
        <v>41562</v>
      </c>
      <c r="H13" s="13">
        <f>G13/$G$23</f>
        <v>4.2670305719671019E-3</v>
      </c>
      <c r="I13" s="5"/>
      <c r="J13" s="5"/>
    </row>
    <row r="14" spans="1:10" x14ac:dyDescent="0.2">
      <c r="A14" s="5"/>
      <c r="B14" s="10" t="s">
        <v>18</v>
      </c>
      <c r="C14" s="12"/>
      <c r="D14" s="12">
        <v>285000</v>
      </c>
      <c r="E14" s="12"/>
      <c r="F14" s="12"/>
      <c r="G14" s="12">
        <f>SUM(C14:F14)</f>
        <v>285000</v>
      </c>
      <c r="H14" s="13">
        <f>G14/$G$23</f>
        <v>2.925999020765661E-2</v>
      </c>
      <c r="I14" s="5"/>
      <c r="J14" s="5"/>
    </row>
    <row r="15" spans="1:10" x14ac:dyDescent="0.2">
      <c r="A15" s="5"/>
      <c r="B15" s="10" t="s">
        <v>19</v>
      </c>
      <c r="C15" s="12"/>
      <c r="D15" s="12">
        <v>50000</v>
      </c>
      <c r="E15" s="12"/>
      <c r="F15" s="12"/>
      <c r="G15" s="12">
        <f>SUM(C15:F15)</f>
        <v>50000</v>
      </c>
      <c r="H15" s="13">
        <f>G15/$G$23</f>
        <v>5.133331615378353E-3</v>
      </c>
      <c r="I15" s="5"/>
      <c r="J15" s="5"/>
    </row>
    <row r="16" spans="1:10" x14ac:dyDescent="0.2">
      <c r="A16" s="5"/>
      <c r="B16" s="10" t="s">
        <v>20</v>
      </c>
      <c r="C16" s="12"/>
      <c r="D16" s="12">
        <v>285000</v>
      </c>
      <c r="E16" s="12"/>
      <c r="F16" s="12"/>
      <c r="G16" s="12">
        <f>SUM(C16:F16)</f>
        <v>285000</v>
      </c>
      <c r="H16" s="13">
        <f>G16/$G$23</f>
        <v>2.925999020765661E-2</v>
      </c>
      <c r="I16" s="5"/>
      <c r="J16" s="5"/>
    </row>
    <row r="17" spans="1:10" x14ac:dyDescent="0.2">
      <c r="A17" s="5"/>
      <c r="B17" s="10" t="s">
        <v>21</v>
      </c>
      <c r="C17" s="12"/>
      <c r="D17" s="12"/>
      <c r="E17" s="12">
        <v>96186</v>
      </c>
      <c r="F17" s="12"/>
      <c r="G17" s="12">
        <f>SUM(C17:F17)</f>
        <v>96186</v>
      </c>
      <c r="H17" s="13">
        <f>G17/$G$23</f>
        <v>9.8750926951356455E-3</v>
      </c>
      <c r="I17" s="5"/>
      <c r="J17" s="5"/>
    </row>
    <row r="18" spans="1:10" x14ac:dyDescent="0.2">
      <c r="A18" s="5"/>
      <c r="B18" s="10" t="s">
        <v>22</v>
      </c>
      <c r="C18" s="12"/>
      <c r="D18" s="12"/>
      <c r="E18" s="12">
        <v>48095</v>
      </c>
      <c r="F18" s="12"/>
      <c r="G18" s="12">
        <f>SUM(C18:F18)</f>
        <v>48095</v>
      </c>
      <c r="H18" s="13">
        <f>G18/$G$23</f>
        <v>4.9377516808324371E-3</v>
      </c>
      <c r="I18" s="5"/>
      <c r="J18" s="5"/>
    </row>
    <row r="19" spans="1:10" x14ac:dyDescent="0.2">
      <c r="A19" s="5"/>
      <c r="B19" s="10" t="s">
        <v>23</v>
      </c>
      <c r="C19" s="12"/>
      <c r="D19" s="12"/>
      <c r="E19" s="12"/>
      <c r="F19" s="12">
        <v>12395</v>
      </c>
      <c r="G19" s="12">
        <f>SUM(C19:F19)</f>
        <v>12395</v>
      </c>
      <c r="H19" s="13">
        <f>G19/$G$23</f>
        <v>1.2725529074522936E-3</v>
      </c>
      <c r="I19" s="5"/>
      <c r="J19" s="5"/>
    </row>
    <row r="20" spans="1:10" x14ac:dyDescent="0.2">
      <c r="A20" s="5"/>
      <c r="B20" s="10" t="s">
        <v>24</v>
      </c>
      <c r="C20" s="12"/>
      <c r="D20" s="12"/>
      <c r="E20" s="12"/>
      <c r="F20" s="12">
        <v>8333</v>
      </c>
      <c r="G20" s="12">
        <f>SUM(C20:F20)</f>
        <v>8333</v>
      </c>
      <c r="H20" s="13">
        <f>G20/$G$23</f>
        <v>8.5552104701895626E-4</v>
      </c>
      <c r="I20" s="5"/>
      <c r="J20" s="5"/>
    </row>
    <row r="21" spans="1:10" ht="15.75" customHeight="1" x14ac:dyDescent="0.2">
      <c r="A21" s="5"/>
      <c r="B21" s="10" t="s">
        <v>25</v>
      </c>
      <c r="C21" s="12"/>
      <c r="D21" s="12">
        <v>65105</v>
      </c>
      <c r="E21" s="12"/>
      <c r="F21" s="12"/>
      <c r="G21" s="12">
        <f>SUM(C21:F21)</f>
        <v>65105</v>
      </c>
      <c r="H21" s="13">
        <f>G21/$G$23</f>
        <v>6.6841110963841528E-3</v>
      </c>
      <c r="I21" s="5"/>
      <c r="J21" s="5"/>
    </row>
    <row r="22" spans="1:10" ht="15.75" customHeight="1" x14ac:dyDescent="0.2">
      <c r="A22" s="5"/>
      <c r="B22" s="5"/>
      <c r="C22" s="2"/>
      <c r="D22" s="2"/>
      <c r="E22" s="2"/>
      <c r="F22" s="2"/>
      <c r="G22" s="2"/>
      <c r="H22" s="3"/>
      <c r="I22" s="5"/>
      <c r="J22" s="5"/>
    </row>
    <row r="23" spans="1:10" ht="15.75" customHeight="1" x14ac:dyDescent="0.2">
      <c r="A23" s="5"/>
      <c r="B23" s="11" t="s">
        <v>0</v>
      </c>
      <c r="C23" s="12">
        <f>SUM(C4:C21)</f>
        <v>8629687</v>
      </c>
      <c r="D23" s="12">
        <f>SUM(D4:D21)</f>
        <v>879005</v>
      </c>
      <c r="E23" s="12">
        <f>SUM(E4:E21)</f>
        <v>210843</v>
      </c>
      <c r="F23" s="12">
        <f>SUM(F4:F21)</f>
        <v>20728</v>
      </c>
      <c r="G23" s="12">
        <f>SUM(G4:G21)</f>
        <v>9740263</v>
      </c>
      <c r="H23" s="3"/>
      <c r="I23" s="5"/>
      <c r="J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63403-BF40-EE47-AEFC-D6BC4441C73C}">
  <dimension ref="A1:F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5"/>
      <c r="B1" s="5"/>
      <c r="C1" s="5"/>
      <c r="D1" s="5"/>
      <c r="E1" s="5"/>
      <c r="F1" s="5"/>
    </row>
    <row r="2" spans="1:6" x14ac:dyDescent="0.2">
      <c r="A2" s="5"/>
      <c r="B2" s="5"/>
      <c r="C2" s="5"/>
      <c r="D2" s="5"/>
      <c r="E2" s="5"/>
      <c r="F2" s="5"/>
    </row>
    <row r="3" spans="1:6" x14ac:dyDescent="0.2">
      <c r="A3" s="5"/>
      <c r="B3" s="11" t="s">
        <v>2</v>
      </c>
      <c r="C3" s="19" t="s">
        <v>26</v>
      </c>
      <c r="D3" s="5"/>
      <c r="E3" s="11" t="s">
        <v>27</v>
      </c>
      <c r="F3" s="5"/>
    </row>
    <row r="4" spans="1:6" x14ac:dyDescent="0.2">
      <c r="A4" s="5"/>
      <c r="B4" s="10" t="s">
        <v>13</v>
      </c>
      <c r="C4" s="14">
        <v>25000</v>
      </c>
      <c r="D4" s="5"/>
      <c r="E4" s="10" t="s">
        <v>28</v>
      </c>
      <c r="F4" s="5"/>
    </row>
    <row r="5" spans="1:6" x14ac:dyDescent="0.2">
      <c r="A5" s="5"/>
      <c r="B5" s="10" t="s">
        <v>14</v>
      </c>
      <c r="C5" s="14">
        <v>25000</v>
      </c>
      <c r="D5" s="5"/>
      <c r="E5" s="10"/>
      <c r="F5" s="5"/>
    </row>
    <row r="6" spans="1:6" ht="15.75" customHeight="1" x14ac:dyDescent="0.2">
      <c r="A6" s="5"/>
      <c r="B6" s="10" t="s">
        <v>29</v>
      </c>
      <c r="C6" s="14">
        <v>137170.75</v>
      </c>
      <c r="D6" s="5"/>
      <c r="E6" s="10"/>
      <c r="F6" s="5"/>
    </row>
    <row r="7" spans="1:6" ht="15.75" customHeight="1" x14ac:dyDescent="0.2">
      <c r="A7" s="5"/>
      <c r="B7" s="10" t="s">
        <v>30</v>
      </c>
      <c r="C7" s="14">
        <v>3846829.25</v>
      </c>
      <c r="D7" s="5"/>
      <c r="E7" s="10"/>
      <c r="F7" s="5"/>
    </row>
    <row r="8" spans="1:6" ht="15.75" customHeight="1" x14ac:dyDescent="0.2">
      <c r="A8" s="5"/>
      <c r="B8" s="10" t="s">
        <v>31</v>
      </c>
      <c r="C8" s="14">
        <v>16566</v>
      </c>
      <c r="D8" s="5"/>
      <c r="E8" s="10" t="s">
        <v>83</v>
      </c>
      <c r="F8" s="5"/>
    </row>
    <row r="9" spans="1:6" ht="15.75" customHeight="1" x14ac:dyDescent="0.2">
      <c r="A9" s="5"/>
      <c r="B9" s="10" t="s">
        <v>32</v>
      </c>
      <c r="C9" s="14">
        <v>250000</v>
      </c>
      <c r="D9" s="5"/>
      <c r="E9" s="10"/>
      <c r="F9" s="5"/>
    </row>
    <row r="10" spans="1:6" ht="15.75" customHeight="1" x14ac:dyDescent="0.2">
      <c r="A10" s="5"/>
      <c r="B10" s="10" t="s">
        <v>33</v>
      </c>
      <c r="C10" s="14">
        <v>100000</v>
      </c>
      <c r="D10" s="5"/>
      <c r="E10" s="10"/>
      <c r="F10" s="5"/>
    </row>
    <row r="11" spans="1:6" ht="15.75" customHeight="1" x14ac:dyDescent="0.2">
      <c r="A11" s="5"/>
      <c r="B11" s="10" t="s">
        <v>34</v>
      </c>
      <c r="C11" s="14">
        <v>300000</v>
      </c>
      <c r="D11" s="5"/>
      <c r="E11" s="10" t="s">
        <v>28</v>
      </c>
      <c r="F11" s="5"/>
    </row>
    <row r="12" spans="1:6" ht="15.75" customHeight="1" x14ac:dyDescent="0.2">
      <c r="A12" s="5"/>
      <c r="B12" s="10" t="s">
        <v>35</v>
      </c>
      <c r="C12" s="14">
        <v>37500</v>
      </c>
      <c r="D12" s="5"/>
      <c r="E12" s="10" t="s">
        <v>36</v>
      </c>
      <c r="F12" s="5"/>
    </row>
    <row r="13" spans="1:6" ht="15.75" customHeight="1" x14ac:dyDescent="0.2">
      <c r="A13" s="5"/>
      <c r="B13" s="10" t="s">
        <v>37</v>
      </c>
      <c r="C13" s="14">
        <v>250000</v>
      </c>
      <c r="D13" s="5"/>
      <c r="E13" s="10"/>
      <c r="F13" s="5"/>
    </row>
    <row r="14" spans="1:6" ht="15.75" customHeight="1" x14ac:dyDescent="0.2">
      <c r="A14" s="5"/>
      <c r="B14" s="10" t="s">
        <v>38</v>
      </c>
      <c r="C14" s="14">
        <v>100000</v>
      </c>
      <c r="D14" s="5"/>
      <c r="E14" s="10"/>
      <c r="F14" s="5"/>
    </row>
    <row r="15" spans="1:6" ht="15.75" customHeight="1" x14ac:dyDescent="0.2">
      <c r="A15" s="5"/>
      <c r="B15" s="10" t="s">
        <v>39</v>
      </c>
      <c r="C15" s="14">
        <v>41164</v>
      </c>
      <c r="D15" s="5"/>
      <c r="E15" s="10" t="s">
        <v>83</v>
      </c>
      <c r="F15" s="5"/>
    </row>
    <row r="16" spans="1:6" ht="15.75" customHeight="1" x14ac:dyDescent="0.2">
      <c r="A16" s="5"/>
      <c r="B16" s="10" t="s">
        <v>40</v>
      </c>
      <c r="C16" s="14">
        <v>2328778</v>
      </c>
      <c r="D16" s="5"/>
      <c r="E16" s="10" t="s">
        <v>83</v>
      </c>
      <c r="F16" s="5"/>
    </row>
    <row r="17" spans="1:6" ht="15.75" customHeight="1" x14ac:dyDescent="0.2">
      <c r="A17" s="5"/>
      <c r="B17" s="10" t="s">
        <v>41</v>
      </c>
      <c r="C17" s="14">
        <v>1506000</v>
      </c>
      <c r="D17" s="5"/>
      <c r="E17" s="10" t="s">
        <v>42</v>
      </c>
      <c r="F17" s="5"/>
    </row>
    <row r="18" spans="1:6" ht="15.75" customHeight="1" x14ac:dyDescent="0.2">
      <c r="A18" s="5"/>
      <c r="B18" s="10" t="s">
        <v>43</v>
      </c>
      <c r="C18" s="14">
        <v>50000</v>
      </c>
      <c r="D18" s="5"/>
      <c r="E18" s="10"/>
      <c r="F18" s="5"/>
    </row>
    <row r="19" spans="1:6" ht="15.75" customHeight="1" x14ac:dyDescent="0.2">
      <c r="A19" s="5"/>
      <c r="B19" s="10" t="s">
        <v>44</v>
      </c>
      <c r="C19" s="14">
        <v>212500</v>
      </c>
      <c r="D19" s="5"/>
      <c r="E19" s="10" t="s">
        <v>36</v>
      </c>
      <c r="F19" s="5"/>
    </row>
    <row r="20" spans="1:6" ht="15.75" customHeight="1" x14ac:dyDescent="0.2">
      <c r="A20" s="5"/>
      <c r="B20" s="10" t="s">
        <v>45</v>
      </c>
      <c r="C20" s="14">
        <v>25000</v>
      </c>
      <c r="D20" s="5"/>
      <c r="E20" s="10"/>
      <c r="F20" s="5"/>
    </row>
    <row r="21" spans="1:6" ht="15.75" customHeight="1" x14ac:dyDescent="0.2">
      <c r="A21" s="5"/>
      <c r="B21" s="10" t="s">
        <v>46</v>
      </c>
      <c r="C21" s="14">
        <v>61746</v>
      </c>
      <c r="D21" s="5"/>
      <c r="E21" s="10" t="s">
        <v>83</v>
      </c>
      <c r="F21" s="5"/>
    </row>
    <row r="22" spans="1:6" ht="15.75" customHeight="1" x14ac:dyDescent="0.2">
      <c r="A22" s="5"/>
      <c r="B22" s="10" t="s">
        <v>47</v>
      </c>
      <c r="C22" s="14">
        <v>100000</v>
      </c>
      <c r="D22" s="5"/>
      <c r="E22" s="10"/>
      <c r="F22" s="5"/>
    </row>
    <row r="23" spans="1:6" ht="15.75" customHeight="1" x14ac:dyDescent="0.2">
      <c r="A23" s="5"/>
      <c r="B23" s="10" t="s">
        <v>48</v>
      </c>
      <c r="C23" s="14">
        <v>100000</v>
      </c>
      <c r="D23" s="5"/>
      <c r="E23" s="10"/>
      <c r="F23" s="5"/>
    </row>
    <row r="24" spans="1:6" ht="15.75" customHeight="1" x14ac:dyDescent="0.2">
      <c r="A24" s="5"/>
      <c r="B24" s="10" t="s">
        <v>49</v>
      </c>
      <c r="C24" s="14">
        <v>61746</v>
      </c>
      <c r="D24" s="5"/>
      <c r="E24" s="10" t="s">
        <v>83</v>
      </c>
      <c r="F24" s="5"/>
    </row>
    <row r="25" spans="1:6" ht="15.75" customHeight="1" x14ac:dyDescent="0.2">
      <c r="A25" s="5"/>
      <c r="B25" s="10" t="s">
        <v>50</v>
      </c>
      <c r="C25" s="14">
        <v>250000</v>
      </c>
      <c r="D25" s="5"/>
      <c r="E25" s="10" t="s">
        <v>51</v>
      </c>
      <c r="F25" s="5"/>
    </row>
    <row r="26" spans="1:6" ht="15.75" customHeight="1" x14ac:dyDescent="0.2">
      <c r="A26" s="5"/>
      <c r="B26" s="5"/>
      <c r="C26" s="4"/>
      <c r="D26" s="5"/>
      <c r="E26" s="5"/>
      <c r="F26" s="5"/>
    </row>
    <row r="27" spans="1:6" ht="15.75" customHeight="1" x14ac:dyDescent="0.2">
      <c r="A27" s="5"/>
      <c r="B27" s="10" t="s">
        <v>0</v>
      </c>
      <c r="C27" s="14">
        <f>SUM(C4:C25)</f>
        <v>9825000</v>
      </c>
      <c r="D27" s="5"/>
      <c r="E27" s="5"/>
      <c r="F2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5CBD5-178D-0A40-B587-3EA86FFC7A75}">
  <dimension ref="B1:O46"/>
  <sheetViews>
    <sheetView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5.5" customWidth="1"/>
    <col min="10" max="10" width="16.83203125" customWidth="1"/>
    <col min="11" max="11" width="0.5" customWidth="1"/>
    <col min="12" max="12" width="13.83203125" customWidth="1"/>
    <col min="13" max="13" width="0.5" customWidth="1"/>
    <col min="14" max="14" width="15.5" customWidth="1"/>
    <col min="15" max="15" width="16.83203125" customWidth="1"/>
    <col min="16" max="16" width="6.33203125" customWidth="1"/>
  </cols>
  <sheetData>
    <row r="1" spans="2:15" x14ac:dyDescent="0.2">
      <c r="B1" s="20" t="s">
        <v>52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2:15" ht="15.5" customHeight="1" x14ac:dyDescent="0.2">
      <c r="B2" s="20" t="s">
        <v>84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2:15" ht="16.25" customHeight="1" thickBot="1" x14ac:dyDescent="0.25"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</row>
    <row r="4" spans="2:15" ht="13.75" customHeight="1" thickBot="1" x14ac:dyDescent="0.25">
      <c r="C4" s="27" t="s">
        <v>53</v>
      </c>
      <c r="D4" s="27" t="s">
        <v>26</v>
      </c>
      <c r="E4" s="27"/>
      <c r="G4" s="26" t="s">
        <v>54</v>
      </c>
      <c r="I4" s="27" t="s">
        <v>55</v>
      </c>
      <c r="J4" s="27"/>
      <c r="L4" s="26" t="s">
        <v>54</v>
      </c>
      <c r="N4" s="27" t="s">
        <v>56</v>
      </c>
      <c r="O4" s="27"/>
    </row>
    <row r="5" spans="2:15" x14ac:dyDescent="0.2">
      <c r="C5" s="7" t="s">
        <v>57</v>
      </c>
      <c r="D5" s="9" t="s">
        <v>58</v>
      </c>
      <c r="E5" s="7" t="s">
        <v>59</v>
      </c>
      <c r="G5" s="48" t="s">
        <v>60</v>
      </c>
      <c r="I5" s="9" t="s">
        <v>58</v>
      </c>
      <c r="J5" s="7" t="s">
        <v>59</v>
      </c>
      <c r="L5" s="48" t="s">
        <v>60</v>
      </c>
      <c r="N5" s="9" t="s">
        <v>61</v>
      </c>
      <c r="O5" s="7" t="s">
        <v>85</v>
      </c>
    </row>
    <row r="6" spans="2:15" ht="13.75" customHeight="1" thickBot="1" x14ac:dyDescent="0.25">
      <c r="C6" s="7" t="s">
        <v>62</v>
      </c>
      <c r="D6" s="18" t="s">
        <v>63</v>
      </c>
      <c r="E6" s="18" t="s">
        <v>64</v>
      </c>
      <c r="G6" s="49" t="s">
        <v>80</v>
      </c>
      <c r="I6" s="18" t="s">
        <v>63</v>
      </c>
      <c r="J6" s="18" t="s">
        <v>62</v>
      </c>
      <c r="L6" s="49" t="s">
        <v>81</v>
      </c>
      <c r="N6" s="18" t="s">
        <v>62</v>
      </c>
      <c r="O6" s="18" t="s">
        <v>65</v>
      </c>
    </row>
    <row r="7" spans="2:15" x14ac:dyDescent="0.2">
      <c r="B7" s="29" t="s">
        <v>66</v>
      </c>
      <c r="C7" s="30"/>
      <c r="D7" s="31"/>
      <c r="E7" s="30"/>
      <c r="F7" s="32"/>
      <c r="G7" s="47"/>
      <c r="H7" s="32"/>
      <c r="I7" s="31"/>
      <c r="J7" s="30"/>
      <c r="K7" s="32"/>
      <c r="L7" s="47"/>
      <c r="M7" s="32"/>
      <c r="N7" s="30"/>
      <c r="O7" s="33"/>
    </row>
    <row r="8" spans="2:15" x14ac:dyDescent="0.2">
      <c r="B8" s="38" t="s">
        <v>8</v>
      </c>
      <c r="C8" s="16">
        <f>'Sidekick Cap Table'!G4</f>
        <v>3600000</v>
      </c>
      <c r="D8" s="25"/>
      <c r="E8" s="15"/>
      <c r="G8" s="15"/>
      <c r="I8" s="25"/>
      <c r="J8" s="15"/>
      <c r="L8" s="15"/>
      <c r="N8" s="15">
        <f>C8+E8+G8+J8+L8</f>
        <v>3600000</v>
      </c>
      <c r="O8" s="42">
        <f ca="1">N8/$N$31</f>
        <v>0.19407534339071297</v>
      </c>
    </row>
    <row r="9" spans="2:15" x14ac:dyDescent="0.2">
      <c r="B9" s="38" t="s">
        <v>9</v>
      </c>
      <c r="C9" s="16">
        <f>'Sidekick Cap Table'!G5</f>
        <v>3600000</v>
      </c>
      <c r="D9" s="25"/>
      <c r="E9" s="15"/>
      <c r="G9" s="15"/>
      <c r="I9" s="25"/>
      <c r="J9" s="15"/>
      <c r="L9" s="15"/>
      <c r="N9" s="15">
        <f>C9+E9+G9+J9+L9</f>
        <v>3600000</v>
      </c>
      <c r="O9" s="42">
        <f ca="1">N9/$N$31</f>
        <v>0.19407534339071297</v>
      </c>
    </row>
    <row r="10" spans="2:15" x14ac:dyDescent="0.2">
      <c r="B10" s="38" t="s">
        <v>11</v>
      </c>
      <c r="C10" s="16">
        <f>'Sidekick Cap Table'!G7</f>
        <v>592500</v>
      </c>
      <c r="D10" s="25"/>
      <c r="E10" s="15"/>
      <c r="G10" s="15"/>
      <c r="I10" s="25"/>
      <c r="J10" s="15"/>
      <c r="L10" s="15"/>
      <c r="N10" s="15">
        <f>C10+E10+G10+J10+L10</f>
        <v>592500</v>
      </c>
      <c r="O10" s="42">
        <f ca="1">N10/$N$31</f>
        <v>3.1941566933054839E-2</v>
      </c>
    </row>
    <row r="11" spans="2:15" x14ac:dyDescent="0.2">
      <c r="B11" s="38" t="s">
        <v>12</v>
      </c>
      <c r="C11" s="16">
        <f>'Sidekick Cap Table'!G8</f>
        <v>592500</v>
      </c>
      <c r="D11" s="25"/>
      <c r="E11" s="15"/>
      <c r="G11" s="15"/>
      <c r="I11" s="25"/>
      <c r="J11" s="15"/>
      <c r="L11" s="15"/>
      <c r="N11" s="15">
        <f>C11+E11+G11+J11+L11</f>
        <v>592500</v>
      </c>
      <c r="O11" s="42">
        <f ca="1">N11/$N$31</f>
        <v>3.1941566933054839E-2</v>
      </c>
    </row>
    <row r="12" spans="2:15" x14ac:dyDescent="0.2">
      <c r="B12" s="38" t="s">
        <v>18</v>
      </c>
      <c r="C12" s="16">
        <f>'Sidekick Cap Table'!G14</f>
        <v>285000</v>
      </c>
      <c r="D12" s="25"/>
      <c r="E12" s="15"/>
      <c r="G12" s="15"/>
      <c r="I12" s="25"/>
      <c r="J12" s="15"/>
      <c r="L12" s="15"/>
      <c r="N12" s="15">
        <f>C12+E12+G12+J12+L12</f>
        <v>285000</v>
      </c>
      <c r="O12" s="42">
        <f ca="1">N12/$N$31</f>
        <v>1.5364298018431442E-2</v>
      </c>
    </row>
    <row r="13" spans="2:15" x14ac:dyDescent="0.2">
      <c r="B13" s="38" t="s">
        <v>20</v>
      </c>
      <c r="C13" s="16">
        <f>'Sidekick Cap Table'!G16</f>
        <v>285000</v>
      </c>
      <c r="D13" s="25"/>
      <c r="E13" s="15"/>
      <c r="G13" s="15"/>
      <c r="I13" s="25"/>
      <c r="J13" s="15"/>
      <c r="L13" s="15"/>
      <c r="N13" s="15">
        <f>C13+E13+G13+J13+L13</f>
        <v>285000</v>
      </c>
      <c r="O13" s="42">
        <f ca="1">N13/$N$31</f>
        <v>1.5364298018431442E-2</v>
      </c>
    </row>
    <row r="14" spans="2:15" x14ac:dyDescent="0.2">
      <c r="B14" s="38" t="s">
        <v>10</v>
      </c>
      <c r="C14" s="16">
        <f>'Sidekick Cap Table'!G6</f>
        <v>222187</v>
      </c>
      <c r="D14" s="25"/>
      <c r="E14" s="15"/>
      <c r="G14" s="15"/>
      <c r="I14" s="25"/>
      <c r="J14" s="15"/>
      <c r="L14" s="15"/>
      <c r="N14" s="15">
        <f>C14+E14+G14+J14+L14</f>
        <v>222187</v>
      </c>
      <c r="O14" s="42">
        <f ca="1">N14/$N$31</f>
        <v>1.1978060644986762E-2</v>
      </c>
    </row>
    <row r="15" spans="2:15" x14ac:dyDescent="0.2">
      <c r="B15" s="38" t="s">
        <v>13</v>
      </c>
      <c r="C15" s="16">
        <f>'Sidekick Cap Table'!G9</f>
        <v>112400</v>
      </c>
      <c r="D15" s="25"/>
      <c r="E15" s="15"/>
      <c r="G15" s="15"/>
      <c r="I15" s="25"/>
      <c r="J15" s="15"/>
      <c r="L15" s="15"/>
      <c r="N15" s="15">
        <f>C15+E15+G15+J15+L15</f>
        <v>112400</v>
      </c>
      <c r="O15" s="42">
        <f ca="1">N15/$N$31</f>
        <v>6.0594634991989272E-3</v>
      </c>
    </row>
    <row r="16" spans="2:15" x14ac:dyDescent="0.2">
      <c r="B16" s="38" t="s">
        <v>79</v>
      </c>
      <c r="C16" s="16">
        <f>'Sidekick Cap Table'!G10+'Sidekick Cap Table'!G11+'Sidekick Cap Table'!G12+'Sidekick Cap Table'!G13+'Sidekick Cap Table'!G15+'Sidekick Cap Table'!G17+'Sidekick Cap Table'!G18+'Sidekick Cap Table'!G19+'Sidekick Cap Table'!G20</f>
        <v>385571</v>
      </c>
      <c r="D16" s="25"/>
      <c r="E16" s="15"/>
      <c r="G16" s="15"/>
      <c r="I16" s="25"/>
      <c r="J16" s="15"/>
      <c r="L16" s="15"/>
      <c r="N16" s="15">
        <f>C16+E16+G16+J16+L16</f>
        <v>385571</v>
      </c>
      <c r="O16" s="42">
        <f ca="1">N16/$N$31</f>
        <v>2.0786062285139052E-2</v>
      </c>
    </row>
    <row r="17" spans="2:15" x14ac:dyDescent="0.2">
      <c r="B17" s="39"/>
      <c r="C17" s="15"/>
      <c r="D17" s="25"/>
      <c r="E17" s="15"/>
      <c r="G17" s="15"/>
      <c r="I17" s="25"/>
      <c r="J17" s="15"/>
      <c r="L17" s="15"/>
      <c r="N17" s="15"/>
      <c r="O17" s="42"/>
    </row>
    <row r="18" spans="2:15" ht="13.5" customHeight="1" x14ac:dyDescent="0.2">
      <c r="B18" s="38" t="s">
        <v>25</v>
      </c>
      <c r="C18" s="15"/>
      <c r="D18" s="25"/>
      <c r="E18" s="15"/>
      <c r="G18" s="16">
        <f>'Sidekick Cap Table'!G21</f>
        <v>65105</v>
      </c>
      <c r="I18" s="25"/>
      <c r="J18" s="15"/>
      <c r="L18" s="15">
        <f ca="1">IFERROR(ROUND($C$46*N31,0)-G18,0)</f>
        <v>1789845</v>
      </c>
      <c r="N18" s="15">
        <f ca="1">C18+E18+G18+J18+L18</f>
        <v>1854950</v>
      </c>
      <c r="O18" s="42">
        <f ca="1">N18/$N$31</f>
        <v>0.10000001617294528</v>
      </c>
    </row>
    <row r="19" spans="2:15" x14ac:dyDescent="0.2">
      <c r="B19" s="38" t="s">
        <v>67</v>
      </c>
      <c r="C19" s="28">
        <f>SUM(C8:C18)</f>
        <v>9675158</v>
      </c>
      <c r="D19" s="25">
        <f>SUM(D8:D18)</f>
        <v>0</v>
      </c>
      <c r="E19" s="15">
        <f>SUM(E8:E18)</f>
        <v>0</v>
      </c>
      <c r="G19" s="28">
        <f>SUM(G8:G18)</f>
        <v>65105</v>
      </c>
      <c r="I19" s="25">
        <f>SUM(I8:I18)</f>
        <v>0</v>
      </c>
      <c r="J19" s="15">
        <f>SUM(J8:J18)</f>
        <v>0</v>
      </c>
      <c r="L19" s="28">
        <f ca="1">SUM(L8:L18)</f>
        <v>1789845</v>
      </c>
      <c r="N19" s="28">
        <f ca="1">SUM(N8:N18)</f>
        <v>11530108</v>
      </c>
      <c r="O19" s="43">
        <f ca="1">N19/$N$31</f>
        <v>0.62158601928666857</v>
      </c>
    </row>
    <row r="20" spans="2:15" x14ac:dyDescent="0.2">
      <c r="B20" s="40" t="s">
        <v>68</v>
      </c>
      <c r="C20" s="15"/>
      <c r="D20" s="25"/>
      <c r="E20" s="15"/>
      <c r="G20" s="15"/>
      <c r="I20" s="25"/>
      <c r="J20" s="15"/>
      <c r="L20" s="15"/>
      <c r="N20" s="15"/>
      <c r="O20" s="42"/>
    </row>
    <row r="21" spans="2:15" x14ac:dyDescent="0.2">
      <c r="B21" s="38" t="s">
        <v>42</v>
      </c>
      <c r="C21" s="15"/>
      <c r="D21" s="50">
        <f>'SAFE Investments'!C6+'SAFE Investments'!C7+'SAFE Investments'!C8+'SAFE Investments'!C15+'SAFE Investments'!C16+'SAFE Investments'!C17+'SAFE Investments'!C21+'SAFE Investments'!C24</f>
        <v>8000000</v>
      </c>
      <c r="E21" s="15">
        <f>IFERROR(ROUND(D21/$E$33,0),0)</f>
        <v>1939567</v>
      </c>
      <c r="G21" s="15"/>
      <c r="I21" s="25">
        <f>$C$44</f>
        <v>5000000</v>
      </c>
      <c r="J21" s="15">
        <f ca="1">IFERROR(ROUND(I21/$J$33,0),0)</f>
        <v>1159340</v>
      </c>
      <c r="L21" s="15"/>
      <c r="N21" s="15">
        <f ca="1">C21+E21+J21</f>
        <v>3098907</v>
      </c>
      <c r="O21" s="42">
        <f ca="1">N21/$N$31</f>
        <v>0.16706151115580115</v>
      </c>
    </row>
    <row r="22" spans="2:15" x14ac:dyDescent="0.2">
      <c r="B22" s="38" t="s">
        <v>69</v>
      </c>
      <c r="C22" s="15"/>
      <c r="D22" s="25"/>
      <c r="E22" s="15"/>
      <c r="G22" s="15"/>
      <c r="I22" s="25">
        <f>$C$43</f>
        <v>12000000</v>
      </c>
      <c r="J22" s="15">
        <f ca="1">IFERROR(ROUND(I22/$J$33,0),0)</f>
        <v>2782415</v>
      </c>
      <c r="L22" s="15"/>
      <c r="N22" s="15">
        <f ca="1">C22+E22+J22</f>
        <v>2782415</v>
      </c>
      <c r="O22" s="42">
        <f ca="1">N22/$N$31</f>
        <v>0.14999948516124184</v>
      </c>
    </row>
    <row r="23" spans="2:15" x14ac:dyDescent="0.2">
      <c r="B23" s="38" t="s">
        <v>89</v>
      </c>
      <c r="C23" s="15"/>
      <c r="D23" s="50">
        <f>'SAFE Investments'!C9</f>
        <v>250000</v>
      </c>
      <c r="E23" s="15">
        <f>IFERROR(ROUND(D23/$E$33,0),0)</f>
        <v>60611</v>
      </c>
      <c r="G23" s="15"/>
      <c r="I23" s="25"/>
      <c r="J23" s="15"/>
      <c r="L23" s="15"/>
      <c r="N23" s="15">
        <f>C23+E23+J23</f>
        <v>60611</v>
      </c>
      <c r="O23" s="42">
        <f ca="1">N23/$N$31</f>
        <v>3.2675279550706954E-3</v>
      </c>
    </row>
    <row r="24" spans="2:15" x14ac:dyDescent="0.2">
      <c r="B24" s="38" t="s">
        <v>34</v>
      </c>
      <c r="C24" s="15"/>
      <c r="D24" s="50">
        <f>'SAFE Investments'!C11</f>
        <v>300000</v>
      </c>
      <c r="E24" s="15">
        <f>IFERROR(ROUND(D24/$E$33,0),0)</f>
        <v>72734</v>
      </c>
      <c r="G24" s="15"/>
      <c r="I24" s="25"/>
      <c r="J24" s="15"/>
      <c r="L24" s="15"/>
      <c r="N24" s="15">
        <f>C24+E24+J24</f>
        <v>72734</v>
      </c>
      <c r="O24" s="42">
        <f ca="1">N24/$N$31</f>
        <v>3.9210766739389211E-3</v>
      </c>
    </row>
    <row r="25" spans="2:15" x14ac:dyDescent="0.2">
      <c r="B25" s="38" t="s">
        <v>37</v>
      </c>
      <c r="C25" s="15"/>
      <c r="D25" s="50">
        <f>'SAFE Investments'!C13</f>
        <v>250000</v>
      </c>
      <c r="E25" s="15">
        <f>IFERROR(ROUND(D25/$E$33,0),0)</f>
        <v>60611</v>
      </c>
      <c r="G25" s="15"/>
      <c r="I25" s="25"/>
      <c r="J25" s="15"/>
      <c r="L25" s="15"/>
      <c r="N25" s="15">
        <f>C25+E25+J25</f>
        <v>60611</v>
      </c>
      <c r="O25" s="42">
        <f ca="1">N25/$N$31</f>
        <v>3.2675279550706954E-3</v>
      </c>
    </row>
    <row r="26" spans="2:15" x14ac:dyDescent="0.2">
      <c r="B26" s="38" t="s">
        <v>44</v>
      </c>
      <c r="C26" s="15"/>
      <c r="D26" s="50">
        <f>'SAFE Investments'!C19</f>
        <v>212500</v>
      </c>
      <c r="E26" s="15">
        <f>IFERROR(ROUND(D26/$E$33,0),0)</f>
        <v>51520</v>
      </c>
      <c r="G26" s="15"/>
      <c r="I26" s="25"/>
      <c r="J26" s="15"/>
      <c r="L26" s="15"/>
      <c r="N26" s="15">
        <f>C26+E26+J26</f>
        <v>51520</v>
      </c>
      <c r="O26" s="42">
        <f ca="1">N26/$N$31</f>
        <v>2.7774338031915369E-3</v>
      </c>
    </row>
    <row r="27" spans="2:15" x14ac:dyDescent="0.2">
      <c r="B27" s="38" t="s">
        <v>50</v>
      </c>
      <c r="C27" s="15"/>
      <c r="D27" s="50">
        <f>'SAFE Investments'!C25</f>
        <v>250000</v>
      </c>
      <c r="E27" s="15">
        <f>IFERROR(ROUND(D27/$E$33,0),0)</f>
        <v>60611</v>
      </c>
      <c r="G27" s="15"/>
      <c r="I27" s="25"/>
      <c r="J27" s="15"/>
      <c r="L27" s="15"/>
      <c r="N27" s="15">
        <f>C27+E27+J27</f>
        <v>60611</v>
      </c>
      <c r="O27" s="42">
        <f ca="1">N27/$N$31</f>
        <v>3.2675279550706954E-3</v>
      </c>
    </row>
    <row r="28" spans="2:15" x14ac:dyDescent="0.2">
      <c r="B28" s="38" t="s">
        <v>90</v>
      </c>
      <c r="C28" s="15"/>
      <c r="D28" s="50">
        <f>'SAFE Investments'!C4+'SAFE Investments'!C5+'SAFE Investments'!C10+'SAFE Investments'!C12+'SAFE Investments'!C14+'SAFE Investments'!C18+'SAFE Investments'!C20+'SAFE Investments'!C22+'SAFE Investments'!C23</f>
        <v>562500</v>
      </c>
      <c r="E28" s="15">
        <f>IFERROR(ROUND(D28/$E$33,0),0)</f>
        <v>136376</v>
      </c>
      <c r="G28" s="15"/>
      <c r="I28" s="25"/>
      <c r="J28" s="15"/>
      <c r="L28" s="15"/>
      <c r="N28" s="15">
        <f>C28+E28+J28</f>
        <v>136376</v>
      </c>
      <c r="O28" s="42">
        <f ca="1">N28/$N$31</f>
        <v>7.3520052861810754E-3</v>
      </c>
    </row>
    <row r="29" spans="2:15" x14ac:dyDescent="0.2">
      <c r="B29" s="38" t="s">
        <v>70</v>
      </c>
      <c r="C29" s="15"/>
      <c r="D29" s="25"/>
      <c r="E29" s="15"/>
      <c r="G29" s="15"/>
      <c r="I29" s="25">
        <f>$C$45</f>
        <v>3000000</v>
      </c>
      <c r="J29" s="15">
        <f ca="1">IFERROR(ROUND(I29/$J$33,0),0)</f>
        <v>695604</v>
      </c>
      <c r="L29" s="15"/>
      <c r="N29" s="15">
        <f ca="1">C29+E29+J29</f>
        <v>695604</v>
      </c>
      <c r="O29" s="42">
        <f ca="1">N29/$N$31</f>
        <v>3.7499884767764863E-2</v>
      </c>
    </row>
    <row r="30" spans="2:15" x14ac:dyDescent="0.2">
      <c r="B30" s="39"/>
      <c r="C30" s="15"/>
      <c r="D30" s="25"/>
      <c r="E30" s="15"/>
      <c r="G30" s="15"/>
      <c r="I30" s="25"/>
      <c r="J30" s="15"/>
      <c r="L30" s="15"/>
      <c r="N30" s="15"/>
      <c r="O30" s="42"/>
    </row>
    <row r="31" spans="2:15" x14ac:dyDescent="0.2">
      <c r="B31" s="38" t="s">
        <v>71</v>
      </c>
      <c r="C31" s="34">
        <f>C19+SUM(C21:C29)</f>
        <v>9675158</v>
      </c>
      <c r="D31" s="35">
        <f>SUM(D8:D29)</f>
        <v>9825000</v>
      </c>
      <c r="E31" s="34">
        <f>SUM(E8:E29)</f>
        <v>2382030</v>
      </c>
      <c r="G31" s="34">
        <f>G18</f>
        <v>65105</v>
      </c>
      <c r="I31" s="35">
        <f>SUM(I21:I30)</f>
        <v>20000000</v>
      </c>
      <c r="J31" s="34">
        <f ca="1">SUM(J21:J30)</f>
        <v>4637359</v>
      </c>
      <c r="L31" s="34">
        <f ca="1">L18</f>
        <v>1789845</v>
      </c>
      <c r="N31" s="34">
        <f ca="1">SUM(N21:N30)+N19</f>
        <v>18549497</v>
      </c>
      <c r="O31" s="44">
        <f ca="1">SUM(O21:O29)+O19</f>
        <v>1</v>
      </c>
    </row>
    <row r="32" spans="2:15" ht="13.75" customHeight="1" x14ac:dyDescent="0.2">
      <c r="B32" s="39"/>
      <c r="O32" s="45"/>
    </row>
    <row r="33" spans="2:15" ht="13.75" customHeight="1" x14ac:dyDescent="0.2">
      <c r="B33" s="38" t="s">
        <v>72</v>
      </c>
      <c r="E33" s="22">
        <f>($C$42-D31)/'Sidekick Cap Table'!G23</f>
        <v>4.1246319529565065</v>
      </c>
      <c r="J33" s="23">
        <f ca="1">IFERROR(ROUND(J35/N31,4),0)</f>
        <v>4.3128000000000002</v>
      </c>
      <c r="O33" s="45"/>
    </row>
    <row r="34" spans="2:15" x14ac:dyDescent="0.2">
      <c r="B34" s="38" t="s">
        <v>73</v>
      </c>
      <c r="J34" s="24">
        <f>J35-I31</f>
        <v>60000000</v>
      </c>
      <c r="O34" s="45"/>
    </row>
    <row r="35" spans="2:15" ht="13.75" customHeight="1" thickBot="1" x14ac:dyDescent="0.25">
      <c r="B35" s="41" t="s">
        <v>74</v>
      </c>
      <c r="C35" s="36"/>
      <c r="D35" s="36"/>
      <c r="E35" s="36"/>
      <c r="F35" s="36"/>
      <c r="G35" s="36"/>
      <c r="H35" s="36"/>
      <c r="I35" s="36"/>
      <c r="J35" s="37">
        <f>C39+C40</f>
        <v>80000000</v>
      </c>
      <c r="K35" s="36"/>
      <c r="L35" s="36"/>
      <c r="M35" s="36"/>
      <c r="N35" s="36"/>
      <c r="O35" s="46"/>
    </row>
    <row r="37" spans="2:15" x14ac:dyDescent="0.2">
      <c r="B37" s="6" t="s">
        <v>75</v>
      </c>
    </row>
    <row r="39" spans="2:15" x14ac:dyDescent="0.2">
      <c r="B39" s="6" t="s">
        <v>73</v>
      </c>
      <c r="C39" s="17">
        <v>60000000</v>
      </c>
    </row>
    <row r="40" spans="2:15" x14ac:dyDescent="0.2">
      <c r="B40" s="6" t="s">
        <v>76</v>
      </c>
      <c r="C40" s="17">
        <v>20000000</v>
      </c>
    </row>
    <row r="41" spans="2:15" x14ac:dyDescent="0.2">
      <c r="B41" s="6" t="s">
        <v>86</v>
      </c>
      <c r="C41" s="1">
        <f>I31/J35</f>
        <v>0.25</v>
      </c>
    </row>
    <row r="42" spans="2:15" x14ac:dyDescent="0.2">
      <c r="B42" s="6" t="s">
        <v>87</v>
      </c>
      <c r="C42" s="17">
        <v>50000000</v>
      </c>
    </row>
    <row r="43" spans="2:15" x14ac:dyDescent="0.2">
      <c r="B43" s="6" t="s">
        <v>88</v>
      </c>
      <c r="C43" s="17">
        <v>12000000</v>
      </c>
    </row>
    <row r="44" spans="2:15" x14ac:dyDescent="0.2">
      <c r="B44" s="6" t="s">
        <v>82</v>
      </c>
      <c r="C44" s="17">
        <v>5000000</v>
      </c>
    </row>
    <row r="45" spans="2:15" x14ac:dyDescent="0.2">
      <c r="B45" s="6" t="s">
        <v>78</v>
      </c>
      <c r="C45" s="17">
        <v>3000000</v>
      </c>
    </row>
    <row r="46" spans="2:15" x14ac:dyDescent="0.2">
      <c r="B46" s="6" t="s">
        <v>77</v>
      </c>
      <c r="C46" s="8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Sidekick Cap Table</vt:lpstr>
      <vt:lpstr>SAFE Investments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2026-04-13T19:21:08Z</dcterms:modified>
</cp:coreProperties>
</file>