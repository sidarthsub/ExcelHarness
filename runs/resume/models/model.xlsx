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2B8674A8-8D31-A842-80F7-DC0C9C95F142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Sidekick Cap Table" sheetId="19" r:id="rId1"/>
    <sheet name="SAFE Investments" sheetId="20" r:id="rId2"/>
    <sheet name="Series A" sheetId="24" r:id="rId3"/>
    <sheet name="Series B" sheetId="25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25" l="1"/>
  <c r="M34" i="25"/>
  <c r="H34" i="25"/>
  <c r="E34" i="25"/>
  <c r="M33" i="25"/>
  <c r="H33" i="25"/>
  <c r="E33" i="25"/>
  <c r="Q31" i="25"/>
  <c r="O31" i="25"/>
  <c r="M31" i="25"/>
  <c r="L31" i="25"/>
  <c r="J31" i="25"/>
  <c r="H31" i="25"/>
  <c r="G31" i="25"/>
  <c r="E31" i="25"/>
  <c r="D31" i="25"/>
  <c r="C31" i="25"/>
  <c r="R29" i="25"/>
  <c r="Q29" i="25"/>
  <c r="M29" i="25"/>
  <c r="L29" i="25"/>
  <c r="R28" i="25"/>
  <c r="Q28" i="25"/>
  <c r="M28" i="25"/>
  <c r="L28" i="25"/>
  <c r="H28" i="25"/>
  <c r="G28" i="25"/>
  <c r="R27" i="25"/>
  <c r="Q27" i="25"/>
  <c r="M27" i="25"/>
  <c r="L27" i="25"/>
  <c r="H27" i="25"/>
  <c r="G27" i="25"/>
  <c r="R26" i="25"/>
  <c r="Q26" i="25"/>
  <c r="E26" i="25"/>
  <c r="D26" i="25"/>
  <c r="R25" i="25"/>
  <c r="Q25" i="25"/>
  <c r="E25" i="25"/>
  <c r="D25" i="25"/>
  <c r="R24" i="25"/>
  <c r="Q24" i="25"/>
  <c r="E24" i="25"/>
  <c r="D24" i="25"/>
  <c r="R23" i="25"/>
  <c r="Q23" i="25"/>
  <c r="E23" i="25"/>
  <c r="D23" i="25"/>
  <c r="R22" i="25"/>
  <c r="Q22" i="25"/>
  <c r="E22" i="25"/>
  <c r="D22" i="25"/>
  <c r="R21" i="25"/>
  <c r="Q21" i="25"/>
  <c r="E21" i="25"/>
  <c r="D21" i="25"/>
  <c r="R20" i="25"/>
  <c r="Q20" i="25"/>
  <c r="M20" i="25"/>
  <c r="L20" i="25"/>
  <c r="H20" i="25"/>
  <c r="G20" i="25"/>
  <c r="E20" i="25"/>
  <c r="D20" i="25"/>
  <c r="R17" i="25"/>
  <c r="Q17" i="25"/>
  <c r="O17" i="25"/>
  <c r="J17" i="25"/>
  <c r="C17" i="25"/>
  <c r="R16" i="25"/>
  <c r="Q16" i="25"/>
  <c r="O16" i="25"/>
  <c r="J16" i="25"/>
  <c r="C16" i="25"/>
  <c r="R15" i="25"/>
  <c r="Q15" i="25"/>
  <c r="C15" i="25"/>
  <c r="R14" i="25"/>
  <c r="Q14" i="25"/>
  <c r="C14" i="25"/>
  <c r="R13" i="25"/>
  <c r="Q13" i="25"/>
  <c r="C13" i="25"/>
  <c r="R12" i="25"/>
  <c r="Q12" i="25"/>
  <c r="C12" i="25"/>
  <c r="R11" i="25"/>
  <c r="Q11" i="25"/>
  <c r="C11" i="25"/>
  <c r="R10" i="25"/>
  <c r="Q10" i="25"/>
  <c r="C10" i="25"/>
  <c r="R9" i="25"/>
  <c r="Q9" i="25"/>
  <c r="C9" i="25"/>
  <c r="R8" i="25"/>
  <c r="Q8" i="25"/>
  <c r="C8" i="25"/>
  <c r="R7" i="25"/>
  <c r="Q7" i="25"/>
  <c r="C7" i="25"/>
  <c r="C51" i="25"/>
  <c r="C50" i="25"/>
  <c r="C49" i="25"/>
  <c r="C48" i="25"/>
  <c r="C47" i="25"/>
  <c r="C46" i="25"/>
  <c r="C45" i="25"/>
  <c r="C44" i="25"/>
  <c r="C43" i="25"/>
  <c r="C42" i="25"/>
  <c r="C41" i="25"/>
  <c r="C39" i="25"/>
  <c r="L17" i="24"/>
  <c r="M30" i="24"/>
  <c r="L30" i="24"/>
  <c r="J30" i="24"/>
  <c r="H30" i="24"/>
  <c r="G30" i="24"/>
  <c r="E30" i="24"/>
  <c r="D30" i="24"/>
  <c r="C30" i="24"/>
  <c r="H34" i="24"/>
  <c r="E34" i="24"/>
  <c r="H33" i="24"/>
  <c r="E33" i="24"/>
  <c r="H32" i="24"/>
  <c r="E32" i="24"/>
  <c r="M28" i="24"/>
  <c r="L28" i="24"/>
  <c r="H28" i="24"/>
  <c r="G28" i="24"/>
  <c r="M27" i="24"/>
  <c r="L27" i="24"/>
  <c r="H27" i="24"/>
  <c r="G27" i="24"/>
  <c r="M26" i="24"/>
  <c r="L26" i="24"/>
  <c r="E26" i="24"/>
  <c r="D26" i="24"/>
  <c r="M25" i="24"/>
  <c r="L25" i="24"/>
  <c r="E25" i="24"/>
  <c r="D25" i="24"/>
  <c r="M24" i="24"/>
  <c r="L24" i="24"/>
  <c r="E24" i="24"/>
  <c r="D24" i="24"/>
  <c r="M23" i="24"/>
  <c r="L23" i="24"/>
  <c r="E23" i="24"/>
  <c r="D23" i="24"/>
  <c r="M22" i="24"/>
  <c r="L22" i="24"/>
  <c r="E22" i="24"/>
  <c r="D22" i="24"/>
  <c r="M21" i="24"/>
  <c r="L21" i="24"/>
  <c r="E21" i="24"/>
  <c r="D21" i="24"/>
  <c r="M20" i="24"/>
  <c r="L20" i="24"/>
  <c r="H20" i="24"/>
  <c r="G20" i="24"/>
  <c r="E20" i="24"/>
  <c r="D20" i="24"/>
  <c r="M17" i="24"/>
  <c r="J17" i="24"/>
  <c r="C17" i="24"/>
  <c r="M16" i="24"/>
  <c r="L16" i="24"/>
  <c r="J16" i="24"/>
  <c r="C16" i="24"/>
  <c r="M15" i="24"/>
  <c r="L15" i="24"/>
  <c r="C15" i="24"/>
  <c r="M14" i="24"/>
  <c r="L14" i="24"/>
  <c r="C14" i="24"/>
  <c r="M13" i="24"/>
  <c r="L13" i="24"/>
  <c r="C13" i="24"/>
  <c r="M12" i="24"/>
  <c r="L12" i="24"/>
  <c r="C12" i="24"/>
  <c r="M11" i="24"/>
  <c r="L11" i="24"/>
  <c r="C11" i="24"/>
  <c r="M10" i="24"/>
  <c r="L10" i="24"/>
  <c r="C10" i="24"/>
  <c r="M9" i="24"/>
  <c r="L9" i="24"/>
  <c r="C9" i="24"/>
  <c r="M8" i="24"/>
  <c r="L8" i="24"/>
  <c r="C8" i="24"/>
  <c r="M7" i="24"/>
  <c r="L7" i="24"/>
  <c r="C7" i="24"/>
  <c r="C53" i="24"/>
  <c r="C52" i="24"/>
  <c r="C51" i="24"/>
  <c r="C50" i="24"/>
  <c r="C49" i="24"/>
  <c r="C48" i="24"/>
  <c r="C47" i="24"/>
  <c r="C46" i="24"/>
  <c r="C45" i="24"/>
  <c r="C44" i="24"/>
  <c r="C41" i="24"/>
</calcChain>
</file>

<file path=xl/sharedStrings.xml><?xml version="1.0" encoding="utf-8"?>
<sst xmlns="http://schemas.openxmlformats.org/spreadsheetml/2006/main" count="204" uniqueCount="116">
  <si>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</si>
  <si>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</si>
  <si>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</si>
  <si>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</si>
  <si>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</si>
  <si>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</si>
  <si>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</si>
  <si>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</si>
  <si>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</si>
  <si>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</si>
  <si>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</si>
  <si>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</si>
  <si>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</si>
  <si>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</si>
  <si>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</si>
  <si>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</si>
  <si>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</si>
  <si>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</si>
  <si>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</si>
  <si>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</si>
  <si>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</si>
  <si>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</si>
  <si>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</si>
  <si>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</si>
  <si>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</si>
  <si>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</si>
  <si>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</si>
  <si>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</si>
  <si>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</si>
  <si>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</si>
  <si>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</si>
  <si>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</si>
  <si>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Transfer from Owl Rock Capital II, LLC (Accomplice)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</si>
  <si>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</si>
  <si>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</si>
  <si>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</si>
  <si>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</si>
  <si>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</si>
  <si>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</si>
  <si>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</si>
  <si>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</si>
  <si>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</si>
  <si>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</si>
  <si>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</si>
  <si>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</si>
  <si>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</si>
  <si>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</si>
  <si>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</si>
  <si>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</si>
  <si>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</si>
  <si>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</si>
  <si>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</si>
  <si>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</si>
  <si>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</si>
  <si>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</si>
  <si>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</si>
  <si>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</si>
  <si>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</si>
  <si>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</si>
  <si>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</si>
  <si>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</si>
  <si>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</si>
  <si>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</si>
  <si>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</si>
  <si>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</si>
  <si>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</si>
  <si>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</si>
  <si>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</si>
  <si>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</si>
  <si>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</si>
  <si>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</si>
  <si>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</si>
  <si>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</si>
  <si>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</si>
  <si>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</si>
  <si>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</si>
  <si>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</si>
  <si>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Accomplice Investment</t>
  </si>
  <si>
    <t>SAFE Post-Money Valuation Cap</t>
  </si>
  <si>
    <t>Series B</t>
  </si>
  <si>
    <t>Pre B</t>
  </si>
  <si>
    <t>Series B Assumptions:</t>
  </si>
  <si>
    <t>Common</t>
  </si>
  <si>
    <t>Option</t>
  </si>
  <si>
    <t>SIDEKICK (THINK MORE SECURITY) &amp; 1011/ACCOMPLICE SERIES A</t>
  </si>
  <si>
    <t>Other Common Shareholders</t>
  </si>
  <si>
    <t>ESOP Available</t>
  </si>
  <si>
    <t>Accomplice (Affiliated Funds)</t>
  </si>
  <si>
    <t>Other SAFE Investors</t>
  </si>
  <si>
    <t>Other Series A Investment</t>
  </si>
  <si>
    <t>Option Pool Target (% Post-Money)</t>
  </si>
  <si>
    <t>Existing Unallocated Options</t>
  </si>
  <si>
    <t>New Option Pool Shares</t>
  </si>
  <si>
    <t>Pre-existing Capitalization</t>
  </si>
  <si>
    <t>Total SAFE Invested</t>
  </si>
  <si>
    <t>SAFE Price per Share</t>
  </si>
  <si>
    <t>Total SAFE Conversion Shares</t>
  </si>
  <si>
    <t>Total Post-Money FD Shares</t>
  </si>
  <si>
    <t>Series A Price per Share</t>
  </si>
  <si>
    <t>Total Series A Shares</t>
  </si>
  <si>
    <t>Check (Investments = Total Raised)</t>
  </si>
  <si>
    <t>Other Series B Investment</t>
  </si>
  <si>
    <t>Remaining for Pro Rata</t>
  </si>
  <si>
    <t>Option Pool Gross Top-Up (%)</t>
  </si>
  <si>
    <t>Post-A Total FD Shares</t>
  </si>
  <si>
    <t>Post-A ESOP Available</t>
  </si>
  <si>
    <t>Series B Price per Share</t>
  </si>
  <si>
    <t>Total Series B Shares</t>
  </si>
  <si>
    <t>Post-B FD (before option top-up)</t>
  </si>
  <si>
    <t>Post-B Total FD Shares</t>
  </si>
  <si>
    <t>New Option Pool Shares (Gross Top-Up)</t>
  </si>
  <si>
    <t>1011 Pro Rata B Investment</t>
  </si>
  <si>
    <t>Accomplice Pro Rata B Investment</t>
  </si>
  <si>
    <t>Other A Investors Pro Rata B Investment</t>
  </si>
  <si>
    <t>SIDEKICK (THINK MORE SECURITY) &amp; 1011/ACCOMPLICE SERIES B</t>
  </si>
  <si>
    <t>Other Series B Investors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</si>
</sst>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7" formatCode="#,##0.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1"/>
      <color theme="1"/>
      <name val="Calibri"/>
      <family val="2"/>
    </font>
    <font>
      <sz val="12"/>
      <color rgb="FF008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6" fillId="0" borderId="0" xfId="0" applyFont="1"/>
    <xf numFmtId="3" fontId="0" fillId="0" borderId="0" xfId="0" applyNumberFormat="1"/>
    <xf numFmtId="10" fontId="0" fillId="0" borderId="0" xfId="0" applyNumberFormat="1"/>
    <xf numFmtId="3" fontId="16" fillId="0" borderId="0" xfId="0" applyNumberFormat="1" applyFont="1"/>
    <xf numFmtId="10" fontId="16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0" borderId="10" xfId="0" applyFont="1" applyBorder="1"/>
    <xf numFmtId="3" fontId="19" fillId="0" borderId="10" xfId="0" applyNumberFormat="1" applyFont="1" applyBorder="1"/>
    <xf numFmtId="10" fontId="19" fillId="0" borderId="10" xfId="0" applyNumberFormat="1" applyFont="1" applyBorder="1"/>
    <xf numFmtId="0" fontId="19" fillId="0" borderId="11" xfId="0" applyFont="1" applyBorder="1" applyAlignment="1">
      <alignment horizontal="center"/>
    </xf>
    <xf numFmtId="0" fontId="16" fillId="0" borderId="10" xfId="0" applyFont="1" applyBorder="1"/>
    <xf numFmtId="3" fontId="18" fillId="34" borderId="0" xfId="0" applyNumberFormat="1" applyFont="1" applyFill="1"/>
    <xf numFmtId="165" fontId="18" fillId="34" borderId="0" xfId="0" applyNumberFormat="1" applyFont="1" applyFill="1"/>
    <xf numFmtId="3" fontId="16" fillId="0" borderId="10" xfId="0" applyNumberFormat="1" applyFont="1" applyBorder="1"/>
    <xf numFmtId="10" fontId="16" fillId="0" borderId="10" xfId="0" applyNumberFormat="1" applyFont="1" applyBorder="1"/>
    <xf numFmtId="167" fontId="0" fillId="0" borderId="0" xfId="0" applyNumberFormat="1"/>
    <xf numFmtId="3" fontId="20" fillId="0" borderId="0" xfId="0" applyNumberFormat="1" applyFont="1"/>
    <xf numFmtId="0" fontId="16" fillId="0" borderId="0" xfId="0" applyFont="1" applyFill="1" applyBorder="1"/>
    <xf numFmtId="167" fontId="2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63D99-0A1B-7A4C-810F-F1C88706AF91}">
  <dimension ref="A1:H22"/>
  <sheetViews>
    <sheetView workbookViewId="0">
      <selection activeCell="G25" sqref="G25"/>
    </sheetView>
  </sheetViews>
  <sheetFormatPr baseColWidth="10" defaultRowHeight="16" x14ac:dyDescent="0.2"/>
  <cols>
    <col min="1" max="1" width="3.83203125" customWidth="1"/>
    <col min="2" max="2" width="23.33203125" bestFit="1" customWidth="1"/>
    <col min="3" max="3" width="10.5" bestFit="1" customWidth="1"/>
    <col min="4" max="5" width="7.6640625" bestFit="1" customWidth="1"/>
    <col min="6" max="6" width="14.83203125" bestFit="1" customWidth="1"/>
    <col min="7" max="7" width="9.1640625" bestFit="1" customWidth="1"/>
    <col min="8" max="8" width="7.1640625" bestFit="1" customWidth="1"/>
  </cols>
  <sheetData>
    <row r="1" spans="1:8" x14ac:dyDescent="0.2">
      <c r="A1" s="7"/>
      <c r="B1" s="7"/>
      <c r="C1" s="7"/>
      <c r="D1" s="7"/>
      <c r="E1" s="7"/>
      <c r="F1" s="7"/>
      <c r="G1" s="7"/>
      <c r="H1" s="7" t="s">
        <v>1</v>
      </c>
    </row>
    <row r="2" spans="1:8" x14ac:dyDescent="0.2">
      <c r="A2" s="8"/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0</v>
      </c>
      <c r="H2" s="8" t="s">
        <v>7</v>
      </c>
    </row>
    <row r="3" spans="1:8" x14ac:dyDescent="0.2">
      <c r="B3" t="s">
        <v>8</v>
      </c>
      <c r="C3" s="2">
        <v>3600000</v>
      </c>
      <c r="D3" s="2"/>
      <c r="E3" s="2"/>
      <c r="F3" s="2"/>
      <c r="G3" s="2">
        <v>3600000</v>
      </c>
      <c r="H3" s="3">
        <v>0.36959987630724139</v>
      </c>
    </row>
    <row r="4" spans="1:8" x14ac:dyDescent="0.2">
      <c r="B4" t="s">
        <v>9</v>
      </c>
      <c r="C4" s="2">
        <v>3600000</v>
      </c>
      <c r="D4" s="2"/>
      <c r="E4" s="2"/>
      <c r="F4" s="2"/>
      <c r="G4" s="2">
        <v>3600000</v>
      </c>
      <c r="H4" s="3">
        <v>0.36959987630724139</v>
      </c>
    </row>
    <row r="5" spans="1:8" x14ac:dyDescent="0.2">
      <c r="B5" t="s">
        <v>10</v>
      </c>
      <c r="C5" s="2">
        <v>222187</v>
      </c>
      <c r="D5" s="2"/>
      <c r="E5" s="2"/>
      <c r="F5" s="2"/>
      <c r="G5" s="2">
        <v>222187</v>
      </c>
      <c r="H5" s="3">
        <v>2.28111910325214E-2</v>
      </c>
    </row>
    <row r="6" spans="1:8" x14ac:dyDescent="0.2">
      <c r="B6" t="s">
        <v>11</v>
      </c>
      <c r="C6" s="2">
        <v>592500</v>
      </c>
      <c r="D6" s="2"/>
      <c r="E6" s="2"/>
      <c r="F6" s="2"/>
      <c r="G6" s="2">
        <v>592500</v>
      </c>
      <c r="H6" s="3">
        <v>6.0829979642233481E-2</v>
      </c>
    </row>
    <row r="7" spans="1:8" x14ac:dyDescent="0.2">
      <c r="B7" t="s">
        <v>12</v>
      </c>
      <c r="C7" s="2">
        <v>592500</v>
      </c>
      <c r="D7" s="2"/>
      <c r="E7" s="2"/>
      <c r="F7" s="2"/>
      <c r="G7" s="2">
        <v>592500</v>
      </c>
      <c r="H7" s="3">
        <v>6.0829979642233481E-2</v>
      </c>
    </row>
    <row r="8" spans="1:8" x14ac:dyDescent="0.2">
      <c r="B8" t="s">
        <v>13</v>
      </c>
      <c r="C8" s="2">
        <v>13500</v>
      </c>
      <c r="D8" s="2">
        <v>98900</v>
      </c>
      <c r="E8" s="2"/>
      <c r="F8" s="2"/>
      <c r="G8" s="2">
        <v>112400</v>
      </c>
      <c r="H8" s="3">
        <v>1.1539729471370537E-2</v>
      </c>
    </row>
    <row r="9" spans="1:8" x14ac:dyDescent="0.2">
      <c r="B9" t="s">
        <v>14</v>
      </c>
      <c r="C9" s="2">
        <v>9000</v>
      </c>
      <c r="D9" s="2"/>
      <c r="E9" s="2"/>
      <c r="F9" s="2"/>
      <c r="G9" s="2">
        <v>9000</v>
      </c>
      <c r="H9" s="3">
        <v>9.2399969076810353E-4</v>
      </c>
    </row>
    <row r="10" spans="1:8" x14ac:dyDescent="0.2">
      <c r="B10" t="s">
        <v>15</v>
      </c>
      <c r="C10" s="2"/>
      <c r="D10" s="2">
        <v>95000</v>
      </c>
      <c r="E10" s="2"/>
      <c r="F10" s="2"/>
      <c r="G10" s="2">
        <v>95000</v>
      </c>
      <c r="H10" s="3">
        <v>9.7533300692188695E-3</v>
      </c>
    </row>
    <row r="11" spans="1:8" x14ac:dyDescent="0.2">
      <c r="B11" t="s">
        <v>16</v>
      </c>
      <c r="C11" s="2"/>
      <c r="D11" s="2"/>
      <c r="E11" s="2">
        <v>25000</v>
      </c>
      <c r="F11" s="2"/>
      <c r="G11" s="2">
        <v>25000</v>
      </c>
      <c r="H11" s="3">
        <v>2.5666658076891765E-3</v>
      </c>
    </row>
    <row r="12" spans="1:8" x14ac:dyDescent="0.2">
      <c r="B12" t="s">
        <v>17</v>
      </c>
      <c r="C12" s="2"/>
      <c r="D12" s="2"/>
      <c r="E12" s="2">
        <v>41562</v>
      </c>
      <c r="F12" s="2"/>
      <c r="G12" s="2">
        <v>41562</v>
      </c>
      <c r="H12" s="3">
        <v>4.2670305719671019E-3</v>
      </c>
    </row>
    <row r="13" spans="1:8" x14ac:dyDescent="0.2">
      <c r="B13" t="s">
        <v>18</v>
      </c>
      <c r="C13" s="2"/>
      <c r="D13" s="2">
        <v>285000</v>
      </c>
      <c r="E13" s="2"/>
      <c r="F13" s="2"/>
      <c r="G13" s="2">
        <v>285000</v>
      </c>
      <c r="H13" s="3">
        <v>2.925999020765661E-2</v>
      </c>
    </row>
    <row r="14" spans="1:8" x14ac:dyDescent="0.2">
      <c r="B14" t="s">
        <v>19</v>
      </c>
      <c r="C14" s="2"/>
      <c r="D14" s="2">
        <v>50000</v>
      </c>
      <c r="E14" s="2"/>
      <c r="F14" s="2"/>
      <c r="G14" s="2">
        <v>50000</v>
      </c>
      <c r="H14" s="3">
        <v>5.133331615378353E-3</v>
      </c>
    </row>
    <row r="15" spans="1:8" x14ac:dyDescent="0.2">
      <c r="B15" t="s">
        <v>20</v>
      </c>
      <c r="C15" s="2"/>
      <c r="D15" s="2">
        <v>285000</v>
      </c>
      <c r="E15" s="2"/>
      <c r="F15" s="2"/>
      <c r="G15" s="2">
        <v>285000</v>
      </c>
      <c r="H15" s="3">
        <v>2.925999020765661E-2</v>
      </c>
    </row>
    <row r="16" spans="1:8" x14ac:dyDescent="0.2">
      <c r="B16" t="s">
        <v>21</v>
      </c>
      <c r="C16" s="2"/>
      <c r="D16" s="2"/>
      <c r="E16" s="2">
        <v>96186</v>
      </c>
      <c r="F16" s="2"/>
      <c r="G16" s="2">
        <v>96186</v>
      </c>
      <c r="H16" s="3">
        <v>9.8750926951356455E-3</v>
      </c>
    </row>
    <row r="17" spans="1:8" x14ac:dyDescent="0.2">
      <c r="B17" t="s">
        <v>22</v>
      </c>
      <c r="C17" s="2"/>
      <c r="D17" s="2"/>
      <c r="E17" s="2">
        <v>48095</v>
      </c>
      <c r="F17" s="2"/>
      <c r="G17" s="2">
        <v>48095</v>
      </c>
      <c r="H17" s="3">
        <v>4.9377516808324371E-3</v>
      </c>
    </row>
    <row r="18" spans="1:8" x14ac:dyDescent="0.2">
      <c r="B18" t="s">
        <v>23</v>
      </c>
      <c r="C18" s="2"/>
      <c r="D18" s="2"/>
      <c r="E18" s="2"/>
      <c r="F18" s="2">
        <v>12395</v>
      </c>
      <c r="G18" s="2">
        <v>12395</v>
      </c>
      <c r="H18" s="3">
        <v>1.2725529074522936E-3</v>
      </c>
    </row>
    <row r="19" spans="1:8" x14ac:dyDescent="0.2">
      <c r="B19" t="s">
        <v>24</v>
      </c>
      <c r="C19" s="2"/>
      <c r="D19" s="2"/>
      <c r="E19" s="2"/>
      <c r="F19" s="2">
        <v>8333</v>
      </c>
      <c r="G19" s="2">
        <v>8333</v>
      </c>
      <c r="H19" s="3">
        <v>8.5552104701895626E-4</v>
      </c>
    </row>
    <row r="20" spans="1:8" x14ac:dyDescent="0.2">
      <c r="B20" t="s">
        <v>25</v>
      </c>
      <c r="C20" s="2"/>
      <c r="D20" s="2">
        <v>65105</v>
      </c>
      <c r="E20" s="2"/>
      <c r="F20" s="2"/>
      <c r="G20" s="2">
        <v>65105</v>
      </c>
      <c r="H20" s="3">
        <v>6.6841110963841528E-3</v>
      </c>
    </row>
    <row r="21" spans="1:8" ht="17" thickBot="1" x14ac:dyDescent="0.25">
      <c r="A21" s="9"/>
      <c r="B21" s="9" t="s">
        <v>0</v>
      </c>
      <c r="C21" s="10">
        <v>8629687</v>
      </c>
      <c r="D21" s="10">
        <v>879005</v>
      </c>
      <c r="E21" s="10">
        <v>210843</v>
      </c>
      <c r="F21" s="10">
        <v>20728</v>
      </c>
      <c r="G21" s="10">
        <v>9740263</v>
      </c>
      <c r="H21" s="11"/>
    </row>
    <row r="22" spans="1:8" ht="17" thickTop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A1E8-9CBB-4243-8159-522C32655D43}">
  <dimension ref="A1:E25"/>
  <sheetViews>
    <sheetView workbookViewId="0">
      <selection activeCell="C25" sqref="C25"/>
    </sheetView>
  </sheetViews>
  <sheetFormatPr baseColWidth="10" defaultRowHeight="16" x14ac:dyDescent="0.2"/>
  <cols>
    <col min="1" max="1" width="3.83203125" customWidth="1"/>
    <col min="2" max="2" width="38.5" bestFit="1" customWidth="1"/>
    <col min="3" max="3" width="9.1640625" bestFit="1" customWidth="1"/>
    <col min="4" max="4" width="3.83203125" customWidth="1"/>
    <col min="5" max="5" width="43.1640625" bestFit="1" customWidth="1"/>
  </cols>
  <sheetData>
    <row r="1" spans="1:5" x14ac:dyDescent="0.2">
      <c r="A1" s="8"/>
      <c r="B1" s="8" t="s">
        <v>2</v>
      </c>
      <c r="C1" s="8" t="s">
        <v>26</v>
      </c>
      <c r="D1" s="8"/>
      <c r="E1" s="8" t="s">
        <v>27</v>
      </c>
    </row>
    <row r="2" spans="1:5" x14ac:dyDescent="0.2">
      <c r="B2" t="s">
        <v>13</v>
      </c>
      <c r="C2" s="2">
        <v>25000</v>
      </c>
      <c r="E2" t="s">
        <v>28</v>
      </c>
    </row>
    <row r="3" spans="1:5" x14ac:dyDescent="0.2">
      <c r="B3" t="s">
        <v>14</v>
      </c>
      <c r="C3" s="2">
        <v>25000</v>
      </c>
    </row>
    <row r="4" spans="1:5" x14ac:dyDescent="0.2">
      <c r="B4" t="s">
        <v>29</v>
      </c>
      <c r="C4" s="2">
        <v>137170.75</v>
      </c>
    </row>
    <row r="5" spans="1:5" x14ac:dyDescent="0.2">
      <c r="B5" t="s">
        <v>30</v>
      </c>
      <c r="C5" s="2">
        <v>3846829.25</v>
      </c>
    </row>
    <row r="6" spans="1:5" x14ac:dyDescent="0.2">
      <c r="B6" t="s">
        <v>31</v>
      </c>
      <c r="C6" s="2">
        <v>16566</v>
      </c>
      <c r="E6" t="s">
        <v>32</v>
      </c>
    </row>
    <row r="7" spans="1:5" x14ac:dyDescent="0.2">
      <c r="B7" t="s">
        <v>33</v>
      </c>
      <c r="C7" s="2">
        <v>250000</v>
      </c>
    </row>
    <row r="8" spans="1:5" x14ac:dyDescent="0.2">
      <c r="B8" t="s">
        <v>34</v>
      </c>
      <c r="C8" s="2">
        <v>100000</v>
      </c>
    </row>
    <row r="9" spans="1:5" x14ac:dyDescent="0.2">
      <c r="B9" t="s">
        <v>35</v>
      </c>
      <c r="C9" s="2">
        <v>300000</v>
      </c>
      <c r="E9" t="s">
        <v>28</v>
      </c>
    </row>
    <row r="10" spans="1:5" x14ac:dyDescent="0.2">
      <c r="B10" t="s">
        <v>36</v>
      </c>
      <c r="C10" s="2">
        <v>37500</v>
      </c>
      <c r="E10" t="s">
        <v>37</v>
      </c>
    </row>
    <row r="11" spans="1:5" x14ac:dyDescent="0.2">
      <c r="B11" t="s">
        <v>38</v>
      </c>
      <c r="C11" s="2">
        <v>250000</v>
      </c>
    </row>
    <row r="12" spans="1:5" x14ac:dyDescent="0.2">
      <c r="B12" t="s">
        <v>39</v>
      </c>
      <c r="C12" s="2">
        <v>100000</v>
      </c>
    </row>
    <row r="13" spans="1:5" x14ac:dyDescent="0.2">
      <c r="B13" t="s">
        <v>40</v>
      </c>
      <c r="C13" s="2">
        <v>41164</v>
      </c>
      <c r="E13" t="s">
        <v>32</v>
      </c>
    </row>
    <row r="14" spans="1:5" x14ac:dyDescent="0.2">
      <c r="B14" t="s">
        <v>41</v>
      </c>
      <c r="C14" s="2">
        <v>2328778</v>
      </c>
      <c r="E14" t="s">
        <v>32</v>
      </c>
    </row>
    <row r="15" spans="1:5" x14ac:dyDescent="0.2">
      <c r="B15" t="s">
        <v>42</v>
      </c>
      <c r="C15" s="2">
        <v>1506000</v>
      </c>
      <c r="E15" t="s">
        <v>43</v>
      </c>
    </row>
    <row r="16" spans="1:5" x14ac:dyDescent="0.2">
      <c r="B16" t="s">
        <v>44</v>
      </c>
      <c r="C16" s="2">
        <v>50000</v>
      </c>
    </row>
    <row r="17" spans="1:5" x14ac:dyDescent="0.2">
      <c r="B17" t="s">
        <v>45</v>
      </c>
      <c r="C17" s="2">
        <v>212500</v>
      </c>
      <c r="E17" t="s">
        <v>37</v>
      </c>
    </row>
    <row r="18" spans="1:5" x14ac:dyDescent="0.2">
      <c r="B18" t="s">
        <v>46</v>
      </c>
      <c r="C18" s="2">
        <v>25000</v>
      </c>
    </row>
    <row r="19" spans="1:5" x14ac:dyDescent="0.2">
      <c r="B19" t="s">
        <v>47</v>
      </c>
      <c r="C19" s="2">
        <v>61746</v>
      </c>
      <c r="E19" t="s">
        <v>32</v>
      </c>
    </row>
    <row r="20" spans="1:5" x14ac:dyDescent="0.2">
      <c r="B20" t="s">
        <v>48</v>
      </c>
      <c r="C20" s="2">
        <v>100000</v>
      </c>
    </row>
    <row r="21" spans="1:5" x14ac:dyDescent="0.2">
      <c r="B21" t="s">
        <v>49</v>
      </c>
      <c r="C21" s="2">
        <v>100000</v>
      </c>
    </row>
    <row r="22" spans="1:5" x14ac:dyDescent="0.2">
      <c r="B22" t="s">
        <v>50</v>
      </c>
      <c r="C22" s="2">
        <v>61746</v>
      </c>
      <c r="E22" t="s">
        <v>32</v>
      </c>
    </row>
    <row r="23" spans="1:5" x14ac:dyDescent="0.2">
      <c r="B23" t="s">
        <v>51</v>
      </c>
      <c r="C23" s="2">
        <v>250000</v>
      </c>
      <c r="E23" t="s">
        <v>52</v>
      </c>
    </row>
    <row r="24" spans="1:5" ht="17" thickBot="1" x14ac:dyDescent="0.25">
      <c r="A24" s="9"/>
      <c r="B24" s="9" t="s">
        <v>0</v>
      </c>
      <c r="C24" s="10">
        <v>9825000</v>
      </c>
      <c r="D24" s="9"/>
      <c r="E24" s="9"/>
    </row>
    <row r="25" spans="1:5" ht="17" thickTop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D7B37-73DF-F641-9F36-44DBA8C4C9E2}">
  <dimension ref="A1:M53"/>
  <sheetViews>
    <sheetView tabSelected="1" workbookViewId="0">
      <selection activeCell="K14" sqref="K14"/>
    </sheetView>
  </sheetViews>
  <sheetFormatPr baseColWidth="10" defaultRowHeight="16" x14ac:dyDescent="0.2"/>
  <cols>
    <col min="1" max="1" width="3.83203125" customWidth="1"/>
    <col min="2" max="2" width="51.33203125" bestFit="1" customWidth="1"/>
    <col min="3" max="3" width="10.1640625" bestFit="1" customWidth="1"/>
    <col min="4" max="4" width="9.1640625" bestFit="1" customWidth="1"/>
    <col min="5" max="5" width="10.1640625" bestFit="1" customWidth="1"/>
    <col min="6" max="6" width="3.83203125" customWidth="1"/>
    <col min="7" max="8" width="10.1640625" bestFit="1" customWidth="1"/>
    <col min="9" max="9" width="3.83203125" customWidth="1"/>
    <col min="10" max="10" width="9.1640625" bestFit="1" customWidth="1"/>
    <col min="11" max="11" width="3.83203125" customWidth="1"/>
    <col min="12" max="12" width="15.83203125" bestFit="1" customWidth="1"/>
    <col min="13" max="13" width="8.1640625" bestFit="1" customWidth="1"/>
  </cols>
  <sheetData>
    <row r="1" spans="1:13" x14ac:dyDescent="0.2">
      <c r="B1" s="6" t="s">
        <v>84</v>
      </c>
    </row>
    <row r="3" spans="1:13" x14ac:dyDescent="0.2">
      <c r="A3" s="7"/>
      <c r="B3" s="7"/>
      <c r="C3" s="7" t="s">
        <v>82</v>
      </c>
      <c r="D3" s="7" t="s">
        <v>26</v>
      </c>
      <c r="E3" s="7"/>
      <c r="F3" s="7"/>
      <c r="G3" s="7" t="s">
        <v>53</v>
      </c>
      <c r="H3" s="7"/>
      <c r="I3" s="7"/>
      <c r="J3" s="7" t="s">
        <v>83</v>
      </c>
      <c r="K3" s="7"/>
      <c r="L3" s="7" t="s">
        <v>54</v>
      </c>
      <c r="M3" s="7"/>
    </row>
    <row r="4" spans="1:13" x14ac:dyDescent="0.2">
      <c r="A4" s="7"/>
      <c r="B4" s="7"/>
      <c r="C4" s="7" t="s">
        <v>55</v>
      </c>
      <c r="D4" s="7" t="s">
        <v>56</v>
      </c>
      <c r="E4" s="7" t="s">
        <v>57</v>
      </c>
      <c r="F4" s="7"/>
      <c r="G4" s="7" t="s">
        <v>56</v>
      </c>
      <c r="H4" s="7" t="s">
        <v>57</v>
      </c>
      <c r="I4" s="7"/>
      <c r="J4" s="7" t="s">
        <v>58</v>
      </c>
      <c r="K4" s="7"/>
      <c r="L4" s="7" t="s">
        <v>59</v>
      </c>
      <c r="M4" s="7" t="s">
        <v>60</v>
      </c>
    </row>
    <row r="5" spans="1:13" x14ac:dyDescent="0.2">
      <c r="A5" s="12"/>
      <c r="B5" s="12"/>
      <c r="C5" s="12" t="s">
        <v>61</v>
      </c>
      <c r="D5" s="12" t="s">
        <v>62</v>
      </c>
      <c r="E5" s="12" t="s">
        <v>61</v>
      </c>
      <c r="F5" s="12"/>
      <c r="G5" s="12" t="s">
        <v>62</v>
      </c>
      <c r="H5" s="12" t="s">
        <v>61</v>
      </c>
      <c r="I5" s="12"/>
      <c r="J5" s="12" t="s">
        <v>63</v>
      </c>
      <c r="K5" s="12"/>
      <c r="L5" s="12" t="s">
        <v>61</v>
      </c>
      <c r="M5" s="12" t="s">
        <v>64</v>
      </c>
    </row>
    <row r="6" spans="1:13" x14ac:dyDescent="0.2">
      <c r="B6" s="1" t="s">
        <v>65</v>
      </c>
    </row>
    <row r="7" spans="1:13" x14ac:dyDescent="0.2">
      <c r="B7" t="s">
        <v>8</v>
      </c>
      <c r="C7" s="19">
        <f>'Sidekick Cap Table'!G3</f>
        <v>3600000</v>
      </c>
      <c r="D7" s="2"/>
      <c r="E7" s="2"/>
      <c r="G7" s="2"/>
      <c r="H7" s="2"/>
      <c r="J7" s="2"/>
      <c r="L7" s="2">
        <f>C7</f>
        <v>3600000</v>
      </c>
      <c r="M7" s="3">
        <f>L7/$C$49</f>
        <v>0.2019135244706487</v>
      </c>
    </row>
    <row r="8" spans="1:13" x14ac:dyDescent="0.2">
      <c r="B8" t="s">
        <v>9</v>
      </c>
      <c r="C8" s="19">
        <f>'Sidekick Cap Table'!G4</f>
        <v>3600000</v>
      </c>
      <c r="D8" s="2"/>
      <c r="E8" s="2"/>
      <c r="G8" s="2"/>
      <c r="H8" s="2"/>
      <c r="J8" s="2"/>
      <c r="L8" s="2">
        <f>C8</f>
        <v>3600000</v>
      </c>
      <c r="M8" s="3">
        <f>L8/$C$49</f>
        <v>0.2019135244706487</v>
      </c>
    </row>
    <row r="9" spans="1:13" x14ac:dyDescent="0.2">
      <c r="B9" t="s">
        <v>11</v>
      </c>
      <c r="C9" s="19">
        <f>'Sidekick Cap Table'!G6</f>
        <v>592500</v>
      </c>
      <c r="D9" s="2"/>
      <c r="E9" s="2"/>
      <c r="G9" s="2"/>
      <c r="H9" s="2"/>
      <c r="J9" s="2"/>
      <c r="L9" s="2">
        <f>C9</f>
        <v>592500</v>
      </c>
      <c r="M9" s="3">
        <f>L9/$C$49</f>
        <v>3.3231600902460932E-2</v>
      </c>
    </row>
    <row r="10" spans="1:13" x14ac:dyDescent="0.2">
      <c r="B10" t="s">
        <v>12</v>
      </c>
      <c r="C10" s="19">
        <f>'Sidekick Cap Table'!G7</f>
        <v>592500</v>
      </c>
      <c r="D10" s="2"/>
      <c r="E10" s="2"/>
      <c r="G10" s="2"/>
      <c r="H10" s="2"/>
      <c r="J10" s="2"/>
      <c r="L10" s="2">
        <f>C10</f>
        <v>592500</v>
      </c>
      <c r="M10" s="3">
        <f>L10/$C$49</f>
        <v>3.3231600902460932E-2</v>
      </c>
    </row>
    <row r="11" spans="1:13" x14ac:dyDescent="0.2">
      <c r="B11" t="s">
        <v>10</v>
      </c>
      <c r="C11" s="19">
        <f>'Sidekick Cap Table'!G5</f>
        <v>222187</v>
      </c>
      <c r="D11" s="2"/>
      <c r="E11" s="2"/>
      <c r="G11" s="2"/>
      <c r="H11" s="2"/>
      <c r="J11" s="2"/>
      <c r="L11" s="2">
        <f>C11</f>
        <v>222187</v>
      </c>
      <c r="M11" s="3">
        <f>L11/$C$49</f>
        <v>1.2461822294877785E-2</v>
      </c>
    </row>
    <row r="12" spans="1:13" x14ac:dyDescent="0.2">
      <c r="B12" t="s">
        <v>18</v>
      </c>
      <c r="C12" s="19">
        <f>'Sidekick Cap Table'!G13</f>
        <v>285000</v>
      </c>
      <c r="D12" s="2"/>
      <c r="E12" s="2"/>
      <c r="G12" s="2"/>
      <c r="H12" s="2"/>
      <c r="J12" s="2"/>
      <c r="L12" s="2">
        <f>C12</f>
        <v>285000</v>
      </c>
      <c r="M12" s="3">
        <f>L12/$C$49</f>
        <v>1.598482068725969E-2</v>
      </c>
    </row>
    <row r="13" spans="1:13" x14ac:dyDescent="0.2">
      <c r="B13" t="s">
        <v>20</v>
      </c>
      <c r="C13" s="19">
        <f>'Sidekick Cap Table'!G15</f>
        <v>285000</v>
      </c>
      <c r="D13" s="2"/>
      <c r="E13" s="2"/>
      <c r="G13" s="2"/>
      <c r="H13" s="2"/>
      <c r="J13" s="2"/>
      <c r="L13" s="2">
        <f>C13</f>
        <v>285000</v>
      </c>
      <c r="M13" s="3">
        <f>L13/$C$49</f>
        <v>1.598482068725969E-2</v>
      </c>
    </row>
    <row r="14" spans="1:13" x14ac:dyDescent="0.2">
      <c r="B14" t="s">
        <v>13</v>
      </c>
      <c r="C14" s="19">
        <f>'Sidekick Cap Table'!G8</f>
        <v>112400</v>
      </c>
      <c r="D14" s="2"/>
      <c r="E14" s="2"/>
      <c r="G14" s="2"/>
      <c r="H14" s="2"/>
      <c r="J14" s="2"/>
      <c r="L14" s="2">
        <f>C14</f>
        <v>112400</v>
      </c>
      <c r="M14" s="3">
        <f>L14/$C$49</f>
        <v>6.3041889306946989E-3</v>
      </c>
    </row>
    <row r="15" spans="1:13" x14ac:dyDescent="0.2">
      <c r="B15" t="s">
        <v>85</v>
      </c>
      <c r="C15" s="19">
        <f>'Sidekick Cap Table'!G9+'Sidekick Cap Table'!G10+'Sidekick Cap Table'!G11+'Sidekick Cap Table'!G12+'Sidekick Cap Table'!G14+'Sidekick Cap Table'!G16+'Sidekick Cap Table'!G17+'Sidekick Cap Table'!G18+'Sidekick Cap Table'!G19</f>
        <v>385571</v>
      </c>
      <c r="D15" s="2"/>
      <c r="E15" s="2"/>
      <c r="G15" s="2"/>
      <c r="H15" s="2"/>
      <c r="J15" s="2"/>
      <c r="L15" s="2">
        <f>C15</f>
        <v>385571</v>
      </c>
      <c r="M15" s="3">
        <f>L15/$C$49</f>
        <v>2.1625555428797915E-2</v>
      </c>
    </row>
    <row r="16" spans="1:13" x14ac:dyDescent="0.2">
      <c r="B16" t="s">
        <v>86</v>
      </c>
      <c r="C16" s="19">
        <f>'Sidekick Cap Table'!G20</f>
        <v>65105</v>
      </c>
      <c r="D16" s="2"/>
      <c r="E16" s="2"/>
      <c r="G16" s="2"/>
      <c r="H16" s="2"/>
      <c r="J16" s="2">
        <f>$C$52</f>
        <v>1717836.4891538464</v>
      </c>
      <c r="L16" s="2">
        <f>C16+J16</f>
        <v>1782941.4891538464</v>
      </c>
      <c r="M16" s="3">
        <f>L16/$C$49</f>
        <v>0.1</v>
      </c>
    </row>
    <row r="17" spans="2:13" x14ac:dyDescent="0.2">
      <c r="B17" s="1" t="s">
        <v>66</v>
      </c>
      <c r="C17" s="4">
        <f>SUM(C7:C16)</f>
        <v>9740263</v>
      </c>
      <c r="D17" s="4"/>
      <c r="E17" s="4"/>
      <c r="F17" s="1"/>
      <c r="G17" s="4"/>
      <c r="H17" s="4"/>
      <c r="I17" s="1"/>
      <c r="J17" s="4">
        <f>SUM(J7:J16)</f>
        <v>1717836.4891538464</v>
      </c>
      <c r="K17" s="1"/>
      <c r="L17" s="4">
        <f>SUM(L7:L16)</f>
        <v>11458099.489153847</v>
      </c>
      <c r="M17" s="5">
        <f>L17/$C$49</f>
        <v>0.6426514587751091</v>
      </c>
    </row>
    <row r="18" spans="2:13" x14ac:dyDescent="0.2">
      <c r="C18" s="2"/>
      <c r="D18" s="2"/>
      <c r="E18" s="2"/>
      <c r="G18" s="2"/>
      <c r="H18" s="2"/>
      <c r="J18" s="2"/>
      <c r="L18" s="2"/>
      <c r="M18" s="3"/>
    </row>
    <row r="19" spans="2:13" x14ac:dyDescent="0.2">
      <c r="B19" s="1" t="s">
        <v>67</v>
      </c>
      <c r="C19" s="2"/>
      <c r="D19" s="2"/>
      <c r="E19" s="2"/>
      <c r="G19" s="2"/>
      <c r="H19" s="2"/>
      <c r="J19" s="2"/>
      <c r="L19" s="2"/>
      <c r="M19" s="3"/>
    </row>
    <row r="20" spans="2:13" x14ac:dyDescent="0.2">
      <c r="B20" t="s">
        <v>87</v>
      </c>
      <c r="C20" s="2"/>
      <c r="D20" s="19">
        <f>'SAFE Investments'!C4+'SAFE Investments'!C5+'SAFE Investments'!C6+'SAFE Investments'!C13+'SAFE Investments'!C14+'SAFE Investments'!C15+'SAFE Investments'!C19+'SAFE Investments'!C22</f>
        <v>8000000</v>
      </c>
      <c r="E20" s="2">
        <f>D20/$C$47</f>
        <v>1558442.08</v>
      </c>
      <c r="G20" s="2">
        <f>$C$39</f>
        <v>5000000</v>
      </c>
      <c r="H20" s="2">
        <f>G20/$C$50</f>
        <v>1114338.430721154</v>
      </c>
      <c r="J20" s="2"/>
      <c r="L20" s="2">
        <f>E20+H20</f>
        <v>2672780.510721154</v>
      </c>
      <c r="M20" s="3">
        <f>L20/$C$49</f>
        <v>0.14990848140449131</v>
      </c>
    </row>
    <row r="21" spans="2:13" x14ac:dyDescent="0.2">
      <c r="B21" s="1" t="s">
        <v>33</v>
      </c>
      <c r="C21" s="2"/>
      <c r="D21" s="19">
        <f>'SAFE Investments'!C7</f>
        <v>250000</v>
      </c>
      <c r="E21" s="2">
        <f>D21/$C$47</f>
        <v>48701.315000000002</v>
      </c>
      <c r="G21" s="2"/>
      <c r="H21" s="2"/>
      <c r="J21" s="2"/>
      <c r="L21" s="2">
        <f>E21</f>
        <v>48701.315000000002</v>
      </c>
      <c r="M21" s="3">
        <f>L21/$C$49</f>
        <v>2.7315150438903531E-3</v>
      </c>
    </row>
    <row r="22" spans="2:13" x14ac:dyDescent="0.2">
      <c r="B22" t="s">
        <v>35</v>
      </c>
      <c r="C22" s="2"/>
      <c r="D22" s="19">
        <f>'SAFE Investments'!C9</f>
        <v>300000</v>
      </c>
      <c r="E22" s="2">
        <f>D22/$C$47</f>
        <v>58441.578000000001</v>
      </c>
      <c r="G22" s="2"/>
      <c r="H22" s="2"/>
      <c r="J22" s="2"/>
      <c r="L22" s="2">
        <f>E22</f>
        <v>58441.578000000001</v>
      </c>
      <c r="M22" s="3">
        <f>L22/$C$49</f>
        <v>3.2778180526684235E-3</v>
      </c>
    </row>
    <row r="23" spans="2:13" x14ac:dyDescent="0.2">
      <c r="B23" s="1" t="s">
        <v>38</v>
      </c>
      <c r="C23" s="2"/>
      <c r="D23" s="19">
        <f>'SAFE Investments'!C11</f>
        <v>250000</v>
      </c>
      <c r="E23" s="2">
        <f>D23/$C$47</f>
        <v>48701.315000000002</v>
      </c>
      <c r="G23" s="2"/>
      <c r="H23" s="2"/>
      <c r="J23" s="2"/>
      <c r="L23" s="2">
        <f>E23</f>
        <v>48701.315000000002</v>
      </c>
      <c r="M23" s="3">
        <f>L23/$C$49</f>
        <v>2.7315150438903531E-3</v>
      </c>
    </row>
    <row r="24" spans="2:13" x14ac:dyDescent="0.2">
      <c r="B24" t="s">
        <v>45</v>
      </c>
      <c r="C24" s="2"/>
      <c r="D24" s="19">
        <f>'SAFE Investments'!C17</f>
        <v>212500</v>
      </c>
      <c r="E24" s="2">
        <f>D24/$C$47</f>
        <v>41396.117749999998</v>
      </c>
      <c r="G24" s="2"/>
      <c r="H24" s="2"/>
      <c r="J24" s="2"/>
      <c r="L24" s="2">
        <f>E24</f>
        <v>41396.117749999998</v>
      </c>
      <c r="M24" s="3">
        <f>L24/$C$49</f>
        <v>2.3217877873068001E-3</v>
      </c>
    </row>
    <row r="25" spans="2:13" x14ac:dyDescent="0.2">
      <c r="B25" s="1" t="s">
        <v>51</v>
      </c>
      <c r="C25" s="2"/>
      <c r="D25" s="19">
        <f>'SAFE Investments'!C23</f>
        <v>250000</v>
      </c>
      <c r="E25" s="2">
        <f>D25/$C$47</f>
        <v>48701.315000000002</v>
      </c>
      <c r="G25" s="2"/>
      <c r="H25" s="2"/>
      <c r="J25" s="2"/>
      <c r="L25" s="2">
        <f>E25</f>
        <v>48701.315000000002</v>
      </c>
      <c r="M25" s="3">
        <f>L25/$C$49</f>
        <v>2.7315150438903531E-3</v>
      </c>
    </row>
    <row r="26" spans="2:13" x14ac:dyDescent="0.2">
      <c r="B26" t="s">
        <v>88</v>
      </c>
      <c r="C26" s="2"/>
      <c r="D26" s="19">
        <f>'SAFE Investments'!C2+'SAFE Investments'!C3+'SAFE Investments'!C8+'SAFE Investments'!C10+'SAFE Investments'!C12+'SAFE Investments'!C16+'SAFE Investments'!C18+'SAFE Investments'!C20+'SAFE Investments'!C21</f>
        <v>562500</v>
      </c>
      <c r="E26" s="2">
        <f>D26/$C$47</f>
        <v>109577.95875000001</v>
      </c>
      <c r="G26" s="2"/>
      <c r="H26" s="2"/>
      <c r="J26" s="2"/>
      <c r="L26" s="2">
        <f>E26</f>
        <v>109577.95875000001</v>
      </c>
      <c r="M26" s="3">
        <f>L26/$C$49</f>
        <v>6.1459088487532945E-3</v>
      </c>
    </row>
    <row r="27" spans="2:13" x14ac:dyDescent="0.2">
      <c r="B27" s="1" t="s">
        <v>68</v>
      </c>
      <c r="C27" s="2"/>
      <c r="D27" s="2"/>
      <c r="E27" s="2"/>
      <c r="G27" s="2">
        <f>$C$38</f>
        <v>12000000</v>
      </c>
      <c r="H27" s="2">
        <f>G27/$C$50</f>
        <v>2674412.2337307697</v>
      </c>
      <c r="J27" s="2"/>
      <c r="L27" s="2">
        <f>H27</f>
        <v>2674412.2337307697</v>
      </c>
      <c r="M27" s="3">
        <f>L27/$C$49</f>
        <v>0.15000000000000002</v>
      </c>
    </row>
    <row r="28" spans="2:13" x14ac:dyDescent="0.2">
      <c r="B28" t="s">
        <v>69</v>
      </c>
      <c r="C28" s="2"/>
      <c r="D28" s="2"/>
      <c r="E28" s="2"/>
      <c r="G28" s="2">
        <f>$C$40</f>
        <v>3000000</v>
      </c>
      <c r="H28" s="2">
        <f>G28/$C$50</f>
        <v>668603.05843269243</v>
      </c>
      <c r="J28" s="2"/>
      <c r="L28" s="2">
        <f>H28</f>
        <v>668603.05843269243</v>
      </c>
      <c r="M28" s="3">
        <f>L28/$C$49</f>
        <v>3.7500000000000006E-2</v>
      </c>
    </row>
    <row r="29" spans="2:13" x14ac:dyDescent="0.2">
      <c r="C29" s="2"/>
      <c r="D29" s="2"/>
      <c r="E29" s="2"/>
      <c r="G29" s="2"/>
      <c r="H29" s="2"/>
      <c r="J29" s="2"/>
      <c r="L29" s="2"/>
      <c r="M29" s="3"/>
    </row>
    <row r="30" spans="2:13" ht="17" thickBot="1" x14ac:dyDescent="0.25">
      <c r="B30" s="13" t="s">
        <v>70</v>
      </c>
      <c r="C30" s="16">
        <f>SUM(C7:C16)</f>
        <v>9740263</v>
      </c>
      <c r="D30" s="16">
        <f>SUM(D20:D26)</f>
        <v>9825000</v>
      </c>
      <c r="E30" s="16">
        <f>SUM(E20:E26)</f>
        <v>1913961.6794999999</v>
      </c>
      <c r="F30" s="13"/>
      <c r="G30" s="16">
        <f>SUM(G20:G28)</f>
        <v>20000000</v>
      </c>
      <c r="H30" s="16">
        <f>SUM(H20:H28)</f>
        <v>4457353.7228846159</v>
      </c>
      <c r="I30" s="13"/>
      <c r="J30" s="16">
        <f>J16</f>
        <v>1717836.4891538464</v>
      </c>
      <c r="K30" s="13"/>
      <c r="L30" s="16">
        <f>C30+E30+H30+J30</f>
        <v>17829414.891538464</v>
      </c>
      <c r="M30" s="17">
        <f>L30/$C$49</f>
        <v>1</v>
      </c>
    </row>
    <row r="31" spans="2:13" ht="17" thickTop="1" x14ac:dyDescent="0.2"/>
    <row r="32" spans="2:13" x14ac:dyDescent="0.2">
      <c r="B32" s="1" t="s">
        <v>71</v>
      </c>
      <c r="E32" s="18">
        <f>$C$47</f>
        <v>5.1333316153783528</v>
      </c>
      <c r="H32" s="18">
        <f>$C$50</f>
        <v>4.48696721045886</v>
      </c>
    </row>
    <row r="33" spans="2:8" x14ac:dyDescent="0.2">
      <c r="B33" s="1" t="s">
        <v>72</v>
      </c>
      <c r="E33" s="2">
        <f>$C$42</f>
        <v>50000000</v>
      </c>
      <c r="H33" s="2">
        <f>$C$36</f>
        <v>60000000</v>
      </c>
    </row>
    <row r="34" spans="2:8" x14ac:dyDescent="0.2">
      <c r="B34" s="1" t="s">
        <v>73</v>
      </c>
      <c r="E34" s="2">
        <f>$C$42</f>
        <v>50000000</v>
      </c>
      <c r="H34" s="2">
        <f>$C$41</f>
        <v>80000000</v>
      </c>
    </row>
    <row r="35" spans="2:8" x14ac:dyDescent="0.2">
      <c r="B35" s="1" t="s">
        <v>74</v>
      </c>
    </row>
    <row r="36" spans="2:8" x14ac:dyDescent="0.2">
      <c r="B36" t="s">
        <v>72</v>
      </c>
      <c r="C36" s="14">
        <v>60000000</v>
      </c>
    </row>
    <row r="37" spans="2:8" x14ac:dyDescent="0.2">
      <c r="B37" t="s">
        <v>75</v>
      </c>
      <c r="C37" s="14">
        <v>20000000</v>
      </c>
    </row>
    <row r="38" spans="2:8" x14ac:dyDescent="0.2">
      <c r="B38" t="s">
        <v>76</v>
      </c>
      <c r="C38" s="14">
        <v>12000000</v>
      </c>
    </row>
    <row r="39" spans="2:8" x14ac:dyDescent="0.2">
      <c r="B39" t="s">
        <v>77</v>
      </c>
      <c r="C39" s="14">
        <v>5000000</v>
      </c>
    </row>
    <row r="40" spans="2:8" x14ac:dyDescent="0.2">
      <c r="B40" t="s">
        <v>89</v>
      </c>
      <c r="C40" s="14">
        <v>3000000</v>
      </c>
    </row>
    <row r="41" spans="2:8" x14ac:dyDescent="0.2">
      <c r="B41" t="s">
        <v>73</v>
      </c>
      <c r="C41" s="2">
        <f>C36+C37</f>
        <v>80000000</v>
      </c>
    </row>
    <row r="42" spans="2:8" x14ac:dyDescent="0.2">
      <c r="B42" t="s">
        <v>78</v>
      </c>
      <c r="C42" s="14">
        <v>50000000</v>
      </c>
    </row>
    <row r="43" spans="2:8" x14ac:dyDescent="0.2">
      <c r="B43" t="s">
        <v>90</v>
      </c>
      <c r="C43" s="15">
        <v>0.1</v>
      </c>
    </row>
    <row r="44" spans="2:8" x14ac:dyDescent="0.2">
      <c r="B44" t="s">
        <v>93</v>
      </c>
      <c r="C44" s="19">
        <f>'Sidekick Cap Table'!G21</f>
        <v>9740263</v>
      </c>
    </row>
    <row r="45" spans="2:8" x14ac:dyDescent="0.2">
      <c r="B45" t="s">
        <v>94</v>
      </c>
      <c r="C45" s="19">
        <f>'SAFE Investments'!C24</f>
        <v>9825000</v>
      </c>
    </row>
    <row r="46" spans="2:8" x14ac:dyDescent="0.2">
      <c r="B46" t="s">
        <v>91</v>
      </c>
      <c r="C46" s="19">
        <f>'Sidekick Cap Table'!G20</f>
        <v>65105</v>
      </c>
    </row>
    <row r="47" spans="2:8" x14ac:dyDescent="0.2">
      <c r="B47" t="s">
        <v>95</v>
      </c>
      <c r="C47" s="18">
        <f>C42/C44</f>
        <v>5.1333316153783528</v>
      </c>
    </row>
    <row r="48" spans="2:8" x14ac:dyDescent="0.2">
      <c r="B48" t="s">
        <v>96</v>
      </c>
      <c r="C48" s="2">
        <f>C45/C47</f>
        <v>1913961.6794999999</v>
      </c>
    </row>
    <row r="49" spans="2:3" x14ac:dyDescent="0.2">
      <c r="B49" t="s">
        <v>97</v>
      </c>
      <c r="C49" s="2">
        <f>(C44+C48-C46)/(1-C43-C37/C41)</f>
        <v>17829414.891538464</v>
      </c>
    </row>
    <row r="50" spans="2:3" x14ac:dyDescent="0.2">
      <c r="B50" t="s">
        <v>98</v>
      </c>
      <c r="C50" s="18">
        <f>C41/C49</f>
        <v>4.48696721045886</v>
      </c>
    </row>
    <row r="51" spans="2:3" x14ac:dyDescent="0.2">
      <c r="B51" t="s">
        <v>99</v>
      </c>
      <c r="C51" s="2">
        <f>C37/C50</f>
        <v>4457353.7228846159</v>
      </c>
    </row>
    <row r="52" spans="2:3" x14ac:dyDescent="0.2">
      <c r="B52" t="s">
        <v>92</v>
      </c>
      <c r="C52" s="2">
        <f>C43*C49-C46</f>
        <v>1717836.4891538464</v>
      </c>
    </row>
    <row r="53" spans="2:3" x14ac:dyDescent="0.2">
      <c r="B53" t="s">
        <v>100</v>
      </c>
      <c r="C53" s="2">
        <f>C38+C39+C40-C37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22BCC-A6D7-6749-9B46-9E072129FD10}">
  <dimension ref="A1:R51"/>
  <sheetViews>
    <sheetView workbookViewId="0"/>
  </sheetViews>
  <sheetFormatPr baseColWidth="10" defaultRowHeight="16" x14ac:dyDescent="0.2"/>
  <cols>
    <col min="1" max="1" width="3.83203125" customWidth="1"/>
    <col min="2" max="2" width="51.1640625" bestFit="1" customWidth="1"/>
    <col min="3" max="3" width="11.1640625" bestFit="1" customWidth="1"/>
    <col min="4" max="4" width="9.1640625" bestFit="1" customWidth="1"/>
    <col min="5" max="5" width="10.1640625" bestFit="1" customWidth="1"/>
    <col min="6" max="6" width="3.83203125" customWidth="1"/>
    <col min="7" max="8" width="10.1640625" bestFit="1" customWidth="1"/>
    <col min="9" max="9" width="3.83203125" customWidth="1"/>
    <col min="10" max="10" width="9.1640625" bestFit="1" customWidth="1"/>
    <col min="11" max="11" width="3.83203125" customWidth="1"/>
    <col min="12" max="12" width="10.1640625" bestFit="1" customWidth="1"/>
    <col min="13" max="13" width="11.1640625" bestFit="1" customWidth="1"/>
    <col min="14" max="14" width="3.83203125" customWidth="1"/>
    <col min="15" max="15" width="9.1640625" bestFit="1" customWidth="1"/>
    <col min="16" max="16" width="3.83203125" customWidth="1"/>
    <col min="17" max="17" width="15.83203125" bestFit="1" customWidth="1"/>
    <col min="18" max="18" width="8.1640625" bestFit="1" customWidth="1"/>
  </cols>
  <sheetData>
    <row r="1" spans="1:18" x14ac:dyDescent="0.2">
      <c r="B1" s="6" t="s">
        <v>114</v>
      </c>
    </row>
    <row r="3" spans="1:18" x14ac:dyDescent="0.2">
      <c r="A3" s="7"/>
      <c r="B3" s="7"/>
      <c r="C3" s="7" t="s">
        <v>82</v>
      </c>
      <c r="D3" s="7" t="s">
        <v>26</v>
      </c>
      <c r="E3" s="7"/>
      <c r="F3" s="7"/>
      <c r="G3" s="7" t="s">
        <v>53</v>
      </c>
      <c r="H3" s="7"/>
      <c r="I3" s="7"/>
      <c r="J3" s="7" t="s">
        <v>83</v>
      </c>
      <c r="K3" s="7"/>
      <c r="L3" s="7" t="s">
        <v>79</v>
      </c>
      <c r="M3" s="7"/>
      <c r="N3" s="7"/>
      <c r="O3" s="7" t="s">
        <v>83</v>
      </c>
      <c r="P3" s="7"/>
      <c r="Q3" s="7" t="s">
        <v>54</v>
      </c>
      <c r="R3" s="7"/>
    </row>
    <row r="4" spans="1:18" x14ac:dyDescent="0.2">
      <c r="A4" s="7"/>
      <c r="B4" s="7"/>
      <c r="C4" s="7" t="s">
        <v>55</v>
      </c>
      <c r="D4" s="7" t="s">
        <v>56</v>
      </c>
      <c r="E4" s="7" t="s">
        <v>57</v>
      </c>
      <c r="F4" s="7"/>
      <c r="G4" s="7" t="s">
        <v>56</v>
      </c>
      <c r="H4" s="7" t="s">
        <v>57</v>
      </c>
      <c r="I4" s="7"/>
      <c r="J4" s="7" t="s">
        <v>58</v>
      </c>
      <c r="K4" s="7"/>
      <c r="L4" s="7" t="s">
        <v>56</v>
      </c>
      <c r="M4" s="7" t="s">
        <v>57</v>
      </c>
      <c r="N4" s="7"/>
      <c r="O4" s="7" t="s">
        <v>58</v>
      </c>
      <c r="P4" s="7"/>
      <c r="Q4" s="7" t="s">
        <v>59</v>
      </c>
      <c r="R4" s="7" t="s">
        <v>60</v>
      </c>
    </row>
    <row r="5" spans="1:18" x14ac:dyDescent="0.2">
      <c r="A5" s="12"/>
      <c r="B5" s="12"/>
      <c r="C5" s="12" t="s">
        <v>61</v>
      </c>
      <c r="D5" s="12" t="s">
        <v>62</v>
      </c>
      <c r="E5" s="12" t="s">
        <v>61</v>
      </c>
      <c r="F5" s="12"/>
      <c r="G5" s="12" t="s">
        <v>62</v>
      </c>
      <c r="H5" s="12" t="s">
        <v>61</v>
      </c>
      <c r="I5" s="12"/>
      <c r="J5" s="12" t="s">
        <v>63</v>
      </c>
      <c r="K5" s="12"/>
      <c r="L5" s="12" t="s">
        <v>62</v>
      </c>
      <c r="M5" s="12" t="s">
        <v>61</v>
      </c>
      <c r="N5" s="12"/>
      <c r="O5" s="12" t="s">
        <v>80</v>
      </c>
      <c r="P5" s="12"/>
      <c r="Q5" s="12" t="s">
        <v>61</v>
      </c>
      <c r="R5" s="12" t="s">
        <v>64</v>
      </c>
    </row>
    <row r="6" spans="1:18" x14ac:dyDescent="0.2">
      <c r="B6" s="1" t="s">
        <v>65</v>
      </c>
    </row>
    <row r="7" spans="1:18" x14ac:dyDescent="0.2">
      <c r="B7" t="s">
        <v>8</v>
      </c>
      <c r="C7" s="19">
        <f>'Series A'!C7</f>
        <v>3600000</v>
      </c>
      <c r="D7" s="2"/>
      <c r="E7" s="2"/>
      <c r="G7" s="2"/>
      <c r="H7" s="2"/>
      <c r="J7" s="2"/>
      <c r="L7" s="2"/>
      <c r="M7" s="2"/>
      <c r="O7" s="2"/>
      <c r="Q7" s="2">
        <f>C7</f>
        <v>3600000</v>
      </c>
      <c r="R7" s="3">
        <f>Q7/$C$47</f>
        <v>0.15648298146475273</v>
      </c>
    </row>
    <row r="8" spans="1:18" x14ac:dyDescent="0.2">
      <c r="B8" t="s">
        <v>9</v>
      </c>
      <c r="C8" s="19">
        <f>'Series A'!C8</f>
        <v>3600000</v>
      </c>
      <c r="D8" s="2"/>
      <c r="E8" s="2"/>
      <c r="G8" s="2"/>
      <c r="H8" s="2"/>
      <c r="J8" s="2"/>
      <c r="L8" s="2"/>
      <c r="M8" s="2"/>
      <c r="O8" s="2"/>
      <c r="Q8" s="2">
        <f>C8</f>
        <v>3600000</v>
      </c>
      <c r="R8" s="3">
        <f>Q8/$C$47</f>
        <v>0.15648298146475273</v>
      </c>
    </row>
    <row r="9" spans="1:18" x14ac:dyDescent="0.2">
      <c r="B9" t="s">
        <v>11</v>
      </c>
      <c r="C9" s="19">
        <f>'Series A'!C9</f>
        <v>592500</v>
      </c>
      <c r="D9" s="2"/>
      <c r="E9" s="2"/>
      <c r="G9" s="2"/>
      <c r="H9" s="2"/>
      <c r="J9" s="2"/>
      <c r="L9" s="2"/>
      <c r="M9" s="2"/>
      <c r="O9" s="2"/>
      <c r="Q9" s="2">
        <f>C9</f>
        <v>592500</v>
      </c>
      <c r="R9" s="3">
        <f>Q9/$C$47</f>
        <v>2.5754490699407218E-2</v>
      </c>
    </row>
    <row r="10" spans="1:18" x14ac:dyDescent="0.2">
      <c r="B10" t="s">
        <v>12</v>
      </c>
      <c r="C10" s="19">
        <f>'Series A'!C10</f>
        <v>592500</v>
      </c>
      <c r="D10" s="2"/>
      <c r="E10" s="2"/>
      <c r="G10" s="2"/>
      <c r="H10" s="2"/>
      <c r="J10" s="2"/>
      <c r="L10" s="2"/>
      <c r="M10" s="2"/>
      <c r="O10" s="2"/>
      <c r="Q10" s="2">
        <f>C10</f>
        <v>592500</v>
      </c>
      <c r="R10" s="3">
        <f>Q10/$C$47</f>
        <v>2.5754490699407218E-2</v>
      </c>
    </row>
    <row r="11" spans="1:18" x14ac:dyDescent="0.2">
      <c r="B11" t="s">
        <v>10</v>
      </c>
      <c r="C11" s="19">
        <f>'Series A'!C11</f>
        <v>222187</v>
      </c>
      <c r="D11" s="2"/>
      <c r="E11" s="2"/>
      <c r="G11" s="2"/>
      <c r="H11" s="2"/>
      <c r="J11" s="2"/>
      <c r="L11" s="2"/>
      <c r="M11" s="2"/>
      <c r="O11" s="2"/>
      <c r="Q11" s="2">
        <f>C11</f>
        <v>222187</v>
      </c>
      <c r="R11" s="3">
        <f>Q11/$C$47</f>
        <v>9.6579122785302816E-3</v>
      </c>
    </row>
    <row r="12" spans="1:18" x14ac:dyDescent="0.2">
      <c r="B12" t="s">
        <v>18</v>
      </c>
      <c r="C12" s="19">
        <f>'Series A'!C12</f>
        <v>285000</v>
      </c>
      <c r="D12" s="2"/>
      <c r="E12" s="2"/>
      <c r="G12" s="2"/>
      <c r="H12" s="2"/>
      <c r="J12" s="2"/>
      <c r="L12" s="2"/>
      <c r="M12" s="2"/>
      <c r="O12" s="2"/>
      <c r="Q12" s="2">
        <f>C12</f>
        <v>285000</v>
      </c>
      <c r="R12" s="3">
        <f>Q12/$C$47</f>
        <v>1.2388236032626256E-2</v>
      </c>
    </row>
    <row r="13" spans="1:18" x14ac:dyDescent="0.2">
      <c r="B13" t="s">
        <v>20</v>
      </c>
      <c r="C13" s="19">
        <f>'Series A'!C13</f>
        <v>285000</v>
      </c>
      <c r="D13" s="2"/>
      <c r="E13" s="2"/>
      <c r="G13" s="2"/>
      <c r="H13" s="2"/>
      <c r="J13" s="2"/>
      <c r="L13" s="2"/>
      <c r="M13" s="2"/>
      <c r="O13" s="2"/>
      <c r="Q13" s="2">
        <f>C13</f>
        <v>285000</v>
      </c>
      <c r="R13" s="3">
        <f>Q13/$C$47</f>
        <v>1.2388236032626256E-2</v>
      </c>
    </row>
    <row r="14" spans="1:18" x14ac:dyDescent="0.2">
      <c r="B14" t="s">
        <v>13</v>
      </c>
      <c r="C14" s="19">
        <f>'Series A'!C14</f>
        <v>112400</v>
      </c>
      <c r="D14" s="2"/>
      <c r="E14" s="2"/>
      <c r="G14" s="2"/>
      <c r="H14" s="2"/>
      <c r="J14" s="2"/>
      <c r="L14" s="2"/>
      <c r="M14" s="2"/>
      <c r="O14" s="2"/>
      <c r="Q14" s="2">
        <f>C14</f>
        <v>112400</v>
      </c>
      <c r="R14" s="3">
        <f>Q14/$C$47</f>
        <v>4.8857464212883903E-3</v>
      </c>
    </row>
    <row r="15" spans="1:18" x14ac:dyDescent="0.2">
      <c r="B15" t="s">
        <v>85</v>
      </c>
      <c r="C15" s="19">
        <f>'Series A'!C15</f>
        <v>385571</v>
      </c>
      <c r="D15" s="2"/>
      <c r="E15" s="2"/>
      <c r="G15" s="2"/>
      <c r="H15" s="2"/>
      <c r="J15" s="2"/>
      <c r="L15" s="2"/>
      <c r="M15" s="2"/>
      <c r="O15" s="2"/>
      <c r="Q15" s="2">
        <f>C15</f>
        <v>385571</v>
      </c>
      <c r="R15" s="3">
        <f>Q15/$C$47</f>
        <v>1.675980545731838E-2</v>
      </c>
    </row>
    <row r="16" spans="1:18" x14ac:dyDescent="0.2">
      <c r="B16" t="s">
        <v>86</v>
      </c>
      <c r="C16" s="19">
        <f>'Series A'!C16</f>
        <v>65105</v>
      </c>
      <c r="D16" s="2"/>
      <c r="E16" s="2"/>
      <c r="G16" s="2"/>
      <c r="H16" s="2"/>
      <c r="J16" s="19">
        <f>'Series A'!J16</f>
        <v>1717836.4891538464</v>
      </c>
      <c r="L16" s="2"/>
      <c r="M16" s="2"/>
      <c r="O16" s="2">
        <f>$C$48</f>
        <v>1610398.764397023</v>
      </c>
      <c r="Q16" s="2">
        <f>C16+J16+O16</f>
        <v>3393340.2535508694</v>
      </c>
      <c r="R16" s="3">
        <f>Q16/$C$47</f>
        <v>0.14749999999999999</v>
      </c>
    </row>
    <row r="17" spans="2:18" x14ac:dyDescent="0.2">
      <c r="B17" s="1" t="s">
        <v>66</v>
      </c>
      <c r="C17" s="4">
        <f>SUM(C7:C16)</f>
        <v>9740263</v>
      </c>
      <c r="D17" s="4"/>
      <c r="E17" s="4"/>
      <c r="F17" s="1"/>
      <c r="G17" s="4"/>
      <c r="H17" s="4"/>
      <c r="I17" s="1"/>
      <c r="J17" s="4">
        <f>SUM(J7:J16)</f>
        <v>1717836.4891538464</v>
      </c>
      <c r="K17" s="1"/>
      <c r="L17" s="4"/>
      <c r="M17" s="4"/>
      <c r="N17" s="1"/>
      <c r="O17" s="4">
        <f>SUM(O7:O16)</f>
        <v>1610398.764397023</v>
      </c>
      <c r="P17" s="1"/>
      <c r="Q17" s="4">
        <f>SUM(Q7:Q16)</f>
        <v>13068498.253550868</v>
      </c>
      <c r="R17" s="5">
        <f>Q17/$C$47</f>
        <v>0.56805488055070941</v>
      </c>
    </row>
    <row r="18" spans="2:18" x14ac:dyDescent="0.2">
      <c r="C18" s="2"/>
      <c r="D18" s="2"/>
      <c r="E18" s="2"/>
      <c r="G18" s="2"/>
      <c r="H18" s="2"/>
      <c r="J18" s="2"/>
      <c r="L18" s="2"/>
      <c r="M18" s="2"/>
      <c r="O18" s="2"/>
      <c r="Q18" s="2"/>
      <c r="R18" s="3"/>
    </row>
    <row r="19" spans="2:18" x14ac:dyDescent="0.2">
      <c r="B19" s="1" t="s">
        <v>67</v>
      </c>
      <c r="C19" s="2"/>
      <c r="D19" s="2"/>
      <c r="E19" s="2"/>
      <c r="G19" s="2"/>
      <c r="H19" s="2"/>
      <c r="J19" s="2"/>
      <c r="L19" s="2"/>
      <c r="M19" s="2"/>
      <c r="O19" s="2"/>
      <c r="Q19" s="2"/>
      <c r="R19" s="3"/>
    </row>
    <row r="20" spans="2:18" x14ac:dyDescent="0.2">
      <c r="B20" t="s">
        <v>87</v>
      </c>
      <c r="C20" s="2"/>
      <c r="D20" s="19">
        <f>'Series A'!D20</f>
        <v>8000000</v>
      </c>
      <c r="E20" s="19">
        <f>'Series A'!E20</f>
        <v>1558442.08</v>
      </c>
      <c r="G20" s="19">
        <f>'Series A'!G20</f>
        <v>5000000</v>
      </c>
      <c r="H20" s="19">
        <f>'Series A'!H20</f>
        <v>1114338.430721154</v>
      </c>
      <c r="J20" s="2"/>
      <c r="L20" s="2">
        <f>$C$50</f>
        <v>3750000</v>
      </c>
      <c r="M20" s="2">
        <f>L20/$C$44</f>
        <v>445735.3722884616</v>
      </c>
      <c r="O20" s="2"/>
      <c r="Q20" s="2">
        <f>E20+H20+M20</f>
        <v>3118515.8830096158</v>
      </c>
      <c r="R20" s="3">
        <f>Q20/$C$47</f>
        <v>0.13555407308848075</v>
      </c>
    </row>
    <row r="21" spans="2:18" x14ac:dyDescent="0.2">
      <c r="B21" s="1" t="s">
        <v>33</v>
      </c>
      <c r="C21" s="2"/>
      <c r="D21" s="19">
        <f>'Series A'!D21</f>
        <v>250000</v>
      </c>
      <c r="E21" s="19">
        <f>'Series A'!E21</f>
        <v>48701.315000000002</v>
      </c>
      <c r="G21" s="2"/>
      <c r="H21" s="2"/>
      <c r="J21" s="2"/>
      <c r="L21" s="2"/>
      <c r="M21" s="2"/>
      <c r="O21" s="2"/>
      <c r="Q21" s="2">
        <f>E21</f>
        <v>48701.315000000002</v>
      </c>
      <c r="R21" s="3">
        <f>Q21/$C$47</f>
        <v>2.1169241590150234E-3</v>
      </c>
    </row>
    <row r="22" spans="2:18" x14ac:dyDescent="0.2">
      <c r="B22" t="s">
        <v>35</v>
      </c>
      <c r="C22" s="2"/>
      <c r="D22" s="19">
        <f>'Series A'!D22</f>
        <v>300000</v>
      </c>
      <c r="E22" s="19">
        <f>'Series A'!E22</f>
        <v>58441.578000000001</v>
      </c>
      <c r="G22" s="2"/>
      <c r="H22" s="2"/>
      <c r="J22" s="2"/>
      <c r="L22" s="2"/>
      <c r="M22" s="2"/>
      <c r="O22" s="2"/>
      <c r="Q22" s="2">
        <f>E22</f>
        <v>58441.578000000001</v>
      </c>
      <c r="R22" s="3">
        <f>Q22/$C$47</f>
        <v>2.5403089908180281E-3</v>
      </c>
    </row>
    <row r="23" spans="2:18" x14ac:dyDescent="0.2">
      <c r="B23" s="1" t="s">
        <v>38</v>
      </c>
      <c r="C23" s="2"/>
      <c r="D23" s="19">
        <f>'Series A'!D23</f>
        <v>250000</v>
      </c>
      <c r="E23" s="19">
        <f>'Series A'!E23</f>
        <v>48701.315000000002</v>
      </c>
      <c r="G23" s="2"/>
      <c r="H23" s="2"/>
      <c r="J23" s="2"/>
      <c r="L23" s="2"/>
      <c r="M23" s="2"/>
      <c r="O23" s="2"/>
      <c r="Q23" s="2">
        <f>E23</f>
        <v>48701.315000000002</v>
      </c>
      <c r="R23" s="3">
        <f>Q23/$C$47</f>
        <v>2.1169241590150234E-3</v>
      </c>
    </row>
    <row r="24" spans="2:18" x14ac:dyDescent="0.2">
      <c r="B24" t="s">
        <v>45</v>
      </c>
      <c r="C24" s="2"/>
      <c r="D24" s="19">
        <f>'Series A'!D24</f>
        <v>212500</v>
      </c>
      <c r="E24" s="19">
        <f>'Series A'!E24</f>
        <v>41396.117749999998</v>
      </c>
      <c r="G24" s="2"/>
      <c r="H24" s="2"/>
      <c r="J24" s="2"/>
      <c r="L24" s="2"/>
      <c r="M24" s="2"/>
      <c r="O24" s="2"/>
      <c r="Q24" s="2">
        <f>E24</f>
        <v>41396.117749999998</v>
      </c>
      <c r="R24" s="3">
        <f>Q24/$C$47</f>
        <v>1.7993855351627697E-3</v>
      </c>
    </row>
    <row r="25" spans="2:18" x14ac:dyDescent="0.2">
      <c r="B25" s="1" t="s">
        <v>51</v>
      </c>
      <c r="C25" s="2"/>
      <c r="D25" s="19">
        <f>'Series A'!D25</f>
        <v>250000</v>
      </c>
      <c r="E25" s="19">
        <f>'Series A'!E25</f>
        <v>48701.315000000002</v>
      </c>
      <c r="G25" s="2"/>
      <c r="H25" s="2"/>
      <c r="J25" s="2"/>
      <c r="L25" s="2"/>
      <c r="M25" s="2"/>
      <c r="O25" s="2"/>
      <c r="Q25" s="2">
        <f>E25</f>
        <v>48701.315000000002</v>
      </c>
      <c r="R25" s="3">
        <f>Q25/$C$47</f>
        <v>2.1169241590150234E-3</v>
      </c>
    </row>
    <row r="26" spans="2:18" x14ac:dyDescent="0.2">
      <c r="B26" t="s">
        <v>88</v>
      </c>
      <c r="C26" s="2"/>
      <c r="D26" s="19">
        <f>'Series A'!D26</f>
        <v>562500</v>
      </c>
      <c r="E26" s="19">
        <f>'Series A'!E26</f>
        <v>109577.95875000001</v>
      </c>
      <c r="G26" s="2"/>
      <c r="H26" s="2"/>
      <c r="J26" s="2"/>
      <c r="L26" s="2"/>
      <c r="M26" s="2"/>
      <c r="O26" s="2"/>
      <c r="Q26" s="2">
        <f>E26</f>
        <v>109577.95875000001</v>
      </c>
      <c r="R26" s="3">
        <f>Q26/$C$47</f>
        <v>4.7630793577838025E-3</v>
      </c>
    </row>
    <row r="27" spans="2:18" x14ac:dyDescent="0.2">
      <c r="B27" s="1" t="s">
        <v>68</v>
      </c>
      <c r="C27" s="2"/>
      <c r="D27" s="2"/>
      <c r="E27" s="2"/>
      <c r="G27" s="19">
        <f>'Series A'!G27</f>
        <v>12000000</v>
      </c>
      <c r="H27" s="19">
        <f>'Series A'!H27</f>
        <v>2674412.2337307697</v>
      </c>
      <c r="J27" s="2"/>
      <c r="L27" s="2">
        <f>$C$49</f>
        <v>9000000</v>
      </c>
      <c r="M27" s="2">
        <f>L27/$C$44</f>
        <v>1069764.8934923077</v>
      </c>
      <c r="O27" s="2"/>
      <c r="Q27" s="2">
        <f>H27+M27</f>
        <v>3744177.1272230772</v>
      </c>
      <c r="R27" s="3">
        <f>Q27/$C$47</f>
        <v>0.16274999999999998</v>
      </c>
    </row>
    <row r="28" spans="2:18" x14ac:dyDescent="0.2">
      <c r="B28" t="s">
        <v>69</v>
      </c>
      <c r="C28" s="2"/>
      <c r="D28" s="2"/>
      <c r="E28" s="2"/>
      <c r="G28" s="19">
        <f>'Series A'!G28</f>
        <v>3000000</v>
      </c>
      <c r="H28" s="19">
        <f>'Series A'!H28</f>
        <v>668603.05843269243</v>
      </c>
      <c r="J28" s="2"/>
      <c r="L28" s="2">
        <f>$C$51</f>
        <v>2250000</v>
      </c>
      <c r="M28" s="2">
        <f>L28/$C$44</f>
        <v>267441.22337307694</v>
      </c>
      <c r="O28" s="2"/>
      <c r="Q28" s="2">
        <f>H28+M28</f>
        <v>936044.28180576931</v>
      </c>
      <c r="R28" s="3">
        <f>Q28/$C$47</f>
        <v>4.0687499999999995E-2</v>
      </c>
    </row>
    <row r="29" spans="2:18" x14ac:dyDescent="0.2">
      <c r="B29" s="1" t="s">
        <v>115</v>
      </c>
      <c r="C29" s="2"/>
      <c r="D29" s="2"/>
      <c r="E29" s="2"/>
      <c r="G29" s="2"/>
      <c r="H29" s="2"/>
      <c r="J29" s="2"/>
      <c r="L29" s="2">
        <f>$C$38</f>
        <v>15000000</v>
      </c>
      <c r="M29" s="2">
        <f>L29/$C$44</f>
        <v>1782941.4891538464</v>
      </c>
      <c r="O29" s="2"/>
      <c r="Q29" s="2">
        <f>M29</f>
        <v>1782941.4891538464</v>
      </c>
      <c r="R29" s="3">
        <f>Q29/$C$47</f>
        <v>7.7499999999999986E-2</v>
      </c>
    </row>
    <row r="30" spans="2:18" x14ac:dyDescent="0.2">
      <c r="C30" s="2"/>
      <c r="D30" s="2"/>
      <c r="E30" s="2"/>
      <c r="G30" s="2"/>
      <c r="H30" s="2"/>
      <c r="J30" s="2"/>
      <c r="L30" s="2"/>
      <c r="M30" s="2"/>
      <c r="O30" s="2"/>
      <c r="Q30" s="2"/>
      <c r="R30" s="3"/>
    </row>
    <row r="31" spans="2:18" ht="17" thickBot="1" x14ac:dyDescent="0.25">
      <c r="B31" s="13" t="s">
        <v>70</v>
      </c>
      <c r="C31" s="16">
        <f>SUM(C7:C16)</f>
        <v>9740263</v>
      </c>
      <c r="D31" s="16">
        <f>SUM(D20:D26)</f>
        <v>9825000</v>
      </c>
      <c r="E31" s="16">
        <f>SUM(E20:E26)</f>
        <v>1913961.6794999999</v>
      </c>
      <c r="F31" s="13"/>
      <c r="G31" s="16">
        <f>SUM(G20:G28)</f>
        <v>20000000</v>
      </c>
      <c r="H31" s="16">
        <f>SUM(H20:H28)</f>
        <v>4457353.7228846159</v>
      </c>
      <c r="I31" s="13"/>
      <c r="J31" s="16">
        <f>J16</f>
        <v>1717836.4891538464</v>
      </c>
      <c r="K31" s="13"/>
      <c r="L31" s="16">
        <f>SUM(L20:L29)</f>
        <v>30000000</v>
      </c>
      <c r="M31" s="16">
        <f>SUM(M20:M29)</f>
        <v>3565882.9783076923</v>
      </c>
      <c r="N31" s="13"/>
      <c r="O31" s="16">
        <f>O16</f>
        <v>1610398.764397023</v>
      </c>
      <c r="P31" s="13"/>
      <c r="Q31" s="16">
        <f>C31+E31+H31+J31+M31+O31</f>
        <v>23005696.634243179</v>
      </c>
      <c r="R31" s="17">
        <f>Q31/$C$47</f>
        <v>0.99999999999999989</v>
      </c>
    </row>
    <row r="32" spans="2:18" ht="17" thickTop="1" x14ac:dyDescent="0.2"/>
    <row r="33" spans="2:13" x14ac:dyDescent="0.2">
      <c r="B33" s="20" t="s">
        <v>71</v>
      </c>
      <c r="E33" s="21">
        <f>'Series A'!E32</f>
        <v>5.1333316153783528</v>
      </c>
      <c r="H33" s="21">
        <f>'Series A'!H32</f>
        <v>4.48696721045886</v>
      </c>
      <c r="M33" s="18">
        <f>$C$44</f>
        <v>8.4130635196103629</v>
      </c>
    </row>
    <row r="34" spans="2:13" x14ac:dyDescent="0.2">
      <c r="B34" s="1" t="s">
        <v>72</v>
      </c>
      <c r="E34" s="19">
        <f>'Series A'!E33</f>
        <v>50000000</v>
      </c>
      <c r="H34" s="19">
        <f>'Series A'!H33</f>
        <v>60000000</v>
      </c>
      <c r="M34" s="2">
        <f>$C$36</f>
        <v>150000000</v>
      </c>
    </row>
    <row r="35" spans="2:13" x14ac:dyDescent="0.2">
      <c r="B35" s="1" t="s">
        <v>81</v>
      </c>
    </row>
    <row r="36" spans="2:13" x14ac:dyDescent="0.2">
      <c r="B36" t="s">
        <v>72</v>
      </c>
      <c r="C36" s="14">
        <v>150000000</v>
      </c>
    </row>
    <row r="37" spans="2:13" x14ac:dyDescent="0.2">
      <c r="B37" t="s">
        <v>75</v>
      </c>
      <c r="C37" s="14">
        <v>30000000</v>
      </c>
    </row>
    <row r="38" spans="2:13" x14ac:dyDescent="0.2">
      <c r="B38" t="s">
        <v>101</v>
      </c>
      <c r="C38" s="14">
        <v>15000000</v>
      </c>
    </row>
    <row r="39" spans="2:13" x14ac:dyDescent="0.2">
      <c r="B39" t="s">
        <v>102</v>
      </c>
      <c r="C39" s="2">
        <f>C37-C38</f>
        <v>15000000</v>
      </c>
    </row>
    <row r="40" spans="2:13" x14ac:dyDescent="0.2">
      <c r="B40" t="s">
        <v>103</v>
      </c>
      <c r="C40" s="15">
        <v>7.0000000000000007E-2</v>
      </c>
    </row>
    <row r="41" spans="2:13" x14ac:dyDescent="0.2">
      <c r="B41" t="s">
        <v>73</v>
      </c>
      <c r="C41" s="2">
        <f>C36+C37</f>
        <v>180000000</v>
      </c>
    </row>
    <row r="42" spans="2:13" x14ac:dyDescent="0.2">
      <c r="B42" t="s">
        <v>104</v>
      </c>
      <c r="C42" s="19">
        <f>'Series A'!C49</f>
        <v>17829414.891538464</v>
      </c>
    </row>
    <row r="43" spans="2:13" x14ac:dyDescent="0.2">
      <c r="B43" t="s">
        <v>105</v>
      </c>
      <c r="C43" s="19">
        <f>'Series A'!L16</f>
        <v>1782941.4891538464</v>
      </c>
    </row>
    <row r="44" spans="2:13" x14ac:dyDescent="0.2">
      <c r="B44" t="s">
        <v>106</v>
      </c>
      <c r="C44" s="18">
        <f>C36/C42</f>
        <v>8.4130635196103629</v>
      </c>
    </row>
    <row r="45" spans="2:13" x14ac:dyDescent="0.2">
      <c r="B45" t="s">
        <v>107</v>
      </c>
      <c r="C45" s="2">
        <f>C37/C44</f>
        <v>3565882.9783076928</v>
      </c>
    </row>
    <row r="46" spans="2:13" x14ac:dyDescent="0.2">
      <c r="B46" t="s">
        <v>108</v>
      </c>
      <c r="C46" s="2">
        <f>C42+C45</f>
        <v>21395297.869846158</v>
      </c>
    </row>
    <row r="47" spans="2:13" x14ac:dyDescent="0.2">
      <c r="B47" t="s">
        <v>109</v>
      </c>
      <c r="C47" s="2">
        <f>C46/(1-C40)</f>
        <v>23005696.634243183</v>
      </c>
    </row>
    <row r="48" spans="2:13" x14ac:dyDescent="0.2">
      <c r="B48" t="s">
        <v>110</v>
      </c>
      <c r="C48" s="2">
        <f>C40*C47</f>
        <v>1610398.764397023</v>
      </c>
    </row>
    <row r="49" spans="2:3" x14ac:dyDescent="0.2">
      <c r="B49" t="s">
        <v>111</v>
      </c>
      <c r="C49" s="19">
        <f>C39*'Series A'!C38/'Series A'!C37</f>
        <v>9000000</v>
      </c>
    </row>
    <row r="50" spans="2:3" x14ac:dyDescent="0.2">
      <c r="B50" t="s">
        <v>112</v>
      </c>
      <c r="C50" s="19">
        <f>C39*'Series A'!C39/'Series A'!C37</f>
        <v>3750000</v>
      </c>
    </row>
    <row r="51" spans="2:3" x14ac:dyDescent="0.2">
      <c r="B51" t="s">
        <v>113</v>
      </c>
      <c r="C51" s="19">
        <f>C39*'Series A'!C40/'Series A'!C37</f>
        <v>2250000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Sidekick Cap Table</vt:lpstr>
      <vt:lpstr>SAFE Investments</vt:lpstr>
      <vt:lpstr>Series A</vt:lpstr>
      <vt:lpstr>Series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2026-04-13T18:23:32Z</dcterms:modified>
</cp:coreProperties>
</file>