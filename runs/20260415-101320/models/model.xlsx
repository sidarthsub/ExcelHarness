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02EECB1D-FB7C-6543-8B1A-FB812B9D510C}" xr6:coauthVersionLast="47" xr6:coauthVersionMax="47" xr10:uidLastSave="{00000000-0000-0000-0000-000000000000}"/>
  <bookViews>
    <workbookView xWindow="0" yWindow="760" windowWidth="29400" windowHeight="17180" activeTab="3" xr2:uid="{00000000-000D-0000-FFFF-FFFF00000000}"/>
  </bookViews>
  <sheets>
    <sheet name="__temp__" sheetId="152" r:id="rId1"/>
    <sheet name="DetailedCapTable" sheetId="153" r:id="rId2"/>
    <sheet name="SAFE Investments" sheetId="154" r:id="rId3"/>
    <sheet name="Series A" sheetId="155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155" l="1"/>
  <c r="N9" i="155"/>
  <c r="N8" i="155"/>
  <c r="C32" i="155"/>
  <c r="C31" i="155"/>
  <c r="C30" i="155"/>
  <c r="C29" i="155"/>
  <c r="J25" i="155"/>
  <c r="E25" i="155"/>
  <c r="I21" i="155"/>
  <c r="G21" i="155"/>
  <c r="D21" i="155"/>
  <c r="C21" i="155"/>
  <c r="G12" i="155"/>
  <c r="C12" i="155"/>
  <c r="G11" i="155"/>
  <c r="C10" i="155"/>
  <c r="C9" i="155"/>
  <c r="C8" i="155"/>
  <c r="C27" i="154"/>
  <c r="G23" i="153"/>
  <c r="H18" i="153" s="1"/>
  <c r="F23" i="153"/>
  <c r="E23" i="153"/>
  <c r="D23" i="153"/>
  <c r="C23" i="153"/>
  <c r="G21" i="153"/>
  <c r="H20" i="153"/>
  <c r="G20" i="153"/>
  <c r="H19" i="153"/>
  <c r="G19" i="153"/>
  <c r="G18" i="153"/>
  <c r="G17" i="153"/>
  <c r="G16" i="153"/>
  <c r="H15" i="153"/>
  <c r="G15" i="153"/>
  <c r="H14" i="153"/>
  <c r="G14" i="153"/>
  <c r="G13" i="153"/>
  <c r="H12" i="153"/>
  <c r="G12" i="153"/>
  <c r="H11" i="153"/>
  <c r="G11" i="153"/>
  <c r="H10" i="153"/>
  <c r="G10" i="153"/>
  <c r="H9" i="153"/>
  <c r="G9" i="153"/>
  <c r="G8" i="153"/>
  <c r="G7" i="153"/>
  <c r="H6" i="153"/>
  <c r="G6" i="153"/>
  <c r="H5" i="153"/>
  <c r="G5" i="153"/>
  <c r="H4" i="153"/>
  <c r="G4" i="153"/>
  <c r="H16" i="153" l="1"/>
  <c r="H21" i="153"/>
  <c r="H7" i="153"/>
  <c r="H17" i="153"/>
  <c r="H8" i="153"/>
  <c r="H13" i="153"/>
  <c r="O8" i="155" l="1"/>
  <c r="O9" i="155"/>
  <c r="O10" i="155"/>
  <c r="L11" i="155"/>
  <c r="N11" i="155"/>
  <c r="O11" i="155"/>
  <c r="L12" i="155"/>
  <c r="N12" i="155"/>
  <c r="O12" i="155"/>
  <c r="E14" i="155"/>
  <c r="J14" i="155"/>
  <c r="N14" i="155"/>
  <c r="O14" i="155"/>
  <c r="E15" i="155"/>
  <c r="N15" i="155"/>
  <c r="O15" i="155"/>
  <c r="E16" i="155"/>
  <c r="N16" i="155"/>
  <c r="O16" i="155"/>
  <c r="E17" i="155"/>
  <c r="N17" i="155"/>
  <c r="O17" i="155"/>
  <c r="J18" i="155"/>
  <c r="N18" i="155"/>
  <c r="O18" i="155"/>
  <c r="J19" i="155"/>
  <c r="N19" i="155"/>
  <c r="O19" i="155"/>
  <c r="E21" i="155"/>
  <c r="J21" i="155"/>
  <c r="L21" i="155"/>
  <c r="N21" i="155"/>
  <c r="O21" i="155"/>
  <c r="E23" i="155"/>
  <c r="J23" i="155"/>
</calcChain>
</file>

<file path=xl/sharedStrings.xml><?xml version="1.0" encoding="utf-8"?>
<sst xmlns="http://schemas.openxmlformats.org/spreadsheetml/2006/main" count="113" uniqueCount="88">
  <si>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</si>
  <si>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</si>
  <si>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</si>
  <si>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</si>
  <si>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</si>
  <si>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</si>
  <si>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</si>
  <si>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</si>
  <si>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</si>
  <si>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</si>
  <si>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</si>
  <si>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</si>
  <si>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</si>
  <si>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</si>
  <si>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</si>
  <si>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</si>
  <si>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</si>
  <si>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</si>
  <si>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</si>
  <si>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</si>
  <si>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</si>
  <si>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</si>
  <si>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</si>
  <si>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</si>
  <si>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</si>
  <si>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</si>
  <si>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</si>
  <si>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</si>
  <si>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</si>
  <si>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</si>
  <si>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</si>
  <si>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</si>
  <si>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</si>
  <si>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</si>
  <si>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</si>
  <si>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</si>
  <si>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</si>
  <si>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</si>
  <si>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</si>
  <si>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</si>
  <si>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</si>
  <si>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</si>
  <si>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</si>
  <si>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</si>
  <si>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</si>
  <si>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</si>
  <si>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</si>
  <si>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</si>
  <si>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</si>
  <si>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</si>
  <si>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</si>
  <si>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</si>
  <si>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SIDEKICK (THINK MORE SECURITY, INC.)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</si>
  <si>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</si>
  <si>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</si>
  <si>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</si>
  <si>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</si>
  <si>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</si>
  <si>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</si>
  <si>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</si>
  <si>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</si>
  <si>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</si>
  <si>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Shares</t>
  </si>
  <si>
    <t xml:space="preserve"> Invested</t>
  </si>
  <si>
    <t>Pre A</t>
  </si>
  <si>
    <t>FD</t>
  </si>
  <si>
    <t>Common Stock and Options:</t>
  </si>
  <si>
    <t>Total Common</t>
  </si>
  <si>
    <t>Preferred Rounds</t>
  </si>
  <si>
    <t>Elizabeth A. Donaghey</t>
  </si>
  <si>
    <t>Totals</t>
  </si>
  <si>
    <t>Price per Share</t>
  </si>
  <si>
    <t>Pre-Money Valuation</t>
  </si>
  <si>
    <t>Post-Money Valuation</t>
  </si>
  <si>
    <t>Series A Assumptions:</t>
  </si>
  <si>
    <t>Total Raised</t>
  </si>
  <si>
    <t>Pre-Money Valuation Step-up</t>
  </si>
  <si>
    <t>Pre SAFE</t>
  </si>
  <si>
    <t>Other Common Shareholders</t>
  </si>
  <si>
    <t>ESOP Available</t>
  </si>
  <si>
    <t>Other SAFE Investors</t>
  </si>
  <si>
    <t>Other Series A</t>
  </si>
  <si>
    <t>Option Pool Expansion</t>
  </si>
  <si>
    <t>Transfer from Owl Rocl Capital II, LLC (Accomplice)</t>
  </si>
  <si>
    <t xml:space="preserve">% </t>
  </si>
  <si>
    <t>% Ownership (Series A)</t>
  </si>
  <si>
    <t>SIDEKICK &amp; TEN ELEVEN SERIES A</t>
  </si>
  <si>
    <t>Ten Eleven Ventures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</si>
</sst>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&quot;$&quot;#,##0_);\(&quot;$&quot;#,##0\)"/>
    <numFmt numFmtId="164" formatCode="&quot;$&quot;#,##0"/>
    <numFmt numFmtId="165" formatCode="0.0%"/>
    <numFmt numFmtId="175" formatCode="_-[$$-409]* #,##0.0000_-;_-[$$-409]* \(#,##0.0000\)_-;_-[$$-409]* &quot;-&quot;??;_-@_-"/>
  </numFmts>
  <fonts count="2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0">
    <xf numFmtId="0" fontId="0" fillId="0" borderId="0" xfId="0"/>
    <xf numFmtId="0" fontId="18" fillId="0" borderId="0" xfId="0" applyFont="1"/>
    <xf numFmtId="165" fontId="18" fillId="0" borderId="0" xfId="0" applyNumberFormat="1" applyFont="1"/>
    <xf numFmtId="165" fontId="19" fillId="33" borderId="0" xfId="0" applyNumberFormat="1" applyFont="1" applyFill="1"/>
    <xf numFmtId="0" fontId="21" fillId="0" borderId="0" xfId="0" applyFont="1"/>
    <xf numFmtId="0" fontId="23" fillId="0" borderId="0" xfId="0" applyFont="1" applyAlignment="1">
      <alignment horizontal="center"/>
    </xf>
    <xf numFmtId="10" fontId="23" fillId="0" borderId="0" xfId="0" applyNumberFormat="1" applyFont="1" applyAlignment="1">
      <alignment horizontal="center"/>
    </xf>
    <xf numFmtId="0" fontId="21" fillId="0" borderId="0" xfId="0" applyFont="1" applyAlignment="1">
      <alignment horizontal="centerContinuous"/>
    </xf>
    <xf numFmtId="0" fontId="18" fillId="0" borderId="13" xfId="0" applyFont="1" applyBorder="1"/>
    <xf numFmtId="0" fontId="18" fillId="0" borderId="15" xfId="0" applyFont="1" applyBorder="1"/>
    <xf numFmtId="0" fontId="18" fillId="0" borderId="14" xfId="0" applyFont="1" applyBorder="1"/>
    <xf numFmtId="37" fontId="20" fillId="0" borderId="0" xfId="0" applyNumberFormat="1" applyFont="1"/>
    <xf numFmtId="37" fontId="18" fillId="0" borderId="0" xfId="0" applyNumberFormat="1" applyFont="1"/>
    <xf numFmtId="0" fontId="18" fillId="0" borderId="10" xfId="0" applyFont="1" applyBorder="1"/>
    <xf numFmtId="0" fontId="18" fillId="0" borderId="12" xfId="0" applyFont="1" applyBorder="1"/>
    <xf numFmtId="0" fontId="25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164" fontId="26" fillId="0" borderId="0" xfId="0" applyNumberFormat="1" applyFont="1" applyAlignment="1">
      <alignment horizontal="center"/>
    </xf>
    <xf numFmtId="164" fontId="25" fillId="0" borderId="0" xfId="0" applyNumberFormat="1" applyFont="1" applyAlignment="1">
      <alignment horizontal="center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17" xfId="0" applyFont="1" applyBorder="1" applyAlignment="1">
      <alignment horizontal="center"/>
    </xf>
    <xf numFmtId="0" fontId="27" fillId="0" borderId="19" xfId="0" applyFont="1" applyBorder="1" applyAlignment="1">
      <alignment horizontal="center"/>
    </xf>
    <xf numFmtId="0" fontId="27" fillId="0" borderId="23" xfId="0" applyFont="1" applyBorder="1" applyAlignment="1">
      <alignment horizontal="center"/>
    </xf>
    <xf numFmtId="0" fontId="27" fillId="0" borderId="14" xfId="0" applyFont="1" applyBorder="1" applyAlignment="1">
      <alignment horizontal="center"/>
    </xf>
    <xf numFmtId="0" fontId="27" fillId="0" borderId="16" xfId="0" applyFont="1" applyBorder="1" applyAlignment="1">
      <alignment horizontal="center"/>
    </xf>
    <xf numFmtId="0" fontId="27" fillId="0" borderId="22" xfId="0" applyFont="1" applyBorder="1" applyAlignment="1">
      <alignment horizontal="center"/>
    </xf>
    <xf numFmtId="0" fontId="27" fillId="0" borderId="20" xfId="0" applyFont="1" applyBorder="1" applyAlignment="1">
      <alignment horizontal="center"/>
    </xf>
    <xf numFmtId="0" fontId="27" fillId="0" borderId="21" xfId="0" applyFont="1" applyBorder="1" applyAlignment="1">
      <alignment horizontal="center"/>
    </xf>
    <xf numFmtId="0" fontId="27" fillId="0" borderId="19" xfId="0" applyFont="1" applyBorder="1"/>
    <xf numFmtId="0" fontId="22" fillId="0" borderId="15" xfId="0" applyFont="1" applyBorder="1"/>
    <xf numFmtId="0" fontId="27" fillId="0" borderId="15" xfId="0" applyFont="1" applyBorder="1"/>
    <xf numFmtId="3" fontId="23" fillId="0" borderId="0" xfId="0" applyNumberFormat="1" applyFont="1" applyAlignment="1">
      <alignment horizontal="center"/>
    </xf>
    <xf numFmtId="164" fontId="24" fillId="0" borderId="0" xfId="0" applyNumberFormat="1" applyFont="1" applyAlignment="1">
      <alignment horizontal="center"/>
    </xf>
    <xf numFmtId="3" fontId="26" fillId="0" borderId="0" xfId="0" applyNumberFormat="1" applyFont="1" applyAlignment="1">
      <alignment horizontal="center"/>
    </xf>
    <xf numFmtId="5" fontId="19" fillId="0" borderId="0" xfId="0" applyNumberFormat="1" applyFont="1"/>
    <xf numFmtId="175" fontId="22" fillId="33" borderId="0" xfId="0" applyNumberFormat="1" applyFont="1" applyFill="1"/>
    <xf numFmtId="5" fontId="20" fillId="0" borderId="0" xfId="0" applyNumberFormat="1" applyFont="1"/>
    <xf numFmtId="5" fontId="18" fillId="0" borderId="13" xfId="0" applyNumberFormat="1" applyFont="1" applyBorder="1"/>
    <xf numFmtId="0" fontId="18" fillId="0" borderId="0" xfId="0" applyFont="1" applyBorder="1"/>
    <xf numFmtId="0" fontId="27" fillId="0" borderId="19" xfId="0" applyFont="1" applyBorder="1" applyAlignment="1">
      <alignment horizontal="centerContinuous"/>
    </xf>
    <xf numFmtId="0" fontId="27" fillId="0" borderId="23" xfId="0" applyFont="1" applyBorder="1" applyAlignment="1">
      <alignment horizontal="centerContinuous"/>
    </xf>
    <xf numFmtId="0" fontId="18" fillId="0" borderId="23" xfId="0" applyFont="1" applyBorder="1"/>
    <xf numFmtId="165" fontId="18" fillId="0" borderId="17" xfId="0" applyNumberFormat="1" applyFont="1" applyBorder="1"/>
    <xf numFmtId="0" fontId="18" fillId="0" borderId="17" xfId="0" applyFont="1" applyBorder="1"/>
    <xf numFmtId="0" fontId="18" fillId="0" borderId="16" xfId="0" applyFont="1" applyBorder="1"/>
    <xf numFmtId="37" fontId="18" fillId="0" borderId="10" xfId="0" applyNumberFormat="1" applyFont="1" applyBorder="1"/>
    <xf numFmtId="37" fontId="18" fillId="0" borderId="11" xfId="0" applyNumberFormat="1" applyFont="1" applyBorder="1"/>
    <xf numFmtId="5" fontId="18" fillId="0" borderId="11" xfId="0" applyNumberFormat="1" applyFont="1" applyBorder="1"/>
    <xf numFmtId="165" fontId="18" fillId="0" borderId="18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04AA2-8BA7-DD4D-80F3-1CFA57CB2FE5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5D6CE-580D-AD4E-A83E-871DA8D36F3A}">
  <dimension ref="A1:O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  <col min="11" max="15" width="10.5" customWidth="1"/>
  </cols>
  <sheetData>
    <row r="1" spans="1:15" x14ac:dyDescent="0.2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">
      <c r="A2" s="5"/>
      <c r="B2" s="5"/>
      <c r="C2" s="5"/>
      <c r="D2" s="5"/>
      <c r="E2" s="5"/>
      <c r="F2" s="5"/>
      <c r="G2" s="5"/>
      <c r="H2" s="16" t="s">
        <v>1</v>
      </c>
      <c r="I2" s="5"/>
      <c r="J2" s="5"/>
      <c r="K2" s="5"/>
      <c r="L2" s="5"/>
      <c r="M2" s="5"/>
      <c r="N2" s="5"/>
      <c r="O2" s="5"/>
    </row>
    <row r="3" spans="1:15" x14ac:dyDescent="0.2">
      <c r="A3" s="5"/>
      <c r="B3" s="16" t="s">
        <v>2</v>
      </c>
      <c r="C3" s="16" t="s">
        <v>3</v>
      </c>
      <c r="D3" s="16" t="s">
        <v>4</v>
      </c>
      <c r="E3" s="16" t="s">
        <v>5</v>
      </c>
      <c r="F3" s="16" t="s">
        <v>6</v>
      </c>
      <c r="G3" s="16" t="s">
        <v>0</v>
      </c>
      <c r="H3" s="16" t="s">
        <v>7</v>
      </c>
      <c r="I3" s="5"/>
      <c r="J3" s="5"/>
      <c r="K3" s="5"/>
      <c r="L3" s="5"/>
      <c r="M3" s="5"/>
      <c r="N3" s="5"/>
      <c r="O3" s="5"/>
    </row>
    <row r="4" spans="1:15" x14ac:dyDescent="0.2">
      <c r="A4" s="5"/>
      <c r="B4" s="15" t="s">
        <v>8</v>
      </c>
      <c r="C4" s="32">
        <v>3600000</v>
      </c>
      <c r="D4" s="32"/>
      <c r="E4" s="32"/>
      <c r="F4" s="32"/>
      <c r="G4" s="32">
        <f>SUM(C4:F4)</f>
        <v>3600000</v>
      </c>
      <c r="H4" s="6">
        <f>G4/$G$23</f>
        <v>0.36959987630724139</v>
      </c>
      <c r="I4" s="6"/>
      <c r="J4" s="5"/>
      <c r="K4" s="5"/>
      <c r="L4" s="5"/>
      <c r="M4" s="5"/>
      <c r="N4" s="5"/>
      <c r="O4" s="5"/>
    </row>
    <row r="5" spans="1:15" x14ac:dyDescent="0.2">
      <c r="A5" s="5"/>
      <c r="B5" s="15" t="s">
        <v>9</v>
      </c>
      <c r="C5" s="32">
        <v>3600000</v>
      </c>
      <c r="D5" s="32"/>
      <c r="E5" s="32"/>
      <c r="F5" s="32"/>
      <c r="G5" s="32">
        <f>SUM(C5:F5)</f>
        <v>3600000</v>
      </c>
      <c r="H5" s="6">
        <f>G5/$G$23</f>
        <v>0.36959987630724139</v>
      </c>
      <c r="I5" s="6"/>
      <c r="J5" s="5"/>
      <c r="K5" s="5"/>
      <c r="L5" s="5"/>
      <c r="M5" s="5"/>
      <c r="N5" s="5"/>
      <c r="O5" s="5"/>
    </row>
    <row r="6" spans="1:15" x14ac:dyDescent="0.2">
      <c r="A6" s="5"/>
      <c r="B6" s="15" t="s">
        <v>10</v>
      </c>
      <c r="C6" s="32">
        <v>222187</v>
      </c>
      <c r="D6" s="32"/>
      <c r="E6" s="32"/>
      <c r="F6" s="32"/>
      <c r="G6" s="32">
        <f>SUM(C6:F6)</f>
        <v>222187</v>
      </c>
      <c r="H6" s="6">
        <f>G6/$G$23</f>
        <v>2.28111910325214E-2</v>
      </c>
      <c r="I6" s="6"/>
      <c r="J6" s="5"/>
      <c r="K6" s="5"/>
      <c r="L6" s="5"/>
      <c r="M6" s="5"/>
      <c r="N6" s="5"/>
      <c r="O6" s="5"/>
    </row>
    <row r="7" spans="1:15" x14ac:dyDescent="0.2">
      <c r="A7" s="5"/>
      <c r="B7" s="15" t="s">
        <v>11</v>
      </c>
      <c r="C7" s="32">
        <v>592500</v>
      </c>
      <c r="D7" s="32"/>
      <c r="E7" s="32"/>
      <c r="F7" s="32"/>
      <c r="G7" s="32">
        <f>SUM(C7:F7)</f>
        <v>592500</v>
      </c>
      <c r="H7" s="6">
        <f>G7/$G$23</f>
        <v>6.0829979642233481E-2</v>
      </c>
      <c r="I7" s="6"/>
      <c r="J7" s="5"/>
      <c r="K7" s="5"/>
      <c r="L7" s="5"/>
      <c r="M7" s="5"/>
      <c r="N7" s="5"/>
      <c r="O7" s="5"/>
    </row>
    <row r="8" spans="1:15" x14ac:dyDescent="0.2">
      <c r="A8" s="5"/>
      <c r="B8" s="15" t="s">
        <v>12</v>
      </c>
      <c r="C8" s="32">
        <v>592500</v>
      </c>
      <c r="D8" s="32"/>
      <c r="E8" s="32"/>
      <c r="F8" s="32"/>
      <c r="G8" s="32">
        <f>SUM(C8:F8)</f>
        <v>592500</v>
      </c>
      <c r="H8" s="6">
        <f>G8/$G$23</f>
        <v>6.0829979642233481E-2</v>
      </c>
      <c r="I8" s="6"/>
      <c r="J8" s="5"/>
      <c r="K8" s="5"/>
      <c r="L8" s="5"/>
      <c r="M8" s="5"/>
      <c r="N8" s="5"/>
      <c r="O8" s="5"/>
    </row>
    <row r="9" spans="1:15" x14ac:dyDescent="0.2">
      <c r="A9" s="5"/>
      <c r="B9" s="15" t="s">
        <v>13</v>
      </c>
      <c r="C9" s="32">
        <v>13500</v>
      </c>
      <c r="D9" s="32">
        <v>98900</v>
      </c>
      <c r="E9" s="32"/>
      <c r="F9" s="32"/>
      <c r="G9" s="32">
        <f>SUM(C9:F9)</f>
        <v>112400</v>
      </c>
      <c r="H9" s="6">
        <f>G9/$G$23</f>
        <v>1.1539729471370537E-2</v>
      </c>
      <c r="I9" s="6"/>
      <c r="J9" s="5"/>
      <c r="K9" s="5"/>
      <c r="L9" s="5"/>
      <c r="M9" s="5"/>
      <c r="N9" s="5"/>
      <c r="O9" s="5"/>
    </row>
    <row r="10" spans="1:15" x14ac:dyDescent="0.2">
      <c r="A10" s="5"/>
      <c r="B10" s="15" t="s">
        <v>14</v>
      </c>
      <c r="C10" s="32">
        <v>9000</v>
      </c>
      <c r="D10" s="32"/>
      <c r="E10" s="32"/>
      <c r="F10" s="32"/>
      <c r="G10" s="32">
        <f>SUM(C10:F10)</f>
        <v>9000</v>
      </c>
      <c r="H10" s="6">
        <f>G10/$G$23</f>
        <v>9.2399969076810353E-4</v>
      </c>
      <c r="I10" s="6"/>
      <c r="J10" s="5"/>
      <c r="K10" s="5"/>
      <c r="L10" s="5"/>
      <c r="M10" s="5"/>
      <c r="N10" s="5"/>
      <c r="O10" s="5"/>
    </row>
    <row r="11" spans="1:15" x14ac:dyDescent="0.2">
      <c r="A11" s="5"/>
      <c r="B11" s="15" t="s">
        <v>15</v>
      </c>
      <c r="C11" s="32"/>
      <c r="D11" s="32">
        <v>95000</v>
      </c>
      <c r="E11" s="32"/>
      <c r="F11" s="32"/>
      <c r="G11" s="32">
        <f>SUM(C11:F11)</f>
        <v>95000</v>
      </c>
      <c r="H11" s="6">
        <f>G11/$G$23</f>
        <v>9.7533300692188695E-3</v>
      </c>
      <c r="I11" s="6"/>
      <c r="J11" s="5"/>
      <c r="K11" s="5"/>
      <c r="L11" s="5"/>
      <c r="M11" s="5"/>
      <c r="N11" s="5"/>
      <c r="O11" s="5"/>
    </row>
    <row r="12" spans="1:15" x14ac:dyDescent="0.2">
      <c r="A12" s="5"/>
      <c r="B12" s="15" t="s">
        <v>16</v>
      </c>
      <c r="C12" s="32"/>
      <c r="D12" s="32"/>
      <c r="E12" s="32">
        <v>25000</v>
      </c>
      <c r="F12" s="32"/>
      <c r="G12" s="32">
        <f>SUM(C12:F12)</f>
        <v>25000</v>
      </c>
      <c r="H12" s="6">
        <f>G12/$G$23</f>
        <v>2.5666658076891765E-3</v>
      </c>
      <c r="I12" s="6"/>
      <c r="J12" s="5"/>
      <c r="K12" s="5"/>
      <c r="L12" s="5"/>
      <c r="M12" s="5"/>
      <c r="N12" s="5"/>
      <c r="O12" s="5"/>
    </row>
    <row r="13" spans="1:15" x14ac:dyDescent="0.2">
      <c r="A13" s="5"/>
      <c r="B13" s="15" t="s">
        <v>17</v>
      </c>
      <c r="C13" s="32"/>
      <c r="D13" s="32"/>
      <c r="E13" s="32">
        <v>41562</v>
      </c>
      <c r="F13" s="32"/>
      <c r="G13" s="32">
        <f>SUM(C13:F13)</f>
        <v>41562</v>
      </c>
      <c r="H13" s="6">
        <f>G13/$G$23</f>
        <v>4.2670305719671019E-3</v>
      </c>
      <c r="I13" s="6"/>
      <c r="J13" s="5"/>
      <c r="K13" s="5"/>
      <c r="L13" s="5"/>
      <c r="M13" s="5"/>
      <c r="N13" s="5"/>
      <c r="O13" s="5"/>
    </row>
    <row r="14" spans="1:15" x14ac:dyDescent="0.2">
      <c r="A14" s="5"/>
      <c r="B14" s="15" t="s">
        <v>18</v>
      </c>
      <c r="C14" s="32"/>
      <c r="D14" s="32">
        <v>285000</v>
      </c>
      <c r="E14" s="32"/>
      <c r="F14" s="32"/>
      <c r="G14" s="32">
        <f>SUM(C14:F14)</f>
        <v>285000</v>
      </c>
      <c r="H14" s="6">
        <f>G14/$G$23</f>
        <v>2.925999020765661E-2</v>
      </c>
      <c r="I14" s="6"/>
      <c r="J14" s="5"/>
      <c r="K14" s="5"/>
      <c r="L14" s="5"/>
      <c r="M14" s="5"/>
      <c r="N14" s="5"/>
      <c r="O14" s="5"/>
    </row>
    <row r="15" spans="1:15" x14ac:dyDescent="0.2">
      <c r="A15" s="5"/>
      <c r="B15" s="15" t="s">
        <v>19</v>
      </c>
      <c r="C15" s="32"/>
      <c r="D15" s="32">
        <v>50000</v>
      </c>
      <c r="E15" s="32"/>
      <c r="F15" s="32"/>
      <c r="G15" s="32">
        <f>SUM(C15:F15)</f>
        <v>50000</v>
      </c>
      <c r="H15" s="6">
        <f>G15/$G$23</f>
        <v>5.133331615378353E-3</v>
      </c>
      <c r="I15" s="6"/>
      <c r="J15" s="5"/>
      <c r="K15" s="5"/>
      <c r="L15" s="5"/>
      <c r="M15" s="5"/>
      <c r="N15" s="5"/>
      <c r="O15" s="5"/>
    </row>
    <row r="16" spans="1:15" x14ac:dyDescent="0.2">
      <c r="A16" s="5"/>
      <c r="B16" s="15" t="s">
        <v>20</v>
      </c>
      <c r="C16" s="32"/>
      <c r="D16" s="32">
        <v>285000</v>
      </c>
      <c r="E16" s="32"/>
      <c r="F16" s="32"/>
      <c r="G16" s="32">
        <f>SUM(C16:F16)</f>
        <v>285000</v>
      </c>
      <c r="H16" s="6">
        <f>G16/$G$23</f>
        <v>2.925999020765661E-2</v>
      </c>
      <c r="I16" s="6"/>
      <c r="J16" s="5"/>
      <c r="K16" s="5"/>
      <c r="L16" s="5"/>
      <c r="M16" s="5"/>
      <c r="N16" s="5"/>
      <c r="O16" s="5"/>
    </row>
    <row r="17" spans="1:15" x14ac:dyDescent="0.2">
      <c r="A17" s="5"/>
      <c r="B17" s="15" t="s">
        <v>21</v>
      </c>
      <c r="C17" s="32"/>
      <c r="D17" s="32"/>
      <c r="E17" s="32">
        <v>96186</v>
      </c>
      <c r="F17" s="32"/>
      <c r="G17" s="32">
        <f>SUM(C17:F17)</f>
        <v>96186</v>
      </c>
      <c r="H17" s="6">
        <f>G17/$G$23</f>
        <v>9.8750926951356455E-3</v>
      </c>
      <c r="I17" s="6"/>
      <c r="J17" s="5"/>
      <c r="K17" s="5"/>
      <c r="L17" s="5"/>
      <c r="M17" s="5"/>
      <c r="N17" s="5"/>
      <c r="O17" s="5"/>
    </row>
    <row r="18" spans="1:15" x14ac:dyDescent="0.2">
      <c r="A18" s="5"/>
      <c r="B18" s="15" t="s">
        <v>22</v>
      </c>
      <c r="C18" s="32"/>
      <c r="D18" s="32"/>
      <c r="E18" s="32">
        <v>48095</v>
      </c>
      <c r="F18" s="32"/>
      <c r="G18" s="32">
        <f>SUM(C18:F18)</f>
        <v>48095</v>
      </c>
      <c r="H18" s="6">
        <f>G18/$G$23</f>
        <v>4.9377516808324371E-3</v>
      </c>
      <c r="I18" s="6"/>
      <c r="J18" s="5"/>
      <c r="K18" s="5"/>
      <c r="L18" s="5"/>
      <c r="M18" s="5"/>
      <c r="N18" s="5"/>
      <c r="O18" s="5"/>
    </row>
    <row r="19" spans="1:15" x14ac:dyDescent="0.2">
      <c r="A19" s="5"/>
      <c r="B19" s="15" t="s">
        <v>23</v>
      </c>
      <c r="C19" s="32"/>
      <c r="D19" s="32"/>
      <c r="E19" s="32"/>
      <c r="F19" s="32">
        <v>12395</v>
      </c>
      <c r="G19" s="32">
        <f>SUM(C19:F19)</f>
        <v>12395</v>
      </c>
      <c r="H19" s="6">
        <f>G19/$G$23</f>
        <v>1.2725529074522936E-3</v>
      </c>
      <c r="I19" s="6"/>
      <c r="J19" s="5"/>
      <c r="K19" s="5"/>
      <c r="L19" s="5"/>
      <c r="M19" s="5"/>
      <c r="N19" s="5"/>
      <c r="O19" s="5"/>
    </row>
    <row r="20" spans="1:15" x14ac:dyDescent="0.2">
      <c r="A20" s="5"/>
      <c r="B20" s="15" t="s">
        <v>24</v>
      </c>
      <c r="C20" s="32"/>
      <c r="D20" s="32"/>
      <c r="E20" s="32"/>
      <c r="F20" s="32">
        <v>8333</v>
      </c>
      <c r="G20" s="32">
        <f>SUM(C20:F20)</f>
        <v>8333</v>
      </c>
      <c r="H20" s="6">
        <f>G20/$G$23</f>
        <v>8.5552104701895626E-4</v>
      </c>
      <c r="I20" s="6"/>
      <c r="J20" s="5"/>
      <c r="K20" s="5"/>
      <c r="L20" s="5"/>
      <c r="M20" s="5"/>
      <c r="N20" s="5"/>
      <c r="O20" s="5"/>
    </row>
    <row r="21" spans="1:15" ht="15.75" customHeight="1" x14ac:dyDescent="0.2">
      <c r="A21" s="5"/>
      <c r="B21" s="15" t="s">
        <v>25</v>
      </c>
      <c r="C21" s="32"/>
      <c r="D21" s="32">
        <v>65105</v>
      </c>
      <c r="E21" s="32"/>
      <c r="F21" s="32"/>
      <c r="G21" s="32">
        <f>SUM(C21:F21)</f>
        <v>65105</v>
      </c>
      <c r="H21" s="6">
        <f>G21/$G$23</f>
        <v>6.6841110963841528E-3</v>
      </c>
      <c r="I21" s="6"/>
      <c r="J21" s="5"/>
      <c r="K21" s="5"/>
      <c r="L21" s="5"/>
      <c r="M21" s="5"/>
      <c r="N21" s="5"/>
      <c r="O21" s="5"/>
    </row>
    <row r="22" spans="1:15" ht="15.75" customHeight="1" x14ac:dyDescent="0.2">
      <c r="A22" s="5"/>
      <c r="B22" s="5"/>
      <c r="C22" s="5"/>
      <c r="D22" s="5"/>
      <c r="E22" s="5"/>
      <c r="F22" s="5"/>
      <c r="G22" s="5"/>
      <c r="H22" s="5"/>
      <c r="I22" s="6"/>
      <c r="J22" s="5"/>
      <c r="K22" s="5"/>
      <c r="L22" s="5"/>
      <c r="M22" s="5"/>
      <c r="N22" s="5"/>
      <c r="O22" s="5"/>
    </row>
    <row r="23" spans="1:15" ht="15.75" customHeight="1" x14ac:dyDescent="0.2">
      <c r="A23" s="5"/>
      <c r="B23" s="16" t="s">
        <v>0</v>
      </c>
      <c r="C23" s="34">
        <f>SUM(C4:C21)</f>
        <v>8629687</v>
      </c>
      <c r="D23" s="34">
        <f>SUM(D4:D21)</f>
        <v>879005</v>
      </c>
      <c r="E23" s="34">
        <f>SUM(E4:E21)</f>
        <v>210843</v>
      </c>
      <c r="F23" s="34">
        <f>SUM(F4:F21)</f>
        <v>20728</v>
      </c>
      <c r="G23" s="34">
        <f>SUM(G4:G21)</f>
        <v>9740263</v>
      </c>
      <c r="H23" s="32"/>
      <c r="I23" s="32"/>
      <c r="J23" s="5"/>
      <c r="K23" s="5"/>
      <c r="L23" s="5"/>
      <c r="M23" s="5"/>
      <c r="N23" s="5"/>
      <c r="O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E2A66-D082-604B-8267-659419BE3186}">
  <dimension ref="A1:K27"/>
  <sheetViews>
    <sheetView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  <col min="7" max="11" width="10.5" customWidth="1"/>
  </cols>
  <sheetData>
    <row r="1" spans="1:11" x14ac:dyDescent="0.2">
      <c r="A1" s="5"/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x14ac:dyDescent="0.2">
      <c r="A2" s="5"/>
      <c r="B2" s="5"/>
      <c r="C2" s="33" t="s">
        <v>26</v>
      </c>
      <c r="D2" s="5"/>
      <c r="E2" s="5"/>
      <c r="F2" s="5"/>
      <c r="G2" s="5"/>
      <c r="H2" s="5"/>
      <c r="I2" s="5"/>
      <c r="J2" s="5"/>
      <c r="K2" s="5"/>
    </row>
    <row r="3" spans="1:11" x14ac:dyDescent="0.2">
      <c r="A3" s="5"/>
      <c r="B3" s="16" t="s">
        <v>2</v>
      </c>
      <c r="C3" s="17" t="s">
        <v>26</v>
      </c>
      <c r="D3" s="5"/>
      <c r="E3" s="16" t="s">
        <v>27</v>
      </c>
      <c r="F3" s="5"/>
      <c r="G3" s="5"/>
      <c r="H3" s="5"/>
      <c r="I3" s="5"/>
      <c r="J3" s="5"/>
      <c r="K3" s="5"/>
    </row>
    <row r="4" spans="1:11" x14ac:dyDescent="0.2">
      <c r="A4" s="5"/>
      <c r="B4" s="15" t="s">
        <v>13</v>
      </c>
      <c r="C4" s="18">
        <v>25000</v>
      </c>
      <c r="D4" s="5"/>
      <c r="E4" s="15" t="s">
        <v>28</v>
      </c>
      <c r="F4" s="5"/>
      <c r="G4" s="5"/>
      <c r="H4" s="5"/>
      <c r="I4" s="5"/>
      <c r="J4" s="5"/>
      <c r="K4" s="5"/>
    </row>
    <row r="5" spans="1:11" x14ac:dyDescent="0.2">
      <c r="A5" s="5"/>
      <c r="B5" s="15" t="s">
        <v>14</v>
      </c>
      <c r="C5" s="18">
        <v>25000</v>
      </c>
      <c r="D5" s="5"/>
      <c r="E5" s="5"/>
      <c r="F5" s="5"/>
      <c r="G5" s="5"/>
      <c r="H5" s="5"/>
      <c r="I5" s="5"/>
      <c r="J5" s="5"/>
      <c r="K5" s="5"/>
    </row>
    <row r="6" spans="1:11" ht="15.75" customHeight="1" x14ac:dyDescent="0.2">
      <c r="A6" s="5"/>
      <c r="B6" s="15" t="s">
        <v>29</v>
      </c>
      <c r="C6" s="18">
        <v>137170.75</v>
      </c>
      <c r="D6" s="5"/>
      <c r="E6" s="5"/>
      <c r="F6" s="5"/>
      <c r="G6" s="5"/>
      <c r="H6" s="5"/>
      <c r="I6" s="5"/>
      <c r="J6" s="5"/>
      <c r="K6" s="5"/>
    </row>
    <row r="7" spans="1:11" ht="15.75" customHeight="1" x14ac:dyDescent="0.2">
      <c r="A7" s="5"/>
      <c r="B7" s="15" t="s">
        <v>30</v>
      </c>
      <c r="C7" s="18">
        <v>3846829.25</v>
      </c>
      <c r="D7" s="5"/>
      <c r="E7" s="5"/>
      <c r="F7" s="5"/>
      <c r="G7" s="5"/>
      <c r="H7" s="5"/>
      <c r="I7" s="5"/>
      <c r="J7" s="5"/>
      <c r="K7" s="5"/>
    </row>
    <row r="8" spans="1:11" ht="15.75" customHeight="1" x14ac:dyDescent="0.2">
      <c r="A8" s="5"/>
      <c r="B8" s="15" t="s">
        <v>31</v>
      </c>
      <c r="C8" s="18">
        <v>16566</v>
      </c>
      <c r="D8" s="5"/>
      <c r="E8" s="15" t="s">
        <v>83</v>
      </c>
      <c r="F8" s="5"/>
      <c r="G8" s="5"/>
      <c r="H8" s="5"/>
      <c r="I8" s="5"/>
      <c r="J8" s="5"/>
      <c r="K8" s="5"/>
    </row>
    <row r="9" spans="1:11" ht="15.75" customHeight="1" x14ac:dyDescent="0.2">
      <c r="A9" s="5"/>
      <c r="B9" s="15" t="s">
        <v>32</v>
      </c>
      <c r="C9" s="18">
        <v>250000</v>
      </c>
      <c r="D9" s="5"/>
      <c r="E9" s="5"/>
      <c r="F9" s="5"/>
      <c r="G9" s="5"/>
      <c r="H9" s="5"/>
      <c r="I9" s="5"/>
      <c r="J9" s="5"/>
      <c r="K9" s="5"/>
    </row>
    <row r="10" spans="1:11" ht="15.75" customHeight="1" x14ac:dyDescent="0.2">
      <c r="A10" s="5"/>
      <c r="B10" s="15" t="s">
        <v>33</v>
      </c>
      <c r="C10" s="18">
        <v>100000</v>
      </c>
      <c r="D10" s="5"/>
      <c r="E10" s="5"/>
      <c r="F10" s="5"/>
      <c r="G10" s="5"/>
      <c r="H10" s="5"/>
      <c r="I10" s="5"/>
      <c r="J10" s="5"/>
      <c r="K10" s="5"/>
    </row>
    <row r="11" spans="1:11" ht="15.75" customHeight="1" x14ac:dyDescent="0.2">
      <c r="A11" s="5"/>
      <c r="B11" s="15" t="s">
        <v>34</v>
      </c>
      <c r="C11" s="18">
        <v>300000</v>
      </c>
      <c r="D11" s="5"/>
      <c r="E11" s="15" t="s">
        <v>28</v>
      </c>
      <c r="F11" s="5"/>
      <c r="G11" s="5"/>
      <c r="H11" s="5"/>
      <c r="I11" s="5"/>
      <c r="J11" s="5"/>
      <c r="K11" s="5"/>
    </row>
    <row r="12" spans="1:11" ht="15.75" customHeight="1" x14ac:dyDescent="0.2">
      <c r="A12" s="5"/>
      <c r="B12" s="15" t="s">
        <v>35</v>
      </c>
      <c r="C12" s="18">
        <v>37500</v>
      </c>
      <c r="D12" s="5"/>
      <c r="E12" s="15" t="s">
        <v>36</v>
      </c>
      <c r="F12" s="5"/>
      <c r="G12" s="5"/>
      <c r="H12" s="5"/>
      <c r="I12" s="5"/>
      <c r="J12" s="5"/>
      <c r="K12" s="5"/>
    </row>
    <row r="13" spans="1:11" ht="15.75" customHeight="1" x14ac:dyDescent="0.2">
      <c r="A13" s="5"/>
      <c r="B13" s="15" t="s">
        <v>37</v>
      </c>
      <c r="C13" s="18">
        <v>250000</v>
      </c>
      <c r="D13" s="5"/>
      <c r="E13" s="5"/>
      <c r="F13" s="5"/>
      <c r="G13" s="5"/>
      <c r="H13" s="5"/>
      <c r="I13" s="5"/>
      <c r="J13" s="5"/>
      <c r="K13" s="5"/>
    </row>
    <row r="14" spans="1:11" ht="15.75" customHeight="1" x14ac:dyDescent="0.2">
      <c r="A14" s="5"/>
      <c r="B14" s="15" t="s">
        <v>38</v>
      </c>
      <c r="C14" s="18">
        <v>100000</v>
      </c>
      <c r="D14" s="5"/>
      <c r="E14" s="5"/>
      <c r="F14" s="5"/>
      <c r="G14" s="5"/>
      <c r="H14" s="5"/>
      <c r="I14" s="5"/>
      <c r="J14" s="5"/>
      <c r="K14" s="5"/>
    </row>
    <row r="15" spans="1:11" ht="15.75" customHeight="1" x14ac:dyDescent="0.2">
      <c r="A15" s="5"/>
      <c r="B15" s="15" t="s">
        <v>39</v>
      </c>
      <c r="C15" s="18">
        <v>41164</v>
      </c>
      <c r="D15" s="5"/>
      <c r="E15" s="15" t="s">
        <v>83</v>
      </c>
      <c r="F15" s="5"/>
      <c r="G15" s="5"/>
      <c r="H15" s="5"/>
      <c r="I15" s="5"/>
      <c r="J15" s="5"/>
      <c r="K15" s="5"/>
    </row>
    <row r="16" spans="1:11" ht="15.75" customHeight="1" x14ac:dyDescent="0.2">
      <c r="A16" s="5"/>
      <c r="B16" s="15" t="s">
        <v>40</v>
      </c>
      <c r="C16" s="18">
        <v>2328778</v>
      </c>
      <c r="D16" s="5"/>
      <c r="E16" s="15" t="s">
        <v>83</v>
      </c>
      <c r="F16" s="5"/>
      <c r="G16" s="5"/>
      <c r="H16" s="5"/>
      <c r="I16" s="5"/>
      <c r="J16" s="5"/>
      <c r="K16" s="5"/>
    </row>
    <row r="17" spans="1:11" ht="15.75" customHeight="1" x14ac:dyDescent="0.2">
      <c r="A17" s="5"/>
      <c r="B17" s="15" t="s">
        <v>41</v>
      </c>
      <c r="C17" s="18">
        <v>1506000</v>
      </c>
      <c r="D17" s="5"/>
      <c r="E17" s="15" t="s">
        <v>42</v>
      </c>
      <c r="F17" s="5"/>
      <c r="G17" s="5"/>
      <c r="H17" s="5"/>
      <c r="I17" s="5"/>
      <c r="J17" s="5"/>
      <c r="K17" s="5"/>
    </row>
    <row r="18" spans="1:11" ht="15.75" customHeight="1" x14ac:dyDescent="0.2">
      <c r="A18" s="5"/>
      <c r="B18" s="15" t="s">
        <v>43</v>
      </c>
      <c r="C18" s="18">
        <v>50000</v>
      </c>
      <c r="D18" s="5"/>
      <c r="E18" s="5"/>
      <c r="F18" s="5"/>
      <c r="G18" s="5"/>
      <c r="H18" s="5"/>
      <c r="I18" s="5"/>
      <c r="J18" s="5"/>
      <c r="K18" s="5"/>
    </row>
    <row r="19" spans="1:11" ht="15.75" customHeight="1" x14ac:dyDescent="0.2">
      <c r="A19" s="5"/>
      <c r="B19" s="15" t="s">
        <v>44</v>
      </c>
      <c r="C19" s="18">
        <v>212500</v>
      </c>
      <c r="D19" s="5"/>
      <c r="E19" s="15" t="s">
        <v>36</v>
      </c>
      <c r="F19" s="5"/>
      <c r="G19" s="5"/>
      <c r="H19" s="5"/>
      <c r="I19" s="5"/>
      <c r="J19" s="5"/>
      <c r="K19" s="5"/>
    </row>
    <row r="20" spans="1:11" ht="15.75" customHeight="1" x14ac:dyDescent="0.2">
      <c r="A20" s="5"/>
      <c r="B20" s="15" t="s">
        <v>45</v>
      </c>
      <c r="C20" s="18">
        <v>25000</v>
      </c>
      <c r="D20" s="5"/>
      <c r="E20" s="5"/>
      <c r="F20" s="5"/>
      <c r="G20" s="5"/>
      <c r="H20" s="5"/>
      <c r="I20" s="5"/>
      <c r="J20" s="5"/>
      <c r="K20" s="5"/>
    </row>
    <row r="21" spans="1:11" ht="15.75" customHeight="1" x14ac:dyDescent="0.2">
      <c r="A21" s="5"/>
      <c r="B21" s="15" t="s">
        <v>46</v>
      </c>
      <c r="C21" s="18">
        <v>61746</v>
      </c>
      <c r="D21" s="5"/>
      <c r="E21" s="15" t="s">
        <v>83</v>
      </c>
      <c r="F21" s="5"/>
      <c r="G21" s="5"/>
      <c r="H21" s="5"/>
      <c r="I21" s="5"/>
      <c r="J21" s="5"/>
      <c r="K21" s="5"/>
    </row>
    <row r="22" spans="1:11" ht="15.75" customHeight="1" x14ac:dyDescent="0.2">
      <c r="A22" s="5"/>
      <c r="B22" s="15" t="s">
        <v>47</v>
      </c>
      <c r="C22" s="18">
        <v>100000</v>
      </c>
      <c r="D22" s="5"/>
      <c r="E22" s="5"/>
      <c r="F22" s="5"/>
      <c r="G22" s="5"/>
      <c r="H22" s="5"/>
      <c r="I22" s="5"/>
      <c r="J22" s="5"/>
      <c r="K22" s="5"/>
    </row>
    <row r="23" spans="1:11" ht="15.75" customHeight="1" x14ac:dyDescent="0.2">
      <c r="A23" s="5"/>
      <c r="B23" s="15" t="s">
        <v>48</v>
      </c>
      <c r="C23" s="18">
        <v>100000</v>
      </c>
      <c r="D23" s="5"/>
      <c r="E23" s="5"/>
      <c r="F23" s="5"/>
      <c r="G23" s="5"/>
      <c r="H23" s="5"/>
      <c r="I23" s="5"/>
      <c r="J23" s="5"/>
      <c r="K23" s="5"/>
    </row>
    <row r="24" spans="1:11" ht="15.75" customHeight="1" x14ac:dyDescent="0.2">
      <c r="A24" s="5"/>
      <c r="B24" s="15" t="s">
        <v>49</v>
      </c>
      <c r="C24" s="18">
        <v>61746</v>
      </c>
      <c r="D24" s="5"/>
      <c r="E24" s="15" t="s">
        <v>83</v>
      </c>
      <c r="F24" s="5"/>
      <c r="G24" s="5"/>
      <c r="H24" s="5"/>
      <c r="I24" s="5"/>
      <c r="J24" s="5"/>
      <c r="K24" s="5"/>
    </row>
    <row r="25" spans="1:11" ht="15.75" customHeight="1" x14ac:dyDescent="0.2">
      <c r="A25" s="5"/>
      <c r="B25" s="15" t="s">
        <v>50</v>
      </c>
      <c r="C25" s="18">
        <v>250000</v>
      </c>
      <c r="D25" s="5"/>
      <c r="E25" s="15" t="s">
        <v>51</v>
      </c>
      <c r="F25" s="5"/>
      <c r="G25" s="5"/>
      <c r="H25" s="5"/>
      <c r="I25" s="5"/>
      <c r="J25" s="5"/>
      <c r="K25" s="5"/>
    </row>
    <row r="26" spans="1:11" ht="15.75" customHeight="1" x14ac:dyDescent="0.2">
      <c r="A26" s="5"/>
      <c r="B26" s="5"/>
      <c r="C26" s="33"/>
      <c r="D26" s="5"/>
      <c r="E26" s="5"/>
      <c r="F26" s="5"/>
      <c r="G26" s="5"/>
      <c r="H26" s="5"/>
      <c r="I26" s="5"/>
      <c r="J26" s="5"/>
      <c r="K26" s="5"/>
    </row>
    <row r="27" spans="1:11" ht="15.75" customHeight="1" x14ac:dyDescent="0.2">
      <c r="A27" s="5"/>
      <c r="B27" s="15" t="s">
        <v>0</v>
      </c>
      <c r="C27" s="17">
        <f>SUM(C4:C25)</f>
        <v>9825000</v>
      </c>
      <c r="D27" s="5"/>
      <c r="E27" s="5"/>
      <c r="F27" s="5"/>
      <c r="G27" s="5"/>
      <c r="H27" s="5"/>
      <c r="I27" s="5"/>
      <c r="J27" s="5"/>
      <c r="K27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9BD08-A3E7-914E-B2D5-667E37178D18}">
  <dimension ref="A1:X33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16.83203125" customWidth="1"/>
    <col min="6" max="6" width="0.5" customWidth="1"/>
    <col min="7" max="7" width="13.83203125" customWidth="1"/>
    <col min="8" max="8" width="0.5" customWidth="1"/>
    <col min="9" max="9" width="15.5" customWidth="1"/>
    <col min="10" max="10" width="16.83203125" customWidth="1"/>
    <col min="11" max="11" width="0.5" customWidth="1"/>
    <col min="12" max="12" width="13.83203125" customWidth="1"/>
    <col min="13" max="13" width="0.5" customWidth="1"/>
    <col min="14" max="14" width="15.5" customWidth="1"/>
    <col min="15" max="15" width="16.83203125" customWidth="1"/>
    <col min="16" max="16" width="0.5" customWidth="1"/>
    <col min="17" max="17" width="13.83203125" customWidth="1"/>
    <col min="18" max="18" width="0.5" customWidth="1"/>
    <col min="19" max="19" width="15.5" customWidth="1"/>
    <col min="20" max="20" width="9.33203125" customWidth="1"/>
    <col min="21" max="21" width="6.83203125" customWidth="1"/>
    <col min="22" max="22" width="15.5" customWidth="1"/>
    <col min="23" max="23" width="13" customWidth="1"/>
    <col min="24" max="24" width="10.5" customWidth="1"/>
  </cols>
  <sheetData>
    <row r="1" spans="1:24" x14ac:dyDescent="0.2">
      <c r="A1" s="1"/>
      <c r="B1" s="7" t="s">
        <v>52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1"/>
      <c r="V1" s="1"/>
      <c r="W1" s="1"/>
      <c r="X1" s="1"/>
    </row>
    <row r="2" spans="1:24" ht="15.5" customHeight="1" x14ac:dyDescent="0.2">
      <c r="A2" s="1"/>
      <c r="B2" s="7" t="s">
        <v>86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1"/>
      <c r="V2" s="1"/>
      <c r="W2" s="1"/>
      <c r="X2" s="1"/>
    </row>
    <row r="3" spans="1:24" ht="16.25" customHeight="1" thickBot="1" x14ac:dyDescent="0.25">
      <c r="A3" s="1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"/>
      <c r="V3" s="1"/>
      <c r="W3" s="1"/>
      <c r="X3" s="1"/>
    </row>
    <row r="4" spans="1:24" ht="13.75" customHeight="1" thickBot="1" x14ac:dyDescent="0.25">
      <c r="A4" s="1"/>
      <c r="B4" s="1"/>
      <c r="C4" s="22" t="s">
        <v>53</v>
      </c>
      <c r="D4" s="40" t="s">
        <v>26</v>
      </c>
      <c r="E4" s="41"/>
      <c r="F4" s="1"/>
      <c r="G4" s="27" t="s">
        <v>54</v>
      </c>
      <c r="H4" s="1"/>
      <c r="I4" s="40" t="s">
        <v>55</v>
      </c>
      <c r="J4" s="41"/>
      <c r="K4" s="1"/>
      <c r="L4" s="27" t="s">
        <v>54</v>
      </c>
      <c r="M4" s="1"/>
      <c r="N4" s="40" t="s">
        <v>56</v>
      </c>
      <c r="O4" s="41"/>
      <c r="P4" s="1"/>
      <c r="Q4" s="1"/>
      <c r="R4" s="1"/>
      <c r="S4" s="1"/>
      <c r="T4" s="1"/>
      <c r="U4" s="1"/>
      <c r="V4" s="1"/>
      <c r="W4" s="1"/>
      <c r="X4" s="1"/>
    </row>
    <row r="5" spans="1:24" x14ac:dyDescent="0.2">
      <c r="A5" s="1"/>
      <c r="B5" s="1"/>
      <c r="C5" s="22" t="s">
        <v>57</v>
      </c>
      <c r="D5" s="22" t="s">
        <v>58</v>
      </c>
      <c r="E5" s="23" t="s">
        <v>59</v>
      </c>
      <c r="F5" s="20"/>
      <c r="G5" s="26" t="s">
        <v>60</v>
      </c>
      <c r="H5" s="20"/>
      <c r="I5" s="22" t="s">
        <v>58</v>
      </c>
      <c r="J5" s="23" t="s">
        <v>59</v>
      </c>
      <c r="K5" s="20"/>
      <c r="L5" s="26" t="s">
        <v>60</v>
      </c>
      <c r="M5" s="20"/>
      <c r="N5" s="22" t="s">
        <v>61</v>
      </c>
      <c r="O5" s="23" t="s">
        <v>84</v>
      </c>
      <c r="P5" s="1"/>
      <c r="Q5" s="1"/>
      <c r="R5" s="1"/>
      <c r="S5" s="1"/>
      <c r="T5" s="1"/>
      <c r="U5" s="1"/>
      <c r="V5" s="1"/>
      <c r="W5" s="1"/>
      <c r="X5" s="1"/>
    </row>
    <row r="6" spans="1:24" ht="13.75" customHeight="1" thickBot="1" x14ac:dyDescent="0.25">
      <c r="A6" s="1"/>
      <c r="B6" s="1"/>
      <c r="C6" s="24" t="s">
        <v>62</v>
      </c>
      <c r="D6" s="24" t="s">
        <v>63</v>
      </c>
      <c r="E6" s="25" t="s">
        <v>62</v>
      </c>
      <c r="F6" s="20"/>
      <c r="G6" s="28" t="s">
        <v>77</v>
      </c>
      <c r="H6" s="20"/>
      <c r="I6" s="24" t="s">
        <v>63</v>
      </c>
      <c r="J6" s="25" t="s">
        <v>62</v>
      </c>
      <c r="K6" s="20"/>
      <c r="L6" s="28" t="s">
        <v>64</v>
      </c>
      <c r="M6" s="20"/>
      <c r="N6" s="24" t="s">
        <v>62</v>
      </c>
      <c r="O6" s="21" t="s">
        <v>65</v>
      </c>
      <c r="P6" s="1"/>
      <c r="Q6" s="1"/>
      <c r="R6" s="1"/>
      <c r="S6" s="1"/>
      <c r="T6" s="1"/>
      <c r="U6" s="1"/>
      <c r="V6" s="1"/>
      <c r="W6" s="1"/>
      <c r="X6" s="1"/>
    </row>
    <row r="7" spans="1:24" x14ac:dyDescent="0.2">
      <c r="A7" s="1"/>
      <c r="B7" s="29" t="s">
        <v>66</v>
      </c>
      <c r="C7" s="39"/>
      <c r="D7" s="39"/>
      <c r="E7" s="39"/>
      <c r="F7" s="14"/>
      <c r="G7" s="39"/>
      <c r="H7" s="14"/>
      <c r="I7" s="39"/>
      <c r="J7" s="39"/>
      <c r="K7" s="14"/>
      <c r="L7" s="39"/>
      <c r="M7" s="14"/>
      <c r="N7" s="39"/>
      <c r="O7" s="42"/>
      <c r="P7" s="1"/>
      <c r="Q7" s="1"/>
      <c r="R7" s="1"/>
      <c r="S7" s="1"/>
      <c r="T7" s="1"/>
      <c r="U7" s="1"/>
      <c r="V7" s="1"/>
      <c r="W7" s="1"/>
      <c r="X7" s="1"/>
    </row>
    <row r="8" spans="1:24" x14ac:dyDescent="0.2">
      <c r="A8" s="1"/>
      <c r="B8" s="30" t="s">
        <v>8</v>
      </c>
      <c r="C8" s="11">
        <f>DetailedCapTable!G4</f>
        <v>3600000</v>
      </c>
      <c r="D8" s="1"/>
      <c r="E8" s="1"/>
      <c r="F8" s="1"/>
      <c r="G8" s="1"/>
      <c r="H8" s="1"/>
      <c r="I8" s="1"/>
      <c r="J8" s="1"/>
      <c r="K8" s="1"/>
      <c r="L8" s="1"/>
      <c r="M8" s="1"/>
      <c r="N8" s="12">
        <f>C8</f>
        <v>3600000</v>
      </c>
      <c r="O8" s="43">
        <f ca="1">N8/$N$21</f>
        <v>0.18702018607573415</v>
      </c>
      <c r="P8" s="1"/>
      <c r="Q8" s="1"/>
      <c r="R8" s="1"/>
      <c r="S8" s="1"/>
      <c r="T8" s="1"/>
      <c r="U8" s="1"/>
      <c r="V8" s="1"/>
      <c r="W8" s="1"/>
      <c r="X8" s="1"/>
    </row>
    <row r="9" spans="1:24" x14ac:dyDescent="0.2">
      <c r="A9" s="1"/>
      <c r="B9" s="30" t="s">
        <v>9</v>
      </c>
      <c r="C9" s="11">
        <f>DetailedCapTable!G5</f>
        <v>3600000</v>
      </c>
      <c r="D9" s="1"/>
      <c r="E9" s="1"/>
      <c r="F9" s="1"/>
      <c r="G9" s="1"/>
      <c r="H9" s="1"/>
      <c r="I9" s="1"/>
      <c r="J9" s="1"/>
      <c r="K9" s="1"/>
      <c r="L9" s="1"/>
      <c r="M9" s="1"/>
      <c r="N9" s="12">
        <f>C9</f>
        <v>3600000</v>
      </c>
      <c r="O9" s="43">
        <f ca="1">N9/$N$21</f>
        <v>0.18702018607573415</v>
      </c>
      <c r="P9" s="1"/>
      <c r="Q9" s="1"/>
      <c r="R9" s="1"/>
      <c r="S9" s="1"/>
      <c r="T9" s="1"/>
      <c r="U9" s="1"/>
      <c r="V9" s="1"/>
      <c r="W9" s="1"/>
      <c r="X9" s="1"/>
    </row>
    <row r="10" spans="1:24" x14ac:dyDescent="0.2">
      <c r="A10" s="1"/>
      <c r="B10" s="30" t="s">
        <v>78</v>
      </c>
      <c r="C10" s="11">
        <f>SUM(DetailedCapTable!G6:'DetailedCapTable'!G20)</f>
        <v>2475158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2">
        <f>C10</f>
        <v>2475158</v>
      </c>
      <c r="O10" s="43">
        <f ca="1">N10/$N$21</f>
        <v>0.12858458603523387</v>
      </c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2">
      <c r="A11" s="1"/>
      <c r="B11" s="30" t="s">
        <v>79</v>
      </c>
      <c r="C11" s="1"/>
      <c r="D11" s="1"/>
      <c r="E11" s="1"/>
      <c r="F11" s="1"/>
      <c r="G11" s="11">
        <f>DetailedCapTable!G21</f>
        <v>65105</v>
      </c>
      <c r="H11" s="1"/>
      <c r="I11" s="1"/>
      <c r="J11" s="1"/>
      <c r="K11" s="1"/>
      <c r="L11" s="12">
        <f ca="1">ROUND(0.1*N21-G11,0)</f>
        <v>1859821</v>
      </c>
      <c r="M11" s="1"/>
      <c r="N11" s="12">
        <f ca="1">G11+L11</f>
        <v>1924926</v>
      </c>
      <c r="O11" s="43">
        <f ca="1">N11/$N$21</f>
        <v>0.10000000519500517</v>
      </c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2">
      <c r="A12" s="1"/>
      <c r="B12" s="31" t="s">
        <v>67</v>
      </c>
      <c r="C12" s="46">
        <f>SUM(C8:C11)</f>
        <v>9675158</v>
      </c>
      <c r="D12" s="1"/>
      <c r="E12" s="1"/>
      <c r="F12" s="1"/>
      <c r="G12" s="46">
        <f>G11</f>
        <v>65105</v>
      </c>
      <c r="H12" s="1"/>
      <c r="I12" s="1"/>
      <c r="J12" s="1"/>
      <c r="K12" s="1"/>
      <c r="L12" s="46">
        <f ca="1">L11</f>
        <v>1859821</v>
      </c>
      <c r="M12" s="1"/>
      <c r="N12" s="12">
        <f ca="1">SUM(N8:N11)</f>
        <v>11600084</v>
      </c>
      <c r="O12" s="43">
        <f ca="1">N12/$N$21</f>
        <v>0.60262496338170735</v>
      </c>
      <c r="P12" s="1"/>
      <c r="Q12" s="1"/>
      <c r="R12" s="1"/>
      <c r="S12" s="1"/>
      <c r="T12" s="1"/>
      <c r="U12" s="1"/>
      <c r="V12" s="1"/>
      <c r="W12" s="1"/>
      <c r="X12" s="1"/>
    </row>
    <row r="13" spans="1:24" ht="13.5" customHeight="1" x14ac:dyDescent="0.2">
      <c r="A13" s="1"/>
      <c r="B13" s="31" t="s">
        <v>68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44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2">
      <c r="A14" s="1"/>
      <c r="B14" s="30" t="s">
        <v>42</v>
      </c>
      <c r="C14" s="1"/>
      <c r="D14" s="35">
        <v>8000000</v>
      </c>
      <c r="E14" s="11">
        <f ca="1">IFERROR(ROUND(D14/E23,0),0)</f>
        <v>2309911</v>
      </c>
      <c r="F14" s="1"/>
      <c r="G14" s="1"/>
      <c r="H14" s="1"/>
      <c r="I14" s="35">
        <v>5000000</v>
      </c>
      <c r="J14" s="12">
        <f ca="1">IFERROR(ROUND(I14/J23,0),0)</f>
        <v>1203079</v>
      </c>
      <c r="K14" s="1"/>
      <c r="L14" s="1"/>
      <c r="M14" s="1"/>
      <c r="N14" s="12">
        <f ca="1">E14+J14</f>
        <v>3512990</v>
      </c>
      <c r="O14" s="43">
        <f ca="1">N14/$N$21</f>
        <v>0.18250001207838701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2">
      <c r="A15" s="1"/>
      <c r="B15" s="30" t="s">
        <v>69</v>
      </c>
      <c r="C15" s="1"/>
      <c r="D15" s="35">
        <v>250000</v>
      </c>
      <c r="E15" s="12">
        <f ca="1">IFERROR(ROUND(D15/E23,0),0)</f>
        <v>72185</v>
      </c>
      <c r="F15" s="1"/>
      <c r="G15" s="1"/>
      <c r="H15" s="1"/>
      <c r="I15" s="1"/>
      <c r="J15" s="1"/>
      <c r="K15" s="1"/>
      <c r="L15" s="1"/>
      <c r="M15" s="1"/>
      <c r="N15" s="12">
        <f ca="1">E15+J15</f>
        <v>72185</v>
      </c>
      <c r="O15" s="43">
        <f ca="1">N15/$N$21</f>
        <v>3.7500144810769078E-3</v>
      </c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2">
      <c r="A16" s="1"/>
      <c r="B16" s="30" t="s">
        <v>34</v>
      </c>
      <c r="C16" s="1"/>
      <c r="D16" s="35">
        <v>300000</v>
      </c>
      <c r="E16" s="12">
        <f ca="1">IFERROR(ROUND(D16/E23,0),0)</f>
        <v>86622</v>
      </c>
      <c r="F16" s="1"/>
      <c r="G16" s="1"/>
      <c r="H16" s="1"/>
      <c r="I16" s="1"/>
      <c r="J16" s="1"/>
      <c r="K16" s="1"/>
      <c r="L16" s="1"/>
      <c r="M16" s="1"/>
      <c r="N16" s="12">
        <f ca="1">E16+J16</f>
        <v>86622</v>
      </c>
      <c r="O16" s="43">
        <f ca="1">N16/$N$21</f>
        <v>4.5000173772922897E-3</v>
      </c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2">
      <c r="A17" s="1"/>
      <c r="B17" s="30" t="s">
        <v>80</v>
      </c>
      <c r="C17" s="1"/>
      <c r="D17" s="35">
        <v>1275000</v>
      </c>
      <c r="E17" s="12">
        <f ca="1">IFERROR(ROUND(D17/E23,0),0)</f>
        <v>368142</v>
      </c>
      <c r="F17" s="1"/>
      <c r="G17" s="1"/>
      <c r="H17" s="1"/>
      <c r="I17" s="1"/>
      <c r="J17" s="1"/>
      <c r="K17" s="1"/>
      <c r="L17" s="1"/>
      <c r="M17" s="1"/>
      <c r="N17" s="12">
        <f ca="1">E17+J17</f>
        <v>368142</v>
      </c>
      <c r="O17" s="43">
        <f ca="1">N17/$N$21</f>
        <v>1.9124995928414698E-2</v>
      </c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2">
      <c r="A18" s="1"/>
      <c r="B18" s="30" t="s">
        <v>87</v>
      </c>
      <c r="C18" s="1"/>
      <c r="D18" s="1"/>
      <c r="E18" s="1"/>
      <c r="F18" s="1"/>
      <c r="G18" s="1"/>
      <c r="H18" s="1"/>
      <c r="I18" s="35">
        <v>12000000</v>
      </c>
      <c r="J18" s="12">
        <f ca="1">IFERROR(ROUND(I18/J23,0),0)</f>
        <v>2887389</v>
      </c>
      <c r="K18" s="1"/>
      <c r="L18" s="1"/>
      <c r="M18" s="1"/>
      <c r="N18" s="12">
        <f ca="1">E18+J18</f>
        <v>2887389</v>
      </c>
      <c r="O18" s="43">
        <f ca="1">N18/$N$21</f>
        <v>0.15000000779250774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2">
      <c r="A19" s="1"/>
      <c r="B19" s="30" t="s">
        <v>81</v>
      </c>
      <c r="C19" s="1"/>
      <c r="D19" s="1"/>
      <c r="E19" s="1"/>
      <c r="F19" s="1"/>
      <c r="G19" s="1"/>
      <c r="H19" s="1"/>
      <c r="I19" s="35">
        <v>3000000</v>
      </c>
      <c r="J19" s="12">
        <f ca="1">IFERROR(ROUND(I19/J23,0),0)</f>
        <v>721847</v>
      </c>
      <c r="K19" s="1"/>
      <c r="L19" s="1"/>
      <c r="M19" s="1"/>
      <c r="N19" s="12">
        <f ca="1">E19+J19</f>
        <v>721847</v>
      </c>
      <c r="O19" s="43">
        <f ca="1">N19/$N$21</f>
        <v>3.7499988960614017E-2</v>
      </c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2">
      <c r="A20" s="1"/>
      <c r="B20" s="9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44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2">
      <c r="A21" s="1"/>
      <c r="B21" s="31" t="s">
        <v>70</v>
      </c>
      <c r="C21" s="46">
        <f>C12</f>
        <v>9675158</v>
      </c>
      <c r="D21" s="48">
        <f>SUM(D14:D19)</f>
        <v>9825000</v>
      </c>
      <c r="E21" s="47">
        <f ca="1">SUM(E14:E19)</f>
        <v>2836860</v>
      </c>
      <c r="F21" s="1"/>
      <c r="G21" s="12">
        <f>G11</f>
        <v>65105</v>
      </c>
      <c r="H21" s="1"/>
      <c r="I21" s="48">
        <f>SUM(I14:I19)</f>
        <v>20000000</v>
      </c>
      <c r="J21" s="47">
        <f ca="1">SUM(J14:J19)</f>
        <v>4812315</v>
      </c>
      <c r="K21" s="1"/>
      <c r="L21" s="12">
        <f ca="1">L11</f>
        <v>1859821</v>
      </c>
      <c r="M21" s="1"/>
      <c r="N21" s="47">
        <f ca="1">C12+G11+E21+L11+J21</f>
        <v>19249259</v>
      </c>
      <c r="O21" s="49">
        <f ca="1">N21/$N$21</f>
        <v>1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 ht="13.75" customHeight="1" x14ac:dyDescent="0.2">
      <c r="A22" s="1"/>
      <c r="B22" s="9"/>
      <c r="C22" s="13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44"/>
      <c r="P22" s="1"/>
      <c r="Q22" s="1"/>
      <c r="R22" s="1"/>
      <c r="S22" s="1"/>
      <c r="T22" s="1"/>
      <c r="U22" s="1"/>
      <c r="V22" s="1"/>
      <c r="W22" s="1"/>
      <c r="X22" s="1"/>
    </row>
    <row r="23" spans="1:24" ht="13.75" customHeight="1" x14ac:dyDescent="0.2">
      <c r="A23" s="1"/>
      <c r="B23" s="9" t="s">
        <v>71</v>
      </c>
      <c r="C23" s="1"/>
      <c r="D23" s="1"/>
      <c r="E23" s="36">
        <f ca="1">IFERROR(50000000/(C12+G11+L11+E21),0)</f>
        <v>3.4633368391537709</v>
      </c>
      <c r="F23" s="1"/>
      <c r="G23" s="1"/>
      <c r="H23" s="1"/>
      <c r="I23" s="1"/>
      <c r="J23" s="36">
        <f ca="1">IFERROR(J24/(C12+G11+L11+E21),0)</f>
        <v>4.1560042069845249</v>
      </c>
      <c r="K23" s="1"/>
      <c r="L23" s="1"/>
      <c r="M23" s="1"/>
      <c r="N23" s="1"/>
      <c r="O23" s="44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2">
      <c r="A24" s="1"/>
      <c r="B24" s="9" t="s">
        <v>72</v>
      </c>
      <c r="C24" s="1"/>
      <c r="D24" s="1"/>
      <c r="E24" s="35">
        <v>50000000</v>
      </c>
      <c r="F24" s="1"/>
      <c r="G24" s="1"/>
      <c r="H24" s="1"/>
      <c r="I24" s="1"/>
      <c r="J24" s="35">
        <v>60000000</v>
      </c>
      <c r="K24" s="1"/>
      <c r="L24" s="1"/>
      <c r="M24" s="1"/>
      <c r="N24" s="1"/>
      <c r="O24" s="44"/>
      <c r="P24" s="1"/>
      <c r="Q24" s="1"/>
      <c r="R24" s="1"/>
      <c r="S24" s="1"/>
      <c r="T24" s="1"/>
      <c r="U24" s="1"/>
      <c r="V24" s="1"/>
      <c r="W24" s="1"/>
      <c r="X24" s="1"/>
    </row>
    <row r="25" spans="1:24" ht="13.75" customHeight="1" thickBot="1" x14ac:dyDescent="0.25">
      <c r="A25" s="1"/>
      <c r="B25" s="10" t="s">
        <v>73</v>
      </c>
      <c r="C25" s="8"/>
      <c r="D25" s="8"/>
      <c r="E25" s="38">
        <f>E24</f>
        <v>50000000</v>
      </c>
      <c r="F25" s="8"/>
      <c r="G25" s="8"/>
      <c r="H25" s="8"/>
      <c r="I25" s="8"/>
      <c r="J25" s="38">
        <f>J24+I21</f>
        <v>80000000</v>
      </c>
      <c r="K25" s="8"/>
      <c r="L25" s="8"/>
      <c r="M25" s="8"/>
      <c r="N25" s="8"/>
      <c r="O25" s="45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2">
      <c r="A27" s="1"/>
      <c r="B27" s="19" t="s">
        <v>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2">
      <c r="A29" s="1"/>
      <c r="B29" s="1" t="s">
        <v>76</v>
      </c>
      <c r="C29" s="2">
        <f>J24/E24-1</f>
        <v>0.19999999999999996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2">
      <c r="A30" s="1"/>
      <c r="B30" s="1" t="s">
        <v>75</v>
      </c>
      <c r="C30" s="37">
        <f>'SAFE Investments'!C27</f>
        <v>9825000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2">
      <c r="A31" s="1"/>
      <c r="B31" s="1" t="s">
        <v>85</v>
      </c>
      <c r="C31" s="2">
        <f>I21/J25</f>
        <v>0.25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2">
      <c r="A32" s="1"/>
      <c r="B32" s="1" t="s">
        <v>82</v>
      </c>
      <c r="C32" s="3">
        <f>0.1</f>
        <v>0.1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__temp__</vt:lpstr>
      <vt:lpstr>DetailedCapTable</vt:lpstr>
      <vt:lpstr>SAFE Investments</vt:lpstr>
      <vt:lpstr>Series 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2026-04-15T14:31:17Z</dcterms:modified>
</cp:coreProperties>
</file>