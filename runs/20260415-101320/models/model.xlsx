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var/folders/pk/d3fxz1r57v334zbrzvw1g9pw0000gn/T/"/>
    </mc:Choice>
  </mc:AlternateContent>
  <xr:revisionPtr revIDLastSave="0" documentId="8_{E314BFD2-3A77-024B-A638-F10A7771FE1F}" xr6:coauthVersionLast="47" xr6:coauthVersionMax="47" xr10:uidLastSave="{00000000-0000-0000-0000-000000000000}"/>
  <bookViews>
    <workbookView xWindow="0" yWindow="760" windowWidth="29400" windowHeight="17180" activeTab="2" xr2:uid="{00000000-000D-0000-FFFF-FFFF00000000}"/>
  </bookViews>
  <sheets>
    <sheet name="Sheet8" sheetId="158" r:id="rId1"/>
    <sheet name="DetailedCapTable" sheetId="159" r:id="rId2"/>
    <sheet name="SAFE Investments" sheetId="160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60" l="1"/>
  <c r="G23" i="159"/>
  <c r="H15" i="159" s="1"/>
  <c r="F23" i="159"/>
  <c r="E23" i="159"/>
  <c r="D23" i="159"/>
  <c r="C23" i="159"/>
  <c r="H21" i="159"/>
  <c r="H20" i="159"/>
  <c r="H19" i="159"/>
  <c r="H18" i="159"/>
  <c r="H17" i="159"/>
  <c r="H16" i="159"/>
  <c r="H14" i="159"/>
  <c r="H13" i="159"/>
  <c r="H12" i="159"/>
  <c r="H11" i="159"/>
  <c r="H10" i="159"/>
  <c r="H9" i="159"/>
  <c r="H8" i="159"/>
  <c r="H7" i="159"/>
  <c r="H6" i="159"/>
  <c r="H5" i="159"/>
  <c r="H4" i="159"/>
  <c r="G21" i="159"/>
  <c r="G20" i="159"/>
  <c r="G19" i="159"/>
  <c r="G18" i="159"/>
  <c r="G17" i="159"/>
  <c r="G16" i="159"/>
  <c r="G15" i="159"/>
  <c r="G14" i="159"/>
  <c r="G13" i="159"/>
  <c r="G12" i="159"/>
  <c r="G11" i="159"/>
  <c r="G10" i="159"/>
  <c r="G9" i="159"/>
  <c r="G8" i="159"/>
  <c r="G7" i="159"/>
  <c r="G6" i="159"/>
  <c r="G5" i="159"/>
  <c r="G4" i="159"/>
</calcChain>
</file>

<file path=xl/sharedStrings.xml><?xml version="1.0" encoding="utf-8"?>
<sst xmlns="http://schemas.openxmlformats.org/spreadsheetml/2006/main" count="64" uniqueCount="53">
  <si>
    <t>Total</t>
  </si>
  <si>
    <t>Current</t>
  </si>
  <si>
    <t>Shareholder</t>
  </si>
  <si>
    <t>Founders CS</t>
  </si>
  <si>
    <t>RSA</t>
  </si>
  <si>
    <t>Options</t>
  </si>
  <si>
    <t>Exercised Options</t>
  </si>
  <si>
    <t>% FDS</t>
  </si>
  <si>
    <t>Brian Hazzard</t>
  </si>
  <si>
    <t>David Wolpoff</t>
  </si>
  <si>
    <t>Ian Lee</t>
  </si>
  <si>
    <t>Kyle Haugsness</t>
  </si>
  <si>
    <t>Paul Riegle</t>
  </si>
  <si>
    <t>Chris Butts</t>
  </si>
  <si>
    <t>Maurice Granfield</t>
  </si>
  <si>
    <t>Pawan Lakshmanan</t>
  </si>
  <si>
    <t>Matthew Howe</t>
  </si>
  <si>
    <t>Andrew Ethan  Boyce-Lewis</t>
  </si>
  <si>
    <t>Eric McIntyre</t>
  </si>
  <si>
    <t>Patrick Heath</t>
  </si>
  <si>
    <t>Chris Lord</t>
  </si>
  <si>
    <t>Eric Freedman</t>
  </si>
  <si>
    <t>Miguel Bollar</t>
  </si>
  <si>
    <t>Bradly Matheson</t>
  </si>
  <si>
    <t>Cole  Proctor</t>
  </si>
  <si>
    <t>Available Options</t>
  </si>
  <si>
    <t>SAFE</t>
  </si>
  <si>
    <t>Notes</t>
  </si>
  <si>
    <t>IRA is actual investor</t>
  </si>
  <si>
    <t>Accomplice Founder Fund, L.P.</t>
  </si>
  <si>
    <t>Accomplice Fund IV, L.P</t>
  </si>
  <si>
    <t>Amir Bagherzadeh</t>
  </si>
  <si>
    <t>Elizabeth A. Donaghey Irrevocable Trust 2016</t>
  </si>
  <si>
    <t>Gunderson Partners</t>
  </si>
  <si>
    <t>Joe Arcadi</t>
  </si>
  <si>
    <t>Kamal Ravikant Capital, LP - E4</t>
  </si>
  <si>
    <t>Navel</t>
  </si>
  <si>
    <t>Maria Cirino</t>
  </si>
  <si>
    <t>Mike Viscuso</t>
  </si>
  <si>
    <t>Mozart Holdings, LLC</t>
  </si>
  <si>
    <t>Orcinus Generational Irrevocable Trust - 2024</t>
  </si>
  <si>
    <t>Owl Rock Capital III, LLC</t>
  </si>
  <si>
    <t>Accomplice</t>
  </si>
  <si>
    <t>Ralph Folz</t>
  </si>
  <si>
    <t>Ravikant Capital, LP - F3</t>
  </si>
  <si>
    <t>Sean Leach</t>
  </si>
  <si>
    <t>The Francis V. Castellucci Trust - 2020</t>
  </si>
  <si>
    <t>The Patrick M. Morley 1999 Trust,</t>
  </si>
  <si>
    <t>Tom Barsi</t>
  </si>
  <si>
    <t>Travis MacInnes</t>
  </si>
  <si>
    <t>UWS West End Family Trust</t>
  </si>
  <si>
    <t>Mark Lotke</t>
  </si>
  <si>
    <t>Transfer from Owl Rocl Capital II, LLC (Accomplice)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</si>
</sst>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10" fontId="18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3" fontId="20" fillId="0" borderId="0" xfId="0" applyNumberFormat="1" applyFont="1" applyAlignment="1">
      <alignment horizontal="center"/>
    </xf>
    <xf numFmtId="10" fontId="20" fillId="0" borderId="0" xfId="0" applyNumberFormat="1" applyFont="1" applyAlignment="1">
      <alignment horizontal="center"/>
    </xf>
    <xf numFmtId="164" fontId="20" fillId="0" borderId="0" xfId="0" applyNumberFormat="1" applyFont="1" applyAlignment="1">
      <alignment horizontal="center"/>
    </xf>
    <xf numFmtId="3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164" fontId="19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" visibility="1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1b2c3d4-e5f6-7890-abcd-ef1234567890}">
  <we:reference id="a1b2c3d4-e5f6-7890-abcd-ef1234567890" version="1.0.0.0" store="developer" storeType="Registry"/>
  <we:alternateReferences/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90A2C-7BA7-D046-8FE5-49D3C6DA540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8A03E-2E3E-F542-BEFB-BEBECDE4B362}">
  <dimension ref="A1:O23"/>
  <sheetViews>
    <sheetView workbookViewId="0"/>
  </sheetViews>
  <sheetFormatPr baseColWidth="10" defaultRowHeight="16" x14ac:dyDescent="0.2"/>
  <cols>
    <col min="1" max="1" width="11.5" customWidth="1"/>
    <col min="2" max="2" width="32.83203125" customWidth="1"/>
    <col min="3" max="3" width="15.5" customWidth="1"/>
    <col min="4" max="4" width="9.5" customWidth="1"/>
    <col min="5" max="5" width="13.5" customWidth="1"/>
    <col min="6" max="6" width="22.1640625" customWidth="1"/>
    <col min="7" max="7" width="14" customWidth="1"/>
    <col min="8" max="8" width="12" customWidth="1"/>
    <col min="9" max="9" width="3.33203125" customWidth="1"/>
    <col min="10" max="10" width="10.6640625" customWidth="1"/>
    <col min="11" max="15" width="10.5" customWidth="1"/>
  </cols>
  <sheetData>
    <row r="1" spans="1:1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">
      <c r="A2" s="1"/>
      <c r="B2" s="1"/>
      <c r="C2" s="1"/>
      <c r="D2" s="1"/>
      <c r="E2" s="1"/>
      <c r="F2" s="1"/>
      <c r="G2" s="1"/>
      <c r="H2" s="5" t="s">
        <v>1</v>
      </c>
      <c r="I2" s="2"/>
      <c r="J2" s="1"/>
      <c r="K2" s="1"/>
      <c r="L2" s="1"/>
      <c r="M2" s="1"/>
      <c r="N2" s="1"/>
      <c r="O2" s="1"/>
    </row>
    <row r="3" spans="1:15" x14ac:dyDescent="0.2">
      <c r="A3" s="1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0</v>
      </c>
      <c r="H3" s="5" t="s">
        <v>7</v>
      </c>
      <c r="I3" s="2"/>
      <c r="J3" s="1"/>
      <c r="K3" s="1"/>
      <c r="L3" s="1"/>
      <c r="M3" s="1"/>
      <c r="N3" s="1"/>
      <c r="O3" s="1"/>
    </row>
    <row r="4" spans="1:15" x14ac:dyDescent="0.2">
      <c r="A4" s="1"/>
      <c r="B4" s="4" t="s">
        <v>8</v>
      </c>
      <c r="C4" s="6">
        <v>3600000</v>
      </c>
      <c r="D4" s="9"/>
      <c r="E4" s="9"/>
      <c r="F4" s="9"/>
      <c r="G4" s="6">
        <f>SUM(C4:F4)</f>
        <v>3600000</v>
      </c>
      <c r="H4" s="7">
        <f>G4/$G$23</f>
        <v>0.36959987630724139</v>
      </c>
      <c r="I4" s="3"/>
      <c r="J4" s="1"/>
      <c r="K4" s="1"/>
      <c r="L4" s="1"/>
      <c r="M4" s="1"/>
      <c r="N4" s="1"/>
      <c r="O4" s="1"/>
    </row>
    <row r="5" spans="1:15" x14ac:dyDescent="0.2">
      <c r="A5" s="1"/>
      <c r="B5" s="4" t="s">
        <v>9</v>
      </c>
      <c r="C5" s="6">
        <v>3600000</v>
      </c>
      <c r="D5" s="9"/>
      <c r="E5" s="9"/>
      <c r="F5" s="9"/>
      <c r="G5" s="6">
        <f>SUM(C5:F5)</f>
        <v>3600000</v>
      </c>
      <c r="H5" s="7">
        <f>G5/$G$23</f>
        <v>0.36959987630724139</v>
      </c>
      <c r="I5" s="3"/>
      <c r="J5" s="1"/>
      <c r="K5" s="1"/>
      <c r="L5" s="1"/>
      <c r="M5" s="1"/>
      <c r="N5" s="1"/>
      <c r="O5" s="1"/>
    </row>
    <row r="6" spans="1:15" x14ac:dyDescent="0.2">
      <c r="A6" s="1"/>
      <c r="B6" s="4" t="s">
        <v>10</v>
      </c>
      <c r="C6" s="6">
        <v>222187</v>
      </c>
      <c r="D6" s="9"/>
      <c r="E6" s="9"/>
      <c r="F6" s="9"/>
      <c r="G6" s="6">
        <f>SUM(C6:F6)</f>
        <v>222187</v>
      </c>
      <c r="H6" s="7">
        <f>G6/$G$23</f>
        <v>2.28111910325214E-2</v>
      </c>
      <c r="I6" s="3"/>
      <c r="J6" s="1"/>
      <c r="K6" s="1"/>
      <c r="L6" s="1"/>
      <c r="M6" s="1"/>
      <c r="N6" s="1"/>
      <c r="O6" s="1"/>
    </row>
    <row r="7" spans="1:15" x14ac:dyDescent="0.2">
      <c r="A7" s="1"/>
      <c r="B7" s="4" t="s">
        <v>11</v>
      </c>
      <c r="C7" s="6">
        <v>592500</v>
      </c>
      <c r="D7" s="9"/>
      <c r="E7" s="9"/>
      <c r="F7" s="9"/>
      <c r="G7" s="6">
        <f>SUM(C7:F7)</f>
        <v>592500</v>
      </c>
      <c r="H7" s="7">
        <f>G7/$G$23</f>
        <v>6.0829979642233481E-2</v>
      </c>
      <c r="I7" s="3"/>
      <c r="J7" s="1"/>
      <c r="K7" s="1"/>
      <c r="L7" s="1"/>
      <c r="M7" s="1"/>
      <c r="N7" s="1"/>
      <c r="O7" s="1"/>
    </row>
    <row r="8" spans="1:15" x14ac:dyDescent="0.2">
      <c r="A8" s="1"/>
      <c r="B8" s="4" t="s">
        <v>12</v>
      </c>
      <c r="C8" s="6">
        <v>592500</v>
      </c>
      <c r="D8" s="9"/>
      <c r="E8" s="9"/>
      <c r="F8" s="9"/>
      <c r="G8" s="6">
        <f>SUM(C8:F8)</f>
        <v>592500</v>
      </c>
      <c r="H8" s="7">
        <f>G8/$G$23</f>
        <v>6.0829979642233481E-2</v>
      </c>
      <c r="I8" s="3"/>
      <c r="J8" s="1"/>
      <c r="K8" s="1"/>
      <c r="L8" s="1"/>
      <c r="M8" s="1"/>
      <c r="N8" s="1"/>
      <c r="O8" s="1"/>
    </row>
    <row r="9" spans="1:15" x14ac:dyDescent="0.2">
      <c r="A9" s="1"/>
      <c r="B9" s="4" t="s">
        <v>13</v>
      </c>
      <c r="C9" s="6">
        <v>13500</v>
      </c>
      <c r="D9" s="6">
        <v>98900</v>
      </c>
      <c r="E9" s="9"/>
      <c r="F9" s="9"/>
      <c r="G9" s="6">
        <f>SUM(C9:F9)</f>
        <v>112400</v>
      </c>
      <c r="H9" s="7">
        <f>G9/$G$23</f>
        <v>1.1539729471370537E-2</v>
      </c>
      <c r="I9" s="3"/>
      <c r="J9" s="1"/>
      <c r="K9" s="1"/>
      <c r="L9" s="1"/>
      <c r="M9" s="1"/>
      <c r="N9" s="1"/>
      <c r="O9" s="1"/>
    </row>
    <row r="10" spans="1:15" x14ac:dyDescent="0.2">
      <c r="A10" s="1"/>
      <c r="B10" s="4" t="s">
        <v>14</v>
      </c>
      <c r="C10" s="6">
        <v>9000</v>
      </c>
      <c r="D10" s="9"/>
      <c r="E10" s="9"/>
      <c r="F10" s="9"/>
      <c r="G10" s="6">
        <f>SUM(C10:F10)</f>
        <v>9000</v>
      </c>
      <c r="H10" s="7">
        <f>G10/$G$23</f>
        <v>9.2399969076810353E-4</v>
      </c>
      <c r="I10" s="3"/>
      <c r="J10" s="1"/>
      <c r="K10" s="1"/>
      <c r="L10" s="1"/>
      <c r="M10" s="1"/>
      <c r="N10" s="1"/>
      <c r="O10" s="1"/>
    </row>
    <row r="11" spans="1:15" x14ac:dyDescent="0.2">
      <c r="A11" s="1"/>
      <c r="B11" s="4" t="s">
        <v>15</v>
      </c>
      <c r="C11" s="9"/>
      <c r="D11" s="6">
        <v>95000</v>
      </c>
      <c r="E11" s="9"/>
      <c r="F11" s="9"/>
      <c r="G11" s="6">
        <f>SUM(C11:F11)</f>
        <v>95000</v>
      </c>
      <c r="H11" s="7">
        <f>G11/$G$23</f>
        <v>9.7533300692188695E-3</v>
      </c>
      <c r="I11" s="3"/>
      <c r="J11" s="1"/>
      <c r="K11" s="1"/>
      <c r="L11" s="1"/>
      <c r="M11" s="1"/>
      <c r="N11" s="1"/>
      <c r="O11" s="1"/>
    </row>
    <row r="12" spans="1:15" x14ac:dyDescent="0.2">
      <c r="A12" s="1"/>
      <c r="B12" s="4" t="s">
        <v>16</v>
      </c>
      <c r="C12" s="9"/>
      <c r="D12" s="9"/>
      <c r="E12" s="6">
        <v>25000</v>
      </c>
      <c r="F12" s="9"/>
      <c r="G12" s="6">
        <f>SUM(C12:F12)</f>
        <v>25000</v>
      </c>
      <c r="H12" s="7">
        <f>G12/$G$23</f>
        <v>2.5666658076891765E-3</v>
      </c>
      <c r="I12" s="3"/>
      <c r="J12" s="1"/>
      <c r="K12" s="1"/>
      <c r="L12" s="1"/>
      <c r="M12" s="1"/>
      <c r="N12" s="1"/>
      <c r="O12" s="1"/>
    </row>
    <row r="13" spans="1:15" x14ac:dyDescent="0.2">
      <c r="A13" s="1"/>
      <c r="B13" s="4" t="s">
        <v>17</v>
      </c>
      <c r="C13" s="9"/>
      <c r="D13" s="9"/>
      <c r="E13" s="6">
        <v>41562</v>
      </c>
      <c r="F13" s="9"/>
      <c r="G13" s="6">
        <f>SUM(C13:F13)</f>
        <v>41562</v>
      </c>
      <c r="H13" s="7">
        <f>G13/$G$23</f>
        <v>4.2670305719671019E-3</v>
      </c>
      <c r="I13" s="3"/>
      <c r="J13" s="1"/>
      <c r="K13" s="1"/>
      <c r="L13" s="1"/>
      <c r="M13" s="1"/>
      <c r="N13" s="1"/>
      <c r="O13" s="1"/>
    </row>
    <row r="14" spans="1:15" x14ac:dyDescent="0.2">
      <c r="A14" s="1"/>
      <c r="B14" s="4" t="s">
        <v>18</v>
      </c>
      <c r="C14" s="9"/>
      <c r="D14" s="6">
        <v>285000</v>
      </c>
      <c r="E14" s="9"/>
      <c r="F14" s="9"/>
      <c r="G14" s="6">
        <f>SUM(C14:F14)</f>
        <v>285000</v>
      </c>
      <c r="H14" s="7">
        <f>G14/$G$23</f>
        <v>2.925999020765661E-2</v>
      </c>
      <c r="I14" s="3"/>
      <c r="J14" s="1"/>
      <c r="K14" s="1"/>
      <c r="L14" s="1"/>
      <c r="M14" s="1"/>
      <c r="N14" s="1"/>
      <c r="O14" s="1"/>
    </row>
    <row r="15" spans="1:15" x14ac:dyDescent="0.2">
      <c r="A15" s="1"/>
      <c r="B15" s="4" t="s">
        <v>19</v>
      </c>
      <c r="C15" s="9"/>
      <c r="D15" s="6">
        <v>50000</v>
      </c>
      <c r="E15" s="9"/>
      <c r="F15" s="9"/>
      <c r="G15" s="6">
        <f>SUM(C15:F15)</f>
        <v>50000</v>
      </c>
      <c r="H15" s="7">
        <f>G15/$G$23</f>
        <v>5.133331615378353E-3</v>
      </c>
      <c r="I15" s="3"/>
      <c r="J15" s="1"/>
      <c r="K15" s="1"/>
      <c r="L15" s="1"/>
      <c r="M15" s="1"/>
      <c r="N15" s="1"/>
      <c r="O15" s="1"/>
    </row>
    <row r="16" spans="1:15" x14ac:dyDescent="0.2">
      <c r="A16" s="1"/>
      <c r="B16" s="4" t="s">
        <v>20</v>
      </c>
      <c r="C16" s="9"/>
      <c r="D16" s="6">
        <v>285000</v>
      </c>
      <c r="E16" s="9"/>
      <c r="F16" s="9"/>
      <c r="G16" s="6">
        <f>SUM(C16:F16)</f>
        <v>285000</v>
      </c>
      <c r="H16" s="7">
        <f>G16/$G$23</f>
        <v>2.925999020765661E-2</v>
      </c>
      <c r="I16" s="3"/>
      <c r="J16" s="1"/>
      <c r="K16" s="1"/>
      <c r="L16" s="1"/>
      <c r="M16" s="1"/>
      <c r="N16" s="1"/>
      <c r="O16" s="1"/>
    </row>
    <row r="17" spans="1:15" x14ac:dyDescent="0.2">
      <c r="A17" s="1"/>
      <c r="B17" s="4" t="s">
        <v>21</v>
      </c>
      <c r="C17" s="9"/>
      <c r="D17" s="9"/>
      <c r="E17" s="6">
        <v>96186</v>
      </c>
      <c r="F17" s="9"/>
      <c r="G17" s="6">
        <f>SUM(C17:F17)</f>
        <v>96186</v>
      </c>
      <c r="H17" s="7">
        <f>G17/$G$23</f>
        <v>9.8750926951356455E-3</v>
      </c>
      <c r="I17" s="3"/>
      <c r="J17" s="1"/>
      <c r="K17" s="1"/>
      <c r="L17" s="1"/>
      <c r="M17" s="1"/>
      <c r="N17" s="1"/>
      <c r="O17" s="1"/>
    </row>
    <row r="18" spans="1:15" x14ac:dyDescent="0.2">
      <c r="A18" s="1"/>
      <c r="B18" s="4" t="s">
        <v>22</v>
      </c>
      <c r="C18" s="9"/>
      <c r="D18" s="9"/>
      <c r="E18" s="6">
        <v>48095</v>
      </c>
      <c r="F18" s="9"/>
      <c r="G18" s="6">
        <f>SUM(C18:F18)</f>
        <v>48095</v>
      </c>
      <c r="H18" s="7">
        <f>G18/$G$23</f>
        <v>4.9377516808324371E-3</v>
      </c>
      <c r="I18" s="3"/>
      <c r="J18" s="1"/>
      <c r="K18" s="1"/>
      <c r="L18" s="1"/>
      <c r="M18" s="1"/>
      <c r="N18" s="1"/>
      <c r="O18" s="1"/>
    </row>
    <row r="19" spans="1:15" x14ac:dyDescent="0.2">
      <c r="A19" s="1"/>
      <c r="B19" s="4" t="s">
        <v>23</v>
      </c>
      <c r="C19" s="9"/>
      <c r="D19" s="9"/>
      <c r="E19" s="9"/>
      <c r="F19" s="6">
        <v>12395</v>
      </c>
      <c r="G19" s="6">
        <f>SUM(C19:F19)</f>
        <v>12395</v>
      </c>
      <c r="H19" s="7">
        <f>G19/$G$23</f>
        <v>1.2725529074522936E-3</v>
      </c>
      <c r="I19" s="3"/>
      <c r="J19" s="1"/>
      <c r="K19" s="1"/>
      <c r="L19" s="1"/>
      <c r="M19" s="1"/>
      <c r="N19" s="1"/>
      <c r="O19" s="1"/>
    </row>
    <row r="20" spans="1:15" x14ac:dyDescent="0.2">
      <c r="A20" s="1"/>
      <c r="B20" s="4" t="s">
        <v>24</v>
      </c>
      <c r="C20" s="9"/>
      <c r="D20" s="9"/>
      <c r="E20" s="9"/>
      <c r="F20" s="6">
        <v>8333</v>
      </c>
      <c r="G20" s="6">
        <f>SUM(C20:F20)</f>
        <v>8333</v>
      </c>
      <c r="H20" s="7">
        <f>G20/$G$23</f>
        <v>8.5552104701895626E-4</v>
      </c>
      <c r="I20" s="3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4" t="s">
        <v>25</v>
      </c>
      <c r="C21" s="9"/>
      <c r="D21" s="6">
        <v>65105</v>
      </c>
      <c r="E21" s="9"/>
      <c r="F21" s="9"/>
      <c r="G21" s="6">
        <f>SUM(C21:F21)</f>
        <v>65105</v>
      </c>
      <c r="H21" s="7">
        <f>G21/$G$23</f>
        <v>6.6841110963841528E-3</v>
      </c>
      <c r="I21" s="3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9"/>
      <c r="H22" s="3"/>
      <c r="I22" s="3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5" t="s">
        <v>0</v>
      </c>
      <c r="C23" s="6">
        <f>SUM(C4:C21)</f>
        <v>8629687</v>
      </c>
      <c r="D23" s="6">
        <f>SUM(D4:D21)</f>
        <v>879005</v>
      </c>
      <c r="E23" s="6">
        <f>SUM(E4:E21)</f>
        <v>210843</v>
      </c>
      <c r="F23" s="6">
        <f>SUM(F4:F21)</f>
        <v>20728</v>
      </c>
      <c r="G23" s="6">
        <f>SUM(G4:G21)</f>
        <v>9740263</v>
      </c>
      <c r="H23" s="9"/>
      <c r="I23" s="9"/>
      <c r="J23" s="1"/>
      <c r="K23" s="1"/>
      <c r="L23" s="1"/>
      <c r="M23" s="1"/>
      <c r="N23" s="1"/>
      <c r="O2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21B65-D0CA-9648-BFCA-A42B2C9E2D11}">
  <dimension ref="A1:K27"/>
  <sheetViews>
    <sheetView tabSelected="1" workbookViewId="0"/>
  </sheetViews>
  <sheetFormatPr baseColWidth="10" defaultRowHeight="16" x14ac:dyDescent="0.2"/>
  <cols>
    <col min="1" max="1" width="11.5" customWidth="1"/>
    <col min="2" max="2" width="51.5" customWidth="1"/>
    <col min="3" max="3" width="12.33203125" customWidth="1"/>
    <col min="4" max="4" width="3.33203125" customWidth="1"/>
    <col min="5" max="5" width="60.1640625" customWidth="1"/>
    <col min="6" max="6" width="10.6640625" customWidth="1"/>
    <col min="7" max="11" width="10.5" customWidth="1"/>
  </cols>
  <sheetData>
    <row r="1" spans="1:11" x14ac:dyDescent="0.2">
      <c r="A1" s="1"/>
      <c r="B1" s="1"/>
      <c r="C1" s="10"/>
      <c r="D1" s="1"/>
      <c r="E1" s="1"/>
      <c r="F1" s="1"/>
      <c r="G1" s="1"/>
      <c r="H1" s="1"/>
      <c r="I1" s="1"/>
      <c r="J1" s="1"/>
      <c r="K1" s="1"/>
    </row>
    <row r="2" spans="1:11" x14ac:dyDescent="0.2">
      <c r="A2" s="1"/>
      <c r="B2" s="1"/>
      <c r="C2" s="11"/>
      <c r="D2" s="1"/>
      <c r="E2" s="1"/>
      <c r="F2" s="1"/>
      <c r="G2" s="1"/>
      <c r="H2" s="1"/>
      <c r="I2" s="1"/>
      <c r="J2" s="1"/>
      <c r="K2" s="1"/>
    </row>
    <row r="3" spans="1:11" x14ac:dyDescent="0.2">
      <c r="A3" s="1"/>
      <c r="B3" s="5" t="s">
        <v>2</v>
      </c>
      <c r="C3" s="11" t="s">
        <v>26</v>
      </c>
      <c r="D3" s="1"/>
      <c r="E3" s="5" t="s">
        <v>27</v>
      </c>
      <c r="F3" s="1"/>
      <c r="G3" s="1"/>
      <c r="H3" s="1"/>
      <c r="I3" s="1"/>
      <c r="J3" s="1"/>
      <c r="K3" s="1"/>
    </row>
    <row r="4" spans="1:11" x14ac:dyDescent="0.2">
      <c r="A4" s="1"/>
      <c r="B4" s="4" t="s">
        <v>13</v>
      </c>
      <c r="C4" s="8">
        <v>25000</v>
      </c>
      <c r="D4" s="1"/>
      <c r="E4" s="4" t="s">
        <v>28</v>
      </c>
      <c r="F4" s="1"/>
      <c r="G4" s="1"/>
      <c r="H4" s="1"/>
      <c r="I4" s="1"/>
      <c r="J4" s="1"/>
      <c r="K4" s="1"/>
    </row>
    <row r="5" spans="1:11" x14ac:dyDescent="0.2">
      <c r="A5" s="1"/>
      <c r="B5" s="4" t="s">
        <v>14</v>
      </c>
      <c r="C5" s="8">
        <v>25000</v>
      </c>
      <c r="D5" s="1"/>
      <c r="F5" s="1"/>
      <c r="G5" s="1"/>
      <c r="H5" s="1"/>
      <c r="I5" s="1"/>
      <c r="J5" s="1"/>
      <c r="K5" s="1"/>
    </row>
    <row r="6" spans="1:11" ht="15.75" customHeight="1" x14ac:dyDescent="0.2">
      <c r="A6" s="1"/>
      <c r="B6" s="4" t="s">
        <v>29</v>
      </c>
      <c r="C6" s="8">
        <v>137170.75</v>
      </c>
      <c r="D6" s="1"/>
      <c r="F6" s="1"/>
      <c r="G6" s="1"/>
      <c r="H6" s="1"/>
      <c r="I6" s="1"/>
      <c r="J6" s="1"/>
      <c r="K6" s="1"/>
    </row>
    <row r="7" spans="1:11" ht="15.75" customHeight="1" x14ac:dyDescent="0.2">
      <c r="A7" s="1"/>
      <c r="B7" s="4" t="s">
        <v>30</v>
      </c>
      <c r="C7" s="8">
        <v>3846829.25</v>
      </c>
      <c r="D7" s="1"/>
      <c r="F7" s="1"/>
      <c r="G7" s="1"/>
      <c r="H7" s="1"/>
      <c r="I7" s="1"/>
      <c r="J7" s="1"/>
      <c r="K7" s="1"/>
    </row>
    <row r="8" spans="1:11" ht="15.75" customHeight="1" x14ac:dyDescent="0.2">
      <c r="A8" s="1"/>
      <c r="B8" s="4" t="s">
        <v>31</v>
      </c>
      <c r="C8" s="8">
        <v>16566</v>
      </c>
      <c r="D8" s="1"/>
      <c r="E8" s="4" t="s">
        <v>52</v>
      </c>
      <c r="F8" s="1"/>
      <c r="G8" s="1"/>
      <c r="H8" s="1"/>
      <c r="I8" s="1"/>
      <c r="J8" s="1"/>
      <c r="K8" s="1"/>
    </row>
    <row r="9" spans="1:11" ht="15.75" customHeight="1" x14ac:dyDescent="0.2">
      <c r="A9" s="1"/>
      <c r="B9" s="4" t="s">
        <v>32</v>
      </c>
      <c r="C9" s="8">
        <v>250000</v>
      </c>
      <c r="D9" s="1"/>
      <c r="F9" s="1"/>
      <c r="G9" s="1"/>
      <c r="H9" s="1"/>
      <c r="I9" s="1"/>
      <c r="J9" s="1"/>
      <c r="K9" s="1"/>
    </row>
    <row r="10" spans="1:11" ht="15.75" customHeight="1" x14ac:dyDescent="0.2">
      <c r="A10" s="1"/>
      <c r="B10" s="4" t="s">
        <v>33</v>
      </c>
      <c r="C10" s="8">
        <v>100000</v>
      </c>
      <c r="D10" s="1"/>
      <c r="F10" s="1"/>
      <c r="G10" s="1"/>
      <c r="H10" s="1"/>
      <c r="I10" s="1"/>
      <c r="J10" s="1"/>
      <c r="K10" s="1"/>
    </row>
    <row r="11" spans="1:11" ht="15.75" customHeight="1" x14ac:dyDescent="0.2">
      <c r="A11" s="1"/>
      <c r="B11" s="4" t="s">
        <v>34</v>
      </c>
      <c r="C11" s="8">
        <v>300000</v>
      </c>
      <c r="D11" s="1"/>
      <c r="E11" s="4" t="s">
        <v>28</v>
      </c>
      <c r="F11" s="1"/>
      <c r="G11" s="1"/>
      <c r="H11" s="1"/>
      <c r="I11" s="1"/>
      <c r="J11" s="1"/>
      <c r="K11" s="1"/>
    </row>
    <row r="12" spans="1:11" ht="15.75" customHeight="1" x14ac:dyDescent="0.2">
      <c r="A12" s="1"/>
      <c r="B12" s="4" t="s">
        <v>35</v>
      </c>
      <c r="C12" s="8">
        <v>37500</v>
      </c>
      <c r="D12" s="1"/>
      <c r="E12" s="4" t="s">
        <v>36</v>
      </c>
      <c r="F12" s="1"/>
      <c r="G12" s="1"/>
      <c r="H12" s="1"/>
      <c r="I12" s="1"/>
      <c r="J12" s="1"/>
      <c r="K12" s="1"/>
    </row>
    <row r="13" spans="1:11" ht="15.75" customHeight="1" x14ac:dyDescent="0.2">
      <c r="A13" s="1"/>
      <c r="B13" s="4" t="s">
        <v>37</v>
      </c>
      <c r="C13" s="8">
        <v>250000</v>
      </c>
      <c r="D13" s="1"/>
      <c r="F13" s="1"/>
      <c r="G13" s="1"/>
      <c r="H13" s="1"/>
      <c r="I13" s="1"/>
      <c r="J13" s="1"/>
      <c r="K13" s="1"/>
    </row>
    <row r="14" spans="1:11" ht="15.75" customHeight="1" x14ac:dyDescent="0.2">
      <c r="A14" s="1"/>
      <c r="B14" s="4" t="s">
        <v>38</v>
      </c>
      <c r="C14" s="8">
        <v>100000</v>
      </c>
      <c r="D14" s="1"/>
      <c r="F14" s="1"/>
      <c r="G14" s="1"/>
      <c r="H14" s="1"/>
      <c r="I14" s="1"/>
      <c r="J14" s="1"/>
      <c r="K14" s="1"/>
    </row>
    <row r="15" spans="1:11" ht="15.75" customHeight="1" x14ac:dyDescent="0.2">
      <c r="A15" s="1"/>
      <c r="B15" s="4" t="s">
        <v>39</v>
      </c>
      <c r="C15" s="8">
        <v>41164</v>
      </c>
      <c r="D15" s="1"/>
      <c r="E15" s="4" t="s">
        <v>52</v>
      </c>
      <c r="F15" s="1"/>
      <c r="G15" s="1"/>
      <c r="H15" s="1"/>
      <c r="I15" s="1"/>
      <c r="J15" s="1"/>
      <c r="K15" s="1"/>
    </row>
    <row r="16" spans="1:11" ht="15.75" customHeight="1" x14ac:dyDescent="0.2">
      <c r="A16" s="1"/>
      <c r="B16" s="4" t="s">
        <v>40</v>
      </c>
      <c r="C16" s="8">
        <v>2328778</v>
      </c>
      <c r="D16" s="1"/>
      <c r="E16" s="4" t="s">
        <v>52</v>
      </c>
      <c r="F16" s="1"/>
      <c r="G16" s="1"/>
      <c r="H16" s="1"/>
      <c r="I16" s="1"/>
      <c r="J16" s="1"/>
      <c r="K16" s="1"/>
    </row>
    <row r="17" spans="1:11" ht="15.75" customHeight="1" x14ac:dyDescent="0.2">
      <c r="A17" s="1"/>
      <c r="B17" s="4" t="s">
        <v>41</v>
      </c>
      <c r="C17" s="8">
        <v>1506000</v>
      </c>
      <c r="D17" s="1"/>
      <c r="E17" s="4" t="s">
        <v>42</v>
      </c>
      <c r="F17" s="1"/>
      <c r="G17" s="1"/>
      <c r="H17" s="1"/>
      <c r="I17" s="1"/>
      <c r="J17" s="1"/>
      <c r="K17" s="1"/>
    </row>
    <row r="18" spans="1:11" ht="15.75" customHeight="1" x14ac:dyDescent="0.2">
      <c r="A18" s="1"/>
      <c r="B18" s="4" t="s">
        <v>43</v>
      </c>
      <c r="C18" s="8">
        <v>50000</v>
      </c>
      <c r="D18" s="1"/>
      <c r="F18" s="1"/>
      <c r="G18" s="1"/>
      <c r="H18" s="1"/>
      <c r="I18" s="1"/>
      <c r="J18" s="1"/>
      <c r="K18" s="1"/>
    </row>
    <row r="19" spans="1:11" ht="15.75" customHeight="1" x14ac:dyDescent="0.2">
      <c r="A19" s="1"/>
      <c r="B19" s="4" t="s">
        <v>44</v>
      </c>
      <c r="C19" s="8">
        <v>212500</v>
      </c>
      <c r="D19" s="1"/>
      <c r="E19" s="4" t="s">
        <v>36</v>
      </c>
      <c r="F19" s="1"/>
      <c r="G19" s="1"/>
      <c r="H19" s="1"/>
      <c r="I19" s="1"/>
      <c r="J19" s="1"/>
      <c r="K19" s="1"/>
    </row>
    <row r="20" spans="1:11" ht="15.75" customHeight="1" x14ac:dyDescent="0.2">
      <c r="A20" s="1"/>
      <c r="B20" s="4" t="s">
        <v>45</v>
      </c>
      <c r="C20" s="8">
        <v>25000</v>
      </c>
      <c r="D20" s="1"/>
      <c r="F20" s="1"/>
      <c r="G20" s="1"/>
      <c r="H20" s="1"/>
      <c r="I20" s="1"/>
      <c r="J20" s="1"/>
      <c r="K20" s="1"/>
    </row>
    <row r="21" spans="1:11" ht="15.75" customHeight="1" x14ac:dyDescent="0.2">
      <c r="A21" s="1"/>
      <c r="B21" s="4" t="s">
        <v>46</v>
      </c>
      <c r="C21" s="8">
        <v>61746</v>
      </c>
      <c r="D21" s="1"/>
      <c r="E21" s="4" t="s">
        <v>52</v>
      </c>
      <c r="F21" s="1"/>
      <c r="G21" s="1"/>
      <c r="H21" s="1"/>
      <c r="I21" s="1"/>
      <c r="J21" s="1"/>
      <c r="K21" s="1"/>
    </row>
    <row r="22" spans="1:11" ht="15.75" customHeight="1" x14ac:dyDescent="0.2">
      <c r="A22" s="1"/>
      <c r="B22" s="4" t="s">
        <v>47</v>
      </c>
      <c r="C22" s="8">
        <v>100000</v>
      </c>
      <c r="D22" s="1"/>
      <c r="F22" s="1"/>
      <c r="G22" s="1"/>
      <c r="H22" s="1"/>
      <c r="I22" s="1"/>
      <c r="J22" s="1"/>
      <c r="K22" s="1"/>
    </row>
    <row r="23" spans="1:11" ht="15.75" customHeight="1" x14ac:dyDescent="0.2">
      <c r="A23" s="1"/>
      <c r="B23" s="4" t="s">
        <v>48</v>
      </c>
      <c r="C23" s="8">
        <v>100000</v>
      </c>
      <c r="D23" s="1"/>
      <c r="F23" s="1"/>
      <c r="G23" s="1"/>
      <c r="H23" s="1"/>
      <c r="I23" s="1"/>
      <c r="J23" s="1"/>
      <c r="K23" s="1"/>
    </row>
    <row r="24" spans="1:11" ht="15.75" customHeight="1" x14ac:dyDescent="0.2">
      <c r="A24" s="1"/>
      <c r="B24" s="4" t="s">
        <v>49</v>
      </c>
      <c r="C24" s="8">
        <v>61746</v>
      </c>
      <c r="D24" s="1"/>
      <c r="E24" s="4" t="s">
        <v>52</v>
      </c>
      <c r="F24" s="1"/>
      <c r="G24" s="1"/>
      <c r="H24" s="1"/>
      <c r="I24" s="1"/>
      <c r="J24" s="1"/>
      <c r="K24" s="1"/>
    </row>
    <row r="25" spans="1:11" ht="15.75" customHeight="1" x14ac:dyDescent="0.2">
      <c r="A25" s="1"/>
      <c r="B25" s="4" t="s">
        <v>50</v>
      </c>
      <c r="C25" s="8">
        <v>250000</v>
      </c>
      <c r="D25" s="1"/>
      <c r="E25" s="4" t="s">
        <v>51</v>
      </c>
      <c r="F25" s="1"/>
      <c r="G25" s="1"/>
      <c r="H25" s="1"/>
      <c r="I25" s="1"/>
      <c r="J25" s="1"/>
      <c r="K25" s="1"/>
    </row>
    <row r="26" spans="1:11" ht="15.75" customHeight="1" x14ac:dyDescent="0.2">
      <c r="A26" s="1"/>
      <c r="B26" s="1"/>
      <c r="C26" s="10"/>
      <c r="D26" s="1"/>
      <c r="F26" s="1"/>
      <c r="G26" s="1"/>
      <c r="H26" s="1"/>
      <c r="I26" s="1"/>
      <c r="J26" s="1"/>
      <c r="K26" s="1"/>
    </row>
    <row r="27" spans="1:11" ht="15.75" customHeight="1" x14ac:dyDescent="0.2">
      <c r="A27" s="1"/>
      <c r="B27" s="4" t="s">
        <v>0</v>
      </c>
      <c r="C27" s="8">
        <f>SUM(C4:C25)</f>
        <v>9825000</v>
      </c>
      <c r="D27" s="1"/>
      <c r="F27" s="1"/>
      <c r="G27" s="1"/>
      <c r="H27" s="1"/>
      <c r="I27" s="1"/>
      <c r="J27" s="1"/>
      <c r="K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Sheet8</vt:lpstr>
      <vt:lpstr>DetailedCapTable</vt:lpstr>
      <vt:lpstr>SAFE Investments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Sidarth Subramanian</cp:lastModifiedBy>
  <dcterms:modified xsi:type="dcterms:W3CDTF">2026-04-15T15:07:41Z</dcterms:modified>
</cp:coreProperties>
</file>