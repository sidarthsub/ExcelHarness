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5C033F13-9BEC-7D45-90A9-C61C018C1633}" xr6:coauthVersionLast="47" xr6:coauthVersionMax="47" xr10:uidLastSave="{00000000-0000-0000-0000-000000000000}"/>
  <bookViews>
    <workbookView xWindow="0" yWindow="760" windowWidth="29400" windowHeight="17180" activeTab="7" xr2:uid="{00000000-000D-0000-FFFF-FFFF00000000}"/>
  </bookViews>
  <sheets>
    <sheet name="__temp__" sheetId="119" r:id="rId1"/>
    <sheet name="Detailed Cap Table" sheetId="120" r:id="rId2"/>
    <sheet name="SAFE Investments" sheetId="122" r:id="rId3"/>
    <sheet name="PreA" sheetId="123" r:id="rId4"/>
    <sheet name="Series A" sheetId="124" r:id="rId5"/>
    <sheet name="Series B" sheetId="125" r:id="rId6"/>
    <sheet name="Post A Returns" sheetId="126" r:id="rId7"/>
    <sheet name="Post B Returns" sheetId="127" r:id="rId8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5" i="127" l="1"/>
  <c r="P83" i="127"/>
  <c r="O83" i="127"/>
  <c r="N83" i="127"/>
  <c r="M83" i="127"/>
  <c r="L83" i="127"/>
  <c r="K83" i="127"/>
  <c r="J83" i="127"/>
  <c r="I83" i="127"/>
  <c r="P25" i="127"/>
  <c r="O25" i="127"/>
  <c r="N25" i="127"/>
  <c r="M25" i="127"/>
  <c r="L25" i="127"/>
  <c r="K25" i="127"/>
  <c r="J25" i="127"/>
  <c r="I25" i="127"/>
  <c r="P19" i="127"/>
  <c r="O19" i="127"/>
  <c r="N19" i="127"/>
  <c r="M19" i="127"/>
  <c r="L19" i="127"/>
  <c r="K19" i="127"/>
  <c r="J19" i="127"/>
  <c r="I19" i="127"/>
  <c r="G19" i="127"/>
  <c r="F19" i="127"/>
  <c r="P12" i="127"/>
  <c r="O12" i="127"/>
  <c r="N12" i="127"/>
  <c r="M12" i="127"/>
  <c r="L12" i="127"/>
  <c r="K12" i="127"/>
  <c r="J12" i="127"/>
  <c r="I12" i="127"/>
  <c r="P11" i="127"/>
  <c r="O11" i="127"/>
  <c r="N11" i="127"/>
  <c r="M11" i="127"/>
  <c r="L11" i="127"/>
  <c r="K11" i="127"/>
  <c r="J11" i="127"/>
  <c r="I11" i="127"/>
  <c r="P4" i="127"/>
  <c r="O4" i="127"/>
  <c r="N4" i="127"/>
  <c r="M4" i="127"/>
  <c r="L4" i="127"/>
  <c r="K4" i="127"/>
  <c r="J4" i="127"/>
  <c r="I4" i="127"/>
  <c r="D74" i="126"/>
  <c r="P73" i="126"/>
  <c r="O73" i="126"/>
  <c r="N73" i="126"/>
  <c r="M73" i="126"/>
  <c r="L73" i="126"/>
  <c r="K73" i="126"/>
  <c r="J73" i="126"/>
  <c r="I73" i="126"/>
  <c r="P66" i="126"/>
  <c r="O66" i="126"/>
  <c r="N66" i="126"/>
  <c r="M66" i="126"/>
  <c r="L66" i="126"/>
  <c r="K66" i="126"/>
  <c r="J66" i="126"/>
  <c r="I66" i="126"/>
  <c r="B55" i="126"/>
  <c r="B54" i="126"/>
  <c r="B53" i="126"/>
  <c r="B52" i="126"/>
  <c r="P23" i="126"/>
  <c r="O23" i="126"/>
  <c r="N23" i="126"/>
  <c r="M23" i="126"/>
  <c r="L23" i="126"/>
  <c r="K23" i="126"/>
  <c r="J23" i="126"/>
  <c r="I23" i="126"/>
  <c r="P19" i="126"/>
  <c r="O19" i="126"/>
  <c r="N19" i="126"/>
  <c r="M19" i="126"/>
  <c r="L19" i="126"/>
  <c r="K19" i="126"/>
  <c r="J19" i="126"/>
  <c r="I19" i="126"/>
  <c r="G19" i="126"/>
  <c r="F19" i="126"/>
  <c r="P12" i="126"/>
  <c r="O12" i="126"/>
  <c r="N12" i="126"/>
  <c r="M12" i="126"/>
  <c r="L12" i="126"/>
  <c r="K12" i="126"/>
  <c r="J12" i="126"/>
  <c r="I12" i="126"/>
  <c r="P11" i="126"/>
  <c r="O11" i="126"/>
  <c r="N11" i="126"/>
  <c r="M11" i="126"/>
  <c r="L11" i="126"/>
  <c r="K11" i="126"/>
  <c r="J11" i="126"/>
  <c r="I11" i="126"/>
  <c r="P4" i="126"/>
  <c r="O4" i="126"/>
  <c r="N4" i="126"/>
  <c r="M4" i="126"/>
  <c r="L4" i="126"/>
  <c r="K4" i="126"/>
  <c r="J4" i="126"/>
  <c r="I4" i="126"/>
  <c r="N22" i="125"/>
  <c r="N19" i="125" s="1"/>
  <c r="C32" i="125"/>
  <c r="C30" i="125"/>
  <c r="J26" i="125"/>
  <c r="O26" i="125"/>
  <c r="J25" i="125"/>
  <c r="G22" i="125"/>
  <c r="E22" i="125"/>
  <c r="C22" i="125"/>
  <c r="L18" i="125"/>
  <c r="I18" i="125"/>
  <c r="G18" i="125"/>
  <c r="E18" i="125"/>
  <c r="D18" i="125"/>
  <c r="C18" i="125"/>
  <c r="L17" i="125"/>
  <c r="I17" i="125"/>
  <c r="G17" i="125"/>
  <c r="E17" i="125"/>
  <c r="D17" i="125"/>
  <c r="C17" i="125"/>
  <c r="L16" i="125"/>
  <c r="J16" i="125"/>
  <c r="I16" i="125"/>
  <c r="G16" i="125"/>
  <c r="E16" i="125"/>
  <c r="D16" i="125"/>
  <c r="C16" i="125"/>
  <c r="L15" i="125"/>
  <c r="I15" i="125"/>
  <c r="G15" i="125"/>
  <c r="E15" i="125"/>
  <c r="D15" i="125"/>
  <c r="C15" i="125"/>
  <c r="O13" i="125"/>
  <c r="N13" i="125"/>
  <c r="J13" i="125"/>
  <c r="I13" i="125"/>
  <c r="I22" i="125" s="1"/>
  <c r="G13" i="125"/>
  <c r="E13" i="125"/>
  <c r="D13" i="125"/>
  <c r="D22" i="125" s="1"/>
  <c r="C13" i="125"/>
  <c r="S11" i="125"/>
  <c r="S10" i="125"/>
  <c r="S9" i="125"/>
  <c r="S8" i="125"/>
  <c r="J12" i="125"/>
  <c r="G12" i="125"/>
  <c r="E12" i="125"/>
  <c r="C12" i="125"/>
  <c r="L11" i="125"/>
  <c r="J11" i="125"/>
  <c r="G11" i="125"/>
  <c r="E11" i="125"/>
  <c r="C11" i="125"/>
  <c r="L10" i="125"/>
  <c r="J10" i="125"/>
  <c r="G10" i="125"/>
  <c r="E10" i="125"/>
  <c r="C10" i="125"/>
  <c r="L9" i="125"/>
  <c r="J9" i="125"/>
  <c r="G9" i="125"/>
  <c r="E9" i="125"/>
  <c r="C9" i="125"/>
  <c r="L8" i="125"/>
  <c r="J8" i="125"/>
  <c r="G8" i="125"/>
  <c r="E8" i="125"/>
  <c r="C8" i="125"/>
  <c r="G21" i="124"/>
  <c r="E21" i="124"/>
  <c r="D21" i="124"/>
  <c r="C21" i="124"/>
  <c r="C34" i="124"/>
  <c r="C33" i="124"/>
  <c r="C32" i="124"/>
  <c r="C30" i="124"/>
  <c r="C29" i="124"/>
  <c r="J24" i="124"/>
  <c r="E22" i="124"/>
  <c r="E16" i="124" s="1"/>
  <c r="N16" i="124" s="1"/>
  <c r="I18" i="124"/>
  <c r="D16" i="124"/>
  <c r="D15" i="124"/>
  <c r="J13" i="124"/>
  <c r="I13" i="124"/>
  <c r="G13" i="124"/>
  <c r="E13" i="124"/>
  <c r="D13" i="124"/>
  <c r="C13" i="124"/>
  <c r="C12" i="124"/>
  <c r="N11" i="124"/>
  <c r="C11" i="124"/>
  <c r="N10" i="124"/>
  <c r="C10" i="124"/>
  <c r="N9" i="124"/>
  <c r="C9" i="124"/>
  <c r="N8" i="124"/>
  <c r="C8" i="124"/>
  <c r="F18" i="123"/>
  <c r="F17" i="123"/>
  <c r="C23" i="123"/>
  <c r="C13" i="123"/>
  <c r="F13" i="123" s="1"/>
  <c r="F15" i="123" s="1"/>
  <c r="F21" i="123" s="1"/>
  <c r="D21" i="123"/>
  <c r="D18" i="123"/>
  <c r="D17" i="123"/>
  <c r="C15" i="123"/>
  <c r="C21" i="123" s="1"/>
  <c r="F14" i="123"/>
  <c r="C14" i="123"/>
  <c r="F12" i="123"/>
  <c r="C12" i="123"/>
  <c r="F11" i="123"/>
  <c r="C11" i="123"/>
  <c r="F10" i="123"/>
  <c r="C10" i="123"/>
  <c r="C27" i="122"/>
  <c r="C23" i="120"/>
  <c r="D23" i="120"/>
  <c r="E23" i="120"/>
  <c r="F23" i="120"/>
  <c r="G23" i="120"/>
  <c r="H13" i="120" s="1"/>
  <c r="H21" i="120"/>
  <c r="G21" i="120"/>
  <c r="H20" i="120"/>
  <c r="G20" i="120"/>
  <c r="H19" i="120"/>
  <c r="G19" i="120"/>
  <c r="G18" i="120"/>
  <c r="G17" i="120"/>
  <c r="H16" i="120"/>
  <c r="G16" i="120"/>
  <c r="H15" i="120"/>
  <c r="G15" i="120"/>
  <c r="H14" i="120"/>
  <c r="G14" i="120"/>
  <c r="G13" i="120"/>
  <c r="G12" i="120"/>
  <c r="H11" i="120"/>
  <c r="G11" i="120"/>
  <c r="H10" i="120"/>
  <c r="G10" i="120"/>
  <c r="H9" i="120"/>
  <c r="G9" i="120"/>
  <c r="G8" i="120"/>
  <c r="G7" i="120"/>
  <c r="H6" i="120"/>
  <c r="G6" i="120"/>
  <c r="H5" i="120"/>
  <c r="G5" i="120"/>
  <c r="H4" i="120"/>
  <c r="G4" i="120"/>
  <c r="E15" i="124" l="1"/>
  <c r="G18" i="123"/>
  <c r="C25" i="123"/>
  <c r="G14" i="123"/>
  <c r="G17" i="123"/>
  <c r="G12" i="123"/>
  <c r="G11" i="123"/>
  <c r="G10" i="123"/>
  <c r="G21" i="123" s="1"/>
  <c r="G13" i="123"/>
  <c r="H12" i="120"/>
  <c r="H17" i="120"/>
  <c r="H8" i="120"/>
  <c r="H18" i="120"/>
  <c r="H7" i="120"/>
  <c r="G15" i="123" l="1"/>
  <c r="I14" i="126" l="1"/>
  <c r="J14" i="126"/>
  <c r="K14" i="126"/>
  <c r="L14" i="126"/>
  <c r="M14" i="126"/>
  <c r="N14" i="126"/>
  <c r="O14" i="126"/>
  <c r="P14" i="126"/>
  <c r="I16" i="126"/>
  <c r="J16" i="126"/>
  <c r="K16" i="126"/>
  <c r="L16" i="126"/>
  <c r="M16" i="126"/>
  <c r="N16" i="126"/>
  <c r="O16" i="126"/>
  <c r="P16" i="126"/>
  <c r="H19" i="126"/>
  <c r="F20" i="126"/>
  <c r="G20" i="126"/>
  <c r="H20" i="126"/>
  <c r="I20" i="126"/>
  <c r="J20" i="126"/>
  <c r="K20" i="126"/>
  <c r="L20" i="126"/>
  <c r="M20" i="126"/>
  <c r="N20" i="126"/>
  <c r="O20" i="126"/>
  <c r="P20" i="126"/>
  <c r="I24" i="126"/>
  <c r="J24" i="126"/>
  <c r="K24" i="126"/>
  <c r="L24" i="126"/>
  <c r="M24" i="126"/>
  <c r="N24" i="126"/>
  <c r="O24" i="126"/>
  <c r="P24" i="126"/>
  <c r="I25" i="126"/>
  <c r="J25" i="126"/>
  <c r="K25" i="126"/>
  <c r="L25" i="126"/>
  <c r="M25" i="126"/>
  <c r="N25" i="126"/>
  <c r="O25" i="126"/>
  <c r="P25" i="126"/>
  <c r="I26" i="126"/>
  <c r="J26" i="126"/>
  <c r="K26" i="126"/>
  <c r="L26" i="126"/>
  <c r="M26" i="126"/>
  <c r="N26" i="126"/>
  <c r="O26" i="126"/>
  <c r="P26" i="126"/>
  <c r="I28" i="126"/>
  <c r="J28" i="126"/>
  <c r="K28" i="126"/>
  <c r="L28" i="126"/>
  <c r="M28" i="126"/>
  <c r="N28" i="126"/>
  <c r="O28" i="126"/>
  <c r="P28" i="126"/>
  <c r="I29" i="126"/>
  <c r="J29" i="126"/>
  <c r="K29" i="126"/>
  <c r="L29" i="126"/>
  <c r="M29" i="126"/>
  <c r="N29" i="126"/>
  <c r="O29" i="126"/>
  <c r="P29" i="126"/>
  <c r="I30" i="126"/>
  <c r="J30" i="126"/>
  <c r="K30" i="126"/>
  <c r="L30" i="126"/>
  <c r="M30" i="126"/>
  <c r="N30" i="126"/>
  <c r="O30" i="126"/>
  <c r="P30" i="126"/>
  <c r="I31" i="126"/>
  <c r="J31" i="126"/>
  <c r="K31" i="126"/>
  <c r="L31" i="126"/>
  <c r="M31" i="126"/>
  <c r="N31" i="126"/>
  <c r="O31" i="126"/>
  <c r="P31" i="126"/>
  <c r="I33" i="126"/>
  <c r="J33" i="126"/>
  <c r="K33" i="126"/>
  <c r="L33" i="126"/>
  <c r="M33" i="126"/>
  <c r="N33" i="126"/>
  <c r="O33" i="126"/>
  <c r="P33" i="126"/>
  <c r="I36" i="126"/>
  <c r="J36" i="126"/>
  <c r="K36" i="126"/>
  <c r="L36" i="126"/>
  <c r="M36" i="126"/>
  <c r="N36" i="126"/>
  <c r="O36" i="126"/>
  <c r="P36" i="126"/>
  <c r="I37" i="126"/>
  <c r="J37" i="126"/>
  <c r="K37" i="126"/>
  <c r="L37" i="126"/>
  <c r="M37" i="126"/>
  <c r="N37" i="126"/>
  <c r="O37" i="126"/>
  <c r="P37" i="126"/>
  <c r="I40" i="126"/>
  <c r="J40" i="126"/>
  <c r="K40" i="126"/>
  <c r="L40" i="126"/>
  <c r="M40" i="126"/>
  <c r="N40" i="126"/>
  <c r="O40" i="126"/>
  <c r="P40" i="126"/>
  <c r="I41" i="126"/>
  <c r="J41" i="126"/>
  <c r="K41" i="126"/>
  <c r="L41" i="126"/>
  <c r="M41" i="126"/>
  <c r="N41" i="126"/>
  <c r="O41" i="126"/>
  <c r="P41" i="126"/>
  <c r="I42" i="126"/>
  <c r="J42" i="126"/>
  <c r="K42" i="126"/>
  <c r="L42" i="126"/>
  <c r="M42" i="126"/>
  <c r="N42" i="126"/>
  <c r="O42" i="126"/>
  <c r="P42" i="126"/>
  <c r="I45" i="126"/>
  <c r="J45" i="126"/>
  <c r="K45" i="126"/>
  <c r="L45" i="126"/>
  <c r="M45" i="126"/>
  <c r="N45" i="126"/>
  <c r="O45" i="126"/>
  <c r="P45" i="126"/>
  <c r="I46" i="126"/>
  <c r="J46" i="126"/>
  <c r="K46" i="126"/>
  <c r="L46" i="126"/>
  <c r="M46" i="126"/>
  <c r="N46" i="126"/>
  <c r="O46" i="126"/>
  <c r="P46" i="126"/>
  <c r="I47" i="126"/>
  <c r="J47" i="126"/>
  <c r="K47" i="126"/>
  <c r="L47" i="126"/>
  <c r="M47" i="126"/>
  <c r="N47" i="126"/>
  <c r="O47" i="126"/>
  <c r="P47" i="126"/>
  <c r="I49" i="126"/>
  <c r="J49" i="126"/>
  <c r="K49" i="126"/>
  <c r="L49" i="126"/>
  <c r="M49" i="126"/>
  <c r="N49" i="126"/>
  <c r="O49" i="126"/>
  <c r="P49" i="126"/>
  <c r="I52" i="126"/>
  <c r="J52" i="126"/>
  <c r="K52" i="126"/>
  <c r="L52" i="126"/>
  <c r="M52" i="126"/>
  <c r="N52" i="126"/>
  <c r="O52" i="126"/>
  <c r="P52" i="126"/>
  <c r="I53" i="126"/>
  <c r="J53" i="126"/>
  <c r="K53" i="126"/>
  <c r="L53" i="126"/>
  <c r="M53" i="126"/>
  <c r="N53" i="126"/>
  <c r="O53" i="126"/>
  <c r="P53" i="126"/>
  <c r="I54" i="126"/>
  <c r="J54" i="126"/>
  <c r="K54" i="126"/>
  <c r="L54" i="126"/>
  <c r="M54" i="126"/>
  <c r="N54" i="126"/>
  <c r="O54" i="126"/>
  <c r="P54" i="126"/>
  <c r="I55" i="126"/>
  <c r="J55" i="126"/>
  <c r="K55" i="126"/>
  <c r="L55" i="126"/>
  <c r="M55" i="126"/>
  <c r="N55" i="126"/>
  <c r="O55" i="126"/>
  <c r="P55" i="126"/>
  <c r="I56" i="126"/>
  <c r="J56" i="126"/>
  <c r="K56" i="126"/>
  <c r="L56" i="126"/>
  <c r="M56" i="126"/>
  <c r="N56" i="126"/>
  <c r="O56" i="126"/>
  <c r="P56" i="126"/>
  <c r="I57" i="126"/>
  <c r="J57" i="126"/>
  <c r="K57" i="126"/>
  <c r="L57" i="126"/>
  <c r="M57" i="126"/>
  <c r="N57" i="126"/>
  <c r="O57" i="126"/>
  <c r="P57" i="126"/>
  <c r="I58" i="126"/>
  <c r="J58" i="126"/>
  <c r="K58" i="126"/>
  <c r="L58" i="126"/>
  <c r="M58" i="126"/>
  <c r="N58" i="126"/>
  <c r="O58" i="126"/>
  <c r="P58" i="126"/>
  <c r="I59" i="126"/>
  <c r="J59" i="126"/>
  <c r="K59" i="126"/>
  <c r="L59" i="126"/>
  <c r="M59" i="126"/>
  <c r="N59" i="126"/>
  <c r="O59" i="126"/>
  <c r="P59" i="126"/>
  <c r="I61" i="126"/>
  <c r="J61" i="126"/>
  <c r="K61" i="126"/>
  <c r="L61" i="126"/>
  <c r="M61" i="126"/>
  <c r="N61" i="126"/>
  <c r="O61" i="126"/>
  <c r="P61" i="126"/>
  <c r="I65" i="126"/>
  <c r="J65" i="126"/>
  <c r="K65" i="126"/>
  <c r="L65" i="126"/>
  <c r="M65" i="126"/>
  <c r="N65" i="126"/>
  <c r="O65" i="126"/>
  <c r="P65" i="126"/>
  <c r="I67" i="126"/>
  <c r="J67" i="126"/>
  <c r="K67" i="126"/>
  <c r="L67" i="126"/>
  <c r="M67" i="126"/>
  <c r="N67" i="126"/>
  <c r="O67" i="126"/>
  <c r="P67" i="126"/>
  <c r="I68" i="126"/>
  <c r="J68" i="126"/>
  <c r="K68" i="126"/>
  <c r="L68" i="126"/>
  <c r="M68" i="126"/>
  <c r="N68" i="126"/>
  <c r="O68" i="126"/>
  <c r="P68" i="126"/>
  <c r="I69" i="126"/>
  <c r="J69" i="126"/>
  <c r="K69" i="126"/>
  <c r="L69" i="126"/>
  <c r="M69" i="126"/>
  <c r="N69" i="126"/>
  <c r="O69" i="126"/>
  <c r="P69" i="126"/>
  <c r="I71" i="126"/>
  <c r="J71" i="126"/>
  <c r="K71" i="126"/>
  <c r="L71" i="126"/>
  <c r="M71" i="126"/>
  <c r="N71" i="126"/>
  <c r="O71" i="126"/>
  <c r="P71" i="126"/>
  <c r="I74" i="126"/>
  <c r="J74" i="126"/>
  <c r="K74" i="126"/>
  <c r="L74" i="126"/>
  <c r="M74" i="126"/>
  <c r="N74" i="126"/>
  <c r="O74" i="126"/>
  <c r="P74" i="126"/>
  <c r="I14" i="127"/>
  <c r="J14" i="127"/>
  <c r="K14" i="127"/>
  <c r="L14" i="127"/>
  <c r="M14" i="127"/>
  <c r="N14" i="127"/>
  <c r="O14" i="127"/>
  <c r="P14" i="127"/>
  <c r="I16" i="127"/>
  <c r="J16" i="127"/>
  <c r="K16" i="127"/>
  <c r="L16" i="127"/>
  <c r="M16" i="127"/>
  <c r="N16" i="127"/>
  <c r="O16" i="127"/>
  <c r="P16" i="127"/>
  <c r="H19" i="127"/>
  <c r="F20" i="127"/>
  <c r="G20" i="127"/>
  <c r="H20" i="127"/>
  <c r="I20" i="127"/>
  <c r="J20" i="127"/>
  <c r="K20" i="127"/>
  <c r="L20" i="127"/>
  <c r="M20" i="127"/>
  <c r="N20" i="127"/>
  <c r="O20" i="127"/>
  <c r="P20" i="127"/>
  <c r="F21" i="127"/>
  <c r="G21" i="127"/>
  <c r="H21" i="127"/>
  <c r="I21" i="127"/>
  <c r="J21" i="127"/>
  <c r="K21" i="127"/>
  <c r="L21" i="127"/>
  <c r="M21" i="127"/>
  <c r="N21" i="127"/>
  <c r="O21" i="127"/>
  <c r="P21" i="127"/>
  <c r="I26" i="127"/>
  <c r="J26" i="127"/>
  <c r="K26" i="127"/>
  <c r="L26" i="127"/>
  <c r="M26" i="127"/>
  <c r="N26" i="127"/>
  <c r="O26" i="127"/>
  <c r="P26" i="127"/>
  <c r="I27" i="127"/>
  <c r="J27" i="127"/>
  <c r="K27" i="127"/>
  <c r="L27" i="127"/>
  <c r="M27" i="127"/>
  <c r="N27" i="127"/>
  <c r="O27" i="127"/>
  <c r="P27" i="127"/>
  <c r="I28" i="127"/>
  <c r="J28" i="127"/>
  <c r="K28" i="127"/>
  <c r="L28" i="127"/>
  <c r="M28" i="127"/>
  <c r="N28" i="127"/>
  <c r="O28" i="127"/>
  <c r="P28" i="127"/>
  <c r="I30" i="127"/>
  <c r="J30" i="127"/>
  <c r="K30" i="127"/>
  <c r="L30" i="127"/>
  <c r="M30" i="127"/>
  <c r="N30" i="127"/>
  <c r="O30" i="127"/>
  <c r="P30" i="127"/>
  <c r="I31" i="127"/>
  <c r="J31" i="127"/>
  <c r="K31" i="127"/>
  <c r="L31" i="127"/>
  <c r="M31" i="127"/>
  <c r="N31" i="127"/>
  <c r="O31" i="127"/>
  <c r="P31" i="127"/>
  <c r="I32" i="127"/>
  <c r="J32" i="127"/>
  <c r="K32" i="127"/>
  <c r="L32" i="127"/>
  <c r="M32" i="127"/>
  <c r="N32" i="127"/>
  <c r="O32" i="127"/>
  <c r="P32" i="127"/>
  <c r="I33" i="127"/>
  <c r="J33" i="127"/>
  <c r="K33" i="127"/>
  <c r="L33" i="127"/>
  <c r="M33" i="127"/>
  <c r="N33" i="127"/>
  <c r="O33" i="127"/>
  <c r="P33" i="127"/>
  <c r="I35" i="127"/>
  <c r="J35" i="127"/>
  <c r="K35" i="127"/>
  <c r="L35" i="127"/>
  <c r="M35" i="127"/>
  <c r="N35" i="127"/>
  <c r="O35" i="127"/>
  <c r="P35" i="127"/>
  <c r="I36" i="127"/>
  <c r="J36" i="127"/>
  <c r="K36" i="127"/>
  <c r="L36" i="127"/>
  <c r="M36" i="127"/>
  <c r="N36" i="127"/>
  <c r="O36" i="127"/>
  <c r="P36" i="127"/>
  <c r="I37" i="127"/>
  <c r="J37" i="127"/>
  <c r="K37" i="127"/>
  <c r="L37" i="127"/>
  <c r="M37" i="127"/>
  <c r="N37" i="127"/>
  <c r="O37" i="127"/>
  <c r="P37" i="127"/>
  <c r="I38" i="127"/>
  <c r="J38" i="127"/>
  <c r="K38" i="127"/>
  <c r="L38" i="127"/>
  <c r="M38" i="127"/>
  <c r="N38" i="127"/>
  <c r="O38" i="127"/>
  <c r="P38" i="127"/>
  <c r="I40" i="127"/>
  <c r="J40" i="127"/>
  <c r="K40" i="127"/>
  <c r="L40" i="127"/>
  <c r="M40" i="127"/>
  <c r="N40" i="127"/>
  <c r="O40" i="127"/>
  <c r="P40" i="127"/>
  <c r="I43" i="127"/>
  <c r="J43" i="127"/>
  <c r="K43" i="127"/>
  <c r="L43" i="127"/>
  <c r="M43" i="127"/>
  <c r="N43" i="127"/>
  <c r="O43" i="127"/>
  <c r="P43" i="127"/>
  <c r="I44" i="127"/>
  <c r="J44" i="127"/>
  <c r="K44" i="127"/>
  <c r="L44" i="127"/>
  <c r="M44" i="127"/>
  <c r="N44" i="127"/>
  <c r="O44" i="127"/>
  <c r="P44" i="127"/>
  <c r="I47" i="127"/>
  <c r="J47" i="127"/>
  <c r="K47" i="127"/>
  <c r="L47" i="127"/>
  <c r="M47" i="127"/>
  <c r="N47" i="127"/>
  <c r="O47" i="127"/>
  <c r="P47" i="127"/>
  <c r="I48" i="127"/>
  <c r="J48" i="127"/>
  <c r="K48" i="127"/>
  <c r="L48" i="127"/>
  <c r="M48" i="127"/>
  <c r="N48" i="127"/>
  <c r="O48" i="127"/>
  <c r="P48" i="127"/>
  <c r="I49" i="127"/>
  <c r="J49" i="127"/>
  <c r="K49" i="127"/>
  <c r="L49" i="127"/>
  <c r="M49" i="127"/>
  <c r="N49" i="127"/>
  <c r="O49" i="127"/>
  <c r="P49" i="127"/>
  <c r="I50" i="127"/>
  <c r="J50" i="127"/>
  <c r="K50" i="127"/>
  <c r="L50" i="127"/>
  <c r="M50" i="127"/>
  <c r="N50" i="127"/>
  <c r="O50" i="127"/>
  <c r="P50" i="127"/>
  <c r="I53" i="127"/>
  <c r="J53" i="127"/>
  <c r="K53" i="127"/>
  <c r="L53" i="127"/>
  <c r="M53" i="127"/>
  <c r="N53" i="127"/>
  <c r="O53" i="127"/>
  <c r="P53" i="127"/>
  <c r="I54" i="127"/>
  <c r="J54" i="127"/>
  <c r="K54" i="127"/>
  <c r="L54" i="127"/>
  <c r="M54" i="127"/>
  <c r="N54" i="127"/>
  <c r="O54" i="127"/>
  <c r="P54" i="127"/>
  <c r="I55" i="127"/>
  <c r="J55" i="127"/>
  <c r="K55" i="127"/>
  <c r="L55" i="127"/>
  <c r="M55" i="127"/>
  <c r="N55" i="127"/>
  <c r="O55" i="127"/>
  <c r="P55" i="127"/>
  <c r="I56" i="127"/>
  <c r="J56" i="127"/>
  <c r="K56" i="127"/>
  <c r="L56" i="127"/>
  <c r="M56" i="127"/>
  <c r="N56" i="127"/>
  <c r="O56" i="127"/>
  <c r="P56" i="127"/>
  <c r="I58" i="127"/>
  <c r="J58" i="127"/>
  <c r="K58" i="127"/>
  <c r="L58" i="127"/>
  <c r="M58" i="127"/>
  <c r="N58" i="127"/>
  <c r="O58" i="127"/>
  <c r="P58" i="127"/>
  <c r="I61" i="127"/>
  <c r="J61" i="127"/>
  <c r="K61" i="127"/>
  <c r="L61" i="127"/>
  <c r="M61" i="127"/>
  <c r="N61" i="127"/>
  <c r="O61" i="127"/>
  <c r="P61" i="127"/>
  <c r="I62" i="127"/>
  <c r="J62" i="127"/>
  <c r="K62" i="127"/>
  <c r="L62" i="127"/>
  <c r="M62" i="127"/>
  <c r="N62" i="127"/>
  <c r="O62" i="127"/>
  <c r="P62" i="127"/>
  <c r="I63" i="127"/>
  <c r="J63" i="127"/>
  <c r="K63" i="127"/>
  <c r="L63" i="127"/>
  <c r="M63" i="127"/>
  <c r="N63" i="127"/>
  <c r="O63" i="127"/>
  <c r="P63" i="127"/>
  <c r="I64" i="127"/>
  <c r="J64" i="127"/>
  <c r="K64" i="127"/>
  <c r="L64" i="127"/>
  <c r="M64" i="127"/>
  <c r="N64" i="127"/>
  <c r="O64" i="127"/>
  <c r="P64" i="127"/>
  <c r="I65" i="127"/>
  <c r="J65" i="127"/>
  <c r="K65" i="127"/>
  <c r="L65" i="127"/>
  <c r="M65" i="127"/>
  <c r="N65" i="127"/>
  <c r="O65" i="127"/>
  <c r="P65" i="127"/>
  <c r="I66" i="127"/>
  <c r="J66" i="127"/>
  <c r="K66" i="127"/>
  <c r="L66" i="127"/>
  <c r="M66" i="127"/>
  <c r="N66" i="127"/>
  <c r="O66" i="127"/>
  <c r="P66" i="127"/>
  <c r="I67" i="127"/>
  <c r="J67" i="127"/>
  <c r="K67" i="127"/>
  <c r="L67" i="127"/>
  <c r="M67" i="127"/>
  <c r="N67" i="127"/>
  <c r="O67" i="127"/>
  <c r="P67" i="127"/>
  <c r="I68" i="127"/>
  <c r="J68" i="127"/>
  <c r="K68" i="127"/>
  <c r="L68" i="127"/>
  <c r="M68" i="127"/>
  <c r="N68" i="127"/>
  <c r="O68" i="127"/>
  <c r="P68" i="127"/>
  <c r="I69" i="127"/>
  <c r="J69" i="127"/>
  <c r="K69" i="127"/>
  <c r="L69" i="127"/>
  <c r="M69" i="127"/>
  <c r="N69" i="127"/>
  <c r="O69" i="127"/>
  <c r="P69" i="127"/>
  <c r="I71" i="127"/>
  <c r="J71" i="127"/>
  <c r="K71" i="127"/>
  <c r="L71" i="127"/>
  <c r="M71" i="127"/>
  <c r="N71" i="127"/>
  <c r="O71" i="127"/>
  <c r="P71" i="127"/>
  <c r="I75" i="127"/>
  <c r="J75" i="127"/>
  <c r="K75" i="127"/>
  <c r="L75" i="127"/>
  <c r="M75" i="127"/>
  <c r="N75" i="127"/>
  <c r="O75" i="127"/>
  <c r="P75" i="127"/>
  <c r="I76" i="127"/>
  <c r="J76" i="127"/>
  <c r="K76" i="127"/>
  <c r="L76" i="127"/>
  <c r="M76" i="127"/>
  <c r="N76" i="127"/>
  <c r="O76" i="127"/>
  <c r="P76" i="127"/>
  <c r="I77" i="127"/>
  <c r="J77" i="127"/>
  <c r="K77" i="127"/>
  <c r="L77" i="127"/>
  <c r="M77" i="127"/>
  <c r="N77" i="127"/>
  <c r="O77" i="127"/>
  <c r="P77" i="127"/>
  <c r="I78" i="127"/>
  <c r="J78" i="127"/>
  <c r="K78" i="127"/>
  <c r="L78" i="127"/>
  <c r="M78" i="127"/>
  <c r="N78" i="127"/>
  <c r="O78" i="127"/>
  <c r="P78" i="127"/>
  <c r="I79" i="127"/>
  <c r="J79" i="127"/>
  <c r="K79" i="127"/>
  <c r="L79" i="127"/>
  <c r="M79" i="127"/>
  <c r="N79" i="127"/>
  <c r="O79" i="127"/>
  <c r="P79" i="127"/>
  <c r="I81" i="127"/>
  <c r="J81" i="127"/>
  <c r="K81" i="127"/>
  <c r="L81" i="127"/>
  <c r="M81" i="127"/>
  <c r="N81" i="127"/>
  <c r="O81" i="127"/>
  <c r="P81" i="127"/>
  <c r="I84" i="127"/>
  <c r="J84" i="127"/>
  <c r="K84" i="127"/>
  <c r="L84" i="127"/>
  <c r="M84" i="127"/>
  <c r="N84" i="127"/>
  <c r="O84" i="127"/>
  <c r="P84" i="127"/>
  <c r="I85" i="127"/>
  <c r="J85" i="127"/>
  <c r="K85" i="127"/>
  <c r="L85" i="127"/>
  <c r="M85" i="127"/>
  <c r="N85" i="127"/>
  <c r="O85" i="127"/>
  <c r="P85" i="127"/>
  <c r="O8" i="124"/>
  <c r="O9" i="124"/>
  <c r="O10" i="124"/>
  <c r="O11" i="124"/>
  <c r="L12" i="124"/>
  <c r="N12" i="124"/>
  <c r="O12" i="124"/>
  <c r="L13" i="124"/>
  <c r="N13" i="124"/>
  <c r="O13" i="124"/>
  <c r="J15" i="124"/>
  <c r="N15" i="124"/>
  <c r="O15" i="124"/>
  <c r="O16" i="124"/>
  <c r="J17" i="124"/>
  <c r="N17" i="124"/>
  <c r="O17" i="124"/>
  <c r="J18" i="124"/>
  <c r="N18" i="124"/>
  <c r="O18" i="124"/>
  <c r="J21" i="124"/>
  <c r="L21" i="124"/>
  <c r="N21" i="124"/>
  <c r="O21" i="124"/>
  <c r="J22" i="124"/>
  <c r="E25" i="124"/>
  <c r="J25" i="124"/>
  <c r="T8" i="125"/>
  <c r="T9" i="125"/>
  <c r="T10" i="125"/>
  <c r="T11" i="125"/>
  <c r="L12" i="125"/>
  <c r="Q12" i="125"/>
  <c r="S12" i="125"/>
  <c r="T12" i="125"/>
  <c r="L13" i="125"/>
  <c r="Q13" i="125"/>
  <c r="S13" i="125"/>
  <c r="T13" i="125"/>
  <c r="J15" i="125"/>
  <c r="N15" i="125"/>
  <c r="O15" i="125"/>
  <c r="S15" i="125"/>
  <c r="T15" i="125"/>
  <c r="N16" i="125"/>
  <c r="O16" i="125"/>
  <c r="S16" i="125"/>
  <c r="T16" i="125"/>
  <c r="J17" i="125"/>
  <c r="N17" i="125"/>
  <c r="O17" i="125"/>
  <c r="S17" i="125"/>
  <c r="T17" i="125"/>
  <c r="J18" i="125"/>
  <c r="N18" i="125"/>
  <c r="O18" i="125"/>
  <c r="S18" i="125"/>
  <c r="T18" i="125"/>
  <c r="O19" i="125"/>
  <c r="S19" i="125"/>
  <c r="T19" i="125"/>
  <c r="J22" i="125"/>
  <c r="L22" i="125"/>
  <c r="O22" i="125"/>
  <c r="Q22" i="125"/>
  <c r="S22" i="125"/>
  <c r="T22" i="125"/>
  <c r="J24" i="125"/>
  <c r="O24" i="125"/>
</calcChain>
</file>

<file path=xl/sharedStrings.xml><?xml version="1.0" encoding="utf-8"?>
<sst xmlns="http://schemas.openxmlformats.org/spreadsheetml/2006/main" count="335" uniqueCount="160">
  <si>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</si>
  <si>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</si>
  <si>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</si>
  <si>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</si>
  <si>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</si>
  <si>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</si>
  <si>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</si>
  <si>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</si>
  <si>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</si>
  <si>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</si>
  <si>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</si>
  <si>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</si>
  <si>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</si>
  <si>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</si>
  <si>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</si>
  <si>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</si>
  <si>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</si>
  <si>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</si>
  <si>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</si>
  <si>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</si>
  <si>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</si>
  <si>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</si>
  <si>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</si>
  <si>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</si>
  <si>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</si>
  <si>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</si>
  <si>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</si>
  <si>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</si>
  <si>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</si>
  <si>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</si>
  <si>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</si>
  <si>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</si>
  <si>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</si>
  <si>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</si>
  <si>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</si>
  <si>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</si>
  <si>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</si>
  <si>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</si>
  <si>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</si>
  <si>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</si>
  <si>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</si>
  <si>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</si>
  <si>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</si>
  <si>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</si>
  <si>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</si>
  <si>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</si>
  <si>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</si>
  <si>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</si>
  <si>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</si>
  <si>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</si>
  <si>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</si>
  <si>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</si>
  <si>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</si>
  <si>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</si>
  <si>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</si>
  <si>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</si>
  <si>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</si>
  <si>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</si>
  <si>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</si>
  <si>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</si>
  <si>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</si>
  <si>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>SAFE Shares</t>
  </si>
  <si>
    <t>Pre A</t>
  </si>
  <si>
    <t>FD</t>
  </si>
  <si>
    <t>Common Stock and Options:</t>
  </si>
  <si>
    <t>Total Common</t>
  </si>
  <si>
    <t>Preferred Rounds</t>
  </si>
  <si>
    <t>1011 Ventures</t>
  </si>
  <si>
    <t>Other Series A Investors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</si>
  <si>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</si>
  <si>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</si>
  <si>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</si>
  <si>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</si>
  <si>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</si>
  <si>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</si>
  <si>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1011 Ventures Investment</t>
  </si>
  <si>
    <t>SAFE Post-Money Valuation Cap</t>
  </si>
  <si>
    <t>Series B</t>
  </si>
  <si>
    <t>Pre B</t>
  </si>
  <si>
    <t>Series B Assumptions:</t>
  </si>
  <si>
    <t>% Ownership</t>
  </si>
  <si>
    <t>Pre-Money Valuation Step-up</t>
  </si>
  <si>
    <t>Common</t>
  </si>
  <si>
    <t>Option</t>
  </si>
  <si>
    <t>Pre SAFE</t>
  </si>
  <si>
    <t>Other Common Shareholders</t>
  </si>
  <si>
    <t>ESOP Available</t>
  </si>
  <si>
    <t>Other SAFE Investors</t>
  </si>
  <si>
    <t>Other Series B Investors</t>
  </si>
  <si>
    <t>Assumptions:</t>
  </si>
  <si>
    <t>Assumed ARR</t>
  </si>
  <si>
    <t>(x) Multiple</t>
  </si>
  <si>
    <t>Gross purchase price</t>
  </si>
  <si>
    <t>less: bank debt</t>
  </si>
  <si>
    <t>plus: cash</t>
  </si>
  <si>
    <t>plus: NWC (estimated M&amp;A closing adjustment)</t>
  </si>
  <si>
    <t>less: transaction expenses (estimated)</t>
  </si>
  <si>
    <t>Net equity value</t>
  </si>
  <si>
    <t>Management Carveout</t>
  </si>
  <si>
    <t>Remaining Tier 1</t>
  </si>
  <si>
    <t>Preference</t>
  </si>
  <si>
    <t>PX</t>
  </si>
  <si>
    <t>$ Preference</t>
  </si>
  <si>
    <t>A</t>
  </si>
  <si>
    <t>Tier 1 Payments (SAFE, Series A Preferred)</t>
  </si>
  <si>
    <t>Aggregate SAFE Preference at Point of Sale</t>
  </si>
  <si>
    <t>Does SAFE Convert/Lose Preference?</t>
  </si>
  <si>
    <t>SAFE total Preferred Payment</t>
  </si>
  <si>
    <t>SAFE Preferred Payment per Share</t>
  </si>
  <si>
    <t>Aggregate Series A Preference at Point of Sale</t>
  </si>
  <si>
    <t>Does Series A Convert/Lose Preference?</t>
  </si>
  <si>
    <t>Series A total Preferred Payment</t>
  </si>
  <si>
    <t>Series A Preferred Payment per Share</t>
  </si>
  <si>
    <t>Remaining for Tier 2</t>
  </si>
  <si>
    <t>Tier 2 Payments (Common Stock plus As-Converted Preferred)</t>
  </si>
  <si>
    <t>Total Payments per Share</t>
  </si>
  <si>
    <t>SAFE Preferred</t>
  </si>
  <si>
    <t>Total Payments ($)</t>
  </si>
  <si>
    <t>Invested</t>
  </si>
  <si>
    <t>Transfer from Owl Rocl Capital II, LLC (Accomplice)</t>
  </si>
  <si>
    <t>Max Series A per Share before Convert</t>
  </si>
  <si>
    <t>Aggregate Payments to Stockholder Groups</t>
  </si>
  <si>
    <t>Gross Gain on Investment</t>
  </si>
  <si>
    <t>IRR</t>
  </si>
  <si>
    <t>Data for IRR:</t>
  </si>
  <si>
    <t>Exit</t>
  </si>
  <si>
    <t>B</t>
  </si>
  <si>
    <t>Max Series B per Share before Convert</t>
  </si>
  <si>
    <t>Series B total Preferred Payment</t>
  </si>
  <si>
    <t>THINK MORE SECURITY &amp; 1011 VENTURES PRE-SERIES A</t>
  </si>
  <si>
    <t>PRE-SERIES A CAPITALIZATION</t>
  </si>
  <si>
    <t>ESOP Outstanding</t>
  </si>
  <si>
    <t>SAFE Investors:</t>
  </si>
  <si>
    <t>Implied Price per Share</t>
  </si>
  <si>
    <t>Company Capitalization (pre-A)</t>
  </si>
  <si>
    <t>THINK MORE SECURITY</t>
  </si>
  <si>
    <t>1011 VENTURES SERIES A</t>
  </si>
  <si>
    <t>% Ownership Check</t>
  </si>
  <si>
    <t>Option Pool Expansion (% of post-money FD)</t>
  </si>
  <si>
    <t>Accomplice New Money</t>
  </si>
  <si>
    <t>1011 VENTURES SERIES B</t>
  </si>
  <si>
    <t>% New Money</t>
  </si>
  <si>
    <t>Option Pool (gross % of post-B FD)</t>
  </si>
  <si>
    <t>Max SAFE Pref per Share before Convert</t>
  </si>
  <si>
    <t>Denominator (common + as-converted pref)</t>
  </si>
  <si>
    <t>Amount of Tier 2 Payment per Share</t>
  </si>
  <si>
    <t>Balance Check</t>
  </si>
  <si>
    <t>Check:</t>
  </si>
  <si>
    <t>1011 Returns Analysis</t>
  </si>
  <si>
    <t>1011 Payout</t>
  </si>
  <si>
    <t>1011 Investment</t>
  </si>
  <si>
    <t>Cash-on-Cash Multiple (MOIC)</t>
  </si>
  <si>
    <t>MOIC for Series A Investment</t>
  </si>
  <si>
    <t>Tier 1 Payments (SAFE, Series A &amp; B Preferred)</t>
  </si>
  <si>
    <t>Aggregate Series B Preference at Point of Sale</t>
  </si>
  <si>
    <t>Does Series B Convert/Lose Preference?</t>
  </si>
  <si>
    <t>Series B Preferred Payment per Share</t>
  </si>
  <si>
    <t>Other Common</t>
  </si>
  <si>
    <t>ESOP/Pool</t>
  </si>
  <si>
    <t>1011 Investment (Series A + Series 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</si>
</sst>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&quot;$&quot;#,##0"/>
    <numFmt numFmtId="165" formatCode="0.0%"/>
    <numFmt numFmtId="166" formatCode="&quot;$&quot;#,##0.0000"/>
    <numFmt numFmtId="169" formatCode="0.0%_);\(0.0%\);0.0%_);@_)"/>
    <numFmt numFmtId="171" formatCode="&quot;$&quot;#,##0_);\(&quot;$&quot;#,##0\);&quot;$&quot;#,##0_);@_)"/>
    <numFmt numFmtId="178" formatCode="_(&quot;$&quot;* #,##0_);_(&quot;$&quot;* \(#,##0\);_(&quot;$&quot;* &quot;-&quot;??_);_(@_)"/>
    <numFmt numFmtId="179" formatCode="0.0\x"/>
    <numFmt numFmtId="180" formatCode="&quot;$&quot;#,##0.00"/>
  </numFmts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b/>
      <sz val="10"/>
      <color rgb="FF0000FF"/>
      <name val="Garamond"/>
      <family val="1"/>
    </font>
    <font>
      <sz val="12"/>
      <color theme="1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80808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9">
    <xf numFmtId="0" fontId="0" fillId="0" borderId="0" xfId="0"/>
    <xf numFmtId="0" fontId="18" fillId="0" borderId="0" xfId="0" applyFont="1"/>
    <xf numFmtId="3" fontId="18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3" fontId="21" fillId="0" borderId="0" xfId="0" applyNumberFormat="1" applyFont="1"/>
    <xf numFmtId="164" fontId="18" fillId="0" borderId="0" xfId="0" applyNumberFormat="1" applyFont="1"/>
    <xf numFmtId="165" fontId="18" fillId="0" borderId="0" xfId="0" applyNumberFormat="1" applyFont="1"/>
    <xf numFmtId="166" fontId="21" fillId="0" borderId="0" xfId="0" applyNumberFormat="1" applyFont="1"/>
    <xf numFmtId="3" fontId="21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3" fontId="18" fillId="0" borderId="0" xfId="0" applyNumberFormat="1" applyFont="1" applyAlignment="1">
      <alignment horizontal="center"/>
    </xf>
    <xf numFmtId="3" fontId="19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3" fontId="19" fillId="0" borderId="10" xfId="0" applyNumberFormat="1" applyFont="1" applyBorder="1" applyAlignment="1">
      <alignment horizontal="center"/>
    </xf>
    <xf numFmtId="0" fontId="19" fillId="0" borderId="12" xfId="0" applyFont="1" applyBorder="1"/>
    <xf numFmtId="3" fontId="19" fillId="0" borderId="12" xfId="0" applyNumberFormat="1" applyFont="1" applyBorder="1" applyAlignment="1">
      <alignment horizontal="center"/>
    </xf>
    <xf numFmtId="164" fontId="19" fillId="0" borderId="12" xfId="0" applyNumberFormat="1" applyFon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10" fontId="22" fillId="0" borderId="0" xfId="0" applyNumberFormat="1" applyFont="1" applyAlignment="1">
      <alignment horizontal="center"/>
    </xf>
    <xf numFmtId="164" fontId="20" fillId="0" borderId="0" xfId="0" applyNumberFormat="1" applyFont="1"/>
    <xf numFmtId="164" fontId="20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171" fontId="18" fillId="0" borderId="0" xfId="0" applyNumberFormat="1" applyFont="1"/>
    <xf numFmtId="165" fontId="20" fillId="0" borderId="0" xfId="0" applyNumberFormat="1" applyFont="1"/>
    <xf numFmtId="0" fontId="19" fillId="0" borderId="0" xfId="0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4" fillId="0" borderId="0" xfId="0" applyFont="1" applyAlignment="1">
      <alignment horizontal="centerContinuous"/>
    </xf>
    <xf numFmtId="0" fontId="19" fillId="0" borderId="13" xfId="0" applyFont="1" applyBorder="1" applyAlignment="1">
      <alignment horizontal="center"/>
    </xf>
    <xf numFmtId="0" fontId="18" fillId="0" borderId="16" xfId="0" applyFont="1" applyBorder="1"/>
    <xf numFmtId="0" fontId="19" fillId="0" borderId="16" xfId="0" applyFont="1" applyBorder="1"/>
    <xf numFmtId="0" fontId="18" fillId="0" borderId="15" xfId="0" applyFont="1" applyBorder="1"/>
    <xf numFmtId="169" fontId="18" fillId="0" borderId="18" xfId="0" applyNumberFormat="1" applyFont="1" applyBorder="1" applyAlignment="1">
      <alignment horizontal="center"/>
    </xf>
    <xf numFmtId="0" fontId="19" fillId="0" borderId="21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19" fillId="0" borderId="25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9" fillId="0" borderId="26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164" fontId="26" fillId="0" borderId="0" xfId="0" applyNumberFormat="1" applyFont="1" applyAlignment="1">
      <alignment horizontal="center"/>
    </xf>
    <xf numFmtId="14" fontId="18" fillId="0" borderId="0" xfId="0" applyNumberFormat="1" applyFont="1"/>
    <xf numFmtId="165" fontId="18" fillId="0" borderId="18" xfId="0" applyNumberFormat="1" applyFont="1" applyBorder="1" applyAlignment="1">
      <alignment horizontal="center"/>
    </xf>
    <xf numFmtId="165" fontId="19" fillId="0" borderId="18" xfId="0" applyNumberFormat="1" applyFont="1" applyBorder="1" applyAlignment="1">
      <alignment horizontal="center"/>
    </xf>
    <xf numFmtId="0" fontId="19" fillId="0" borderId="15" xfId="0" applyFont="1" applyBorder="1"/>
    <xf numFmtId="0" fontId="18" fillId="0" borderId="0" xfId="0" applyFont="1" applyAlignment="1">
      <alignment horizontal="right"/>
    </xf>
    <xf numFmtId="3" fontId="23" fillId="0" borderId="0" xfId="0" applyNumberFormat="1" applyFont="1" applyAlignment="1">
      <alignment horizontal="center"/>
    </xf>
    <xf numFmtId="0" fontId="19" fillId="0" borderId="21" xfId="0" applyFont="1" applyBorder="1"/>
    <xf numFmtId="0" fontId="18" fillId="0" borderId="26" xfId="0" applyFont="1" applyBorder="1" applyAlignment="1">
      <alignment horizontal="center"/>
    </xf>
    <xf numFmtId="3" fontId="21" fillId="0" borderId="10" xfId="0" applyNumberFormat="1" applyFont="1" applyBorder="1" applyAlignment="1">
      <alignment horizontal="center"/>
    </xf>
    <xf numFmtId="3" fontId="18" fillId="0" borderId="10" xfId="0" applyNumberFormat="1" applyFont="1" applyBorder="1" applyAlignment="1">
      <alignment horizontal="center"/>
    </xf>
    <xf numFmtId="165" fontId="18" fillId="0" borderId="19" xfId="0" applyNumberFormat="1" applyFont="1" applyBorder="1" applyAlignment="1">
      <alignment horizontal="center"/>
    </xf>
    <xf numFmtId="165" fontId="19" fillId="0" borderId="20" xfId="0" applyNumberFormat="1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22" xfId="0" applyFont="1" applyBorder="1" applyAlignment="1">
      <alignment horizontal="center"/>
    </xf>
    <xf numFmtId="165" fontId="18" fillId="0" borderId="14" xfId="0" applyNumberFormat="1" applyFont="1" applyBorder="1" applyAlignment="1">
      <alignment horizontal="center"/>
    </xf>
    <xf numFmtId="165" fontId="19" fillId="0" borderId="19" xfId="0" applyNumberFormat="1" applyFont="1" applyBorder="1" applyAlignment="1">
      <alignment horizontal="center"/>
    </xf>
    <xf numFmtId="164" fontId="25" fillId="0" borderId="12" xfId="0" applyNumberFormat="1" applyFont="1" applyBorder="1" applyAlignment="1">
      <alignment horizontal="center"/>
    </xf>
    <xf numFmtId="164" fontId="18" fillId="0" borderId="14" xfId="0" applyNumberFormat="1" applyFont="1" applyBorder="1" applyAlignment="1">
      <alignment horizontal="center"/>
    </xf>
    <xf numFmtId="41" fontId="21" fillId="0" borderId="0" xfId="0" applyNumberFormat="1" applyFont="1" applyAlignment="1">
      <alignment horizontal="center"/>
    </xf>
    <xf numFmtId="41" fontId="19" fillId="0" borderId="10" xfId="0" applyNumberFormat="1" applyFont="1" applyBorder="1" applyAlignment="1">
      <alignment horizontal="center"/>
    </xf>
    <xf numFmtId="41" fontId="18" fillId="0" borderId="0" xfId="0" applyNumberFormat="1" applyFont="1" applyAlignment="1">
      <alignment horizontal="center"/>
    </xf>
    <xf numFmtId="41" fontId="19" fillId="0" borderId="12" xfId="0" applyNumberFormat="1" applyFont="1" applyBorder="1" applyAlignment="1">
      <alignment horizontal="center"/>
    </xf>
    <xf numFmtId="41" fontId="19" fillId="0" borderId="0" xfId="0" applyNumberFormat="1" applyFont="1" applyAlignment="1">
      <alignment horizontal="center"/>
    </xf>
    <xf numFmtId="178" fontId="0" fillId="0" borderId="0" xfId="0" applyNumberFormat="1"/>
    <xf numFmtId="178" fontId="19" fillId="0" borderId="0" xfId="0" applyNumberFormat="1" applyFont="1" applyAlignment="1">
      <alignment horizontal="center"/>
    </xf>
    <xf numFmtId="178" fontId="18" fillId="0" borderId="0" xfId="0" applyNumberFormat="1" applyFont="1" applyAlignment="1">
      <alignment horizontal="center"/>
    </xf>
    <xf numFmtId="178" fontId="21" fillId="0" borderId="0" xfId="0" applyNumberFormat="1" applyFont="1" applyAlignment="1">
      <alignment horizontal="center"/>
    </xf>
    <xf numFmtId="178" fontId="19" fillId="0" borderId="12" xfId="0" applyNumberFormat="1" applyFont="1" applyBorder="1" applyAlignment="1">
      <alignment horizontal="center"/>
    </xf>
    <xf numFmtId="178" fontId="25" fillId="0" borderId="12" xfId="0" applyNumberFormat="1" applyFont="1" applyBorder="1" applyAlignment="1">
      <alignment horizontal="center"/>
    </xf>
    <xf numFmtId="169" fontId="19" fillId="0" borderId="18" xfId="0" applyNumberFormat="1" applyFont="1" applyBorder="1" applyAlignment="1">
      <alignment horizontal="center"/>
    </xf>
    <xf numFmtId="169" fontId="19" fillId="0" borderId="20" xfId="0" applyNumberFormat="1" applyFont="1" applyBorder="1" applyAlignment="1">
      <alignment horizontal="center"/>
    </xf>
    <xf numFmtId="14" fontId="20" fillId="0" borderId="0" xfId="0" applyNumberFormat="1" applyFont="1"/>
    <xf numFmtId="179" fontId="18" fillId="0" borderId="0" xfId="0" applyNumberFormat="1" applyFont="1"/>
    <xf numFmtId="179" fontId="20" fillId="0" borderId="0" xfId="0" applyNumberFormat="1" applyFont="1"/>
    <xf numFmtId="171" fontId="20" fillId="0" borderId="0" xfId="0" applyNumberFormat="1" applyFont="1" applyAlignment="1">
      <alignment horizontal="right"/>
    </xf>
    <xf numFmtId="171" fontId="18" fillId="0" borderId="0" xfId="0" applyNumberFormat="1" applyFont="1" applyAlignment="1">
      <alignment horizontal="right"/>
    </xf>
    <xf numFmtId="171" fontId="19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80" fontId="18" fillId="0" borderId="0" xfId="0" applyNumberFormat="1" applyFont="1" applyAlignment="1">
      <alignment horizontal="right"/>
    </xf>
    <xf numFmtId="179" fontId="18" fillId="0" borderId="0" xfId="0" applyNumberFormat="1" applyFont="1" applyAlignment="1">
      <alignment horizontal="right"/>
    </xf>
    <xf numFmtId="165" fontId="18" fillId="0" borderId="0" xfId="0" applyNumberFormat="1" applyFont="1" applyAlignment="1">
      <alignment horizontal="right"/>
    </xf>
    <xf numFmtId="171" fontId="19" fillId="0" borderId="27" xfId="0" applyNumberFormat="1" applyFont="1" applyBorder="1" applyAlignment="1">
      <alignment horizontal="right"/>
    </xf>
    <xf numFmtId="0" fontId="18" fillId="0" borderId="12" xfId="0" applyFont="1" applyBorder="1"/>
    <xf numFmtId="0" fontId="18" fillId="0" borderId="12" xfId="0" applyFont="1" applyBorder="1" applyAlignment="1">
      <alignment horizontal="right"/>
    </xf>
    <xf numFmtId="171" fontId="21" fillId="0" borderId="11" xfId="0" applyNumberFormat="1" applyFont="1" applyBorder="1" applyAlignment="1">
      <alignment horizontal="right"/>
    </xf>
    <xf numFmtId="179" fontId="20" fillId="0" borderId="0" xfId="0" applyNumberFormat="1" applyFon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53FA-5F8D-0B43-9D16-145B52097F3D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7D2D1-6603-6C44-8416-0CA331E9A7F9}">
  <dimension ref="A1:K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1" x14ac:dyDescent="0.2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x14ac:dyDescent="0.2">
      <c r="A2" s="21"/>
      <c r="B2" s="21"/>
      <c r="C2" s="21"/>
      <c r="D2" s="21"/>
      <c r="E2" s="21"/>
      <c r="F2" s="21"/>
      <c r="G2" s="21"/>
      <c r="H2" s="22" t="s">
        <v>1</v>
      </c>
      <c r="I2" s="21"/>
      <c r="J2" s="21"/>
      <c r="K2" s="21"/>
    </row>
    <row r="3" spans="1:11" x14ac:dyDescent="0.2">
      <c r="A3" s="21"/>
      <c r="B3" s="22" t="s">
        <v>2</v>
      </c>
      <c r="C3" s="22" t="s">
        <v>3</v>
      </c>
      <c r="D3" s="22" t="s">
        <v>4</v>
      </c>
      <c r="E3" s="22" t="s">
        <v>5</v>
      </c>
      <c r="F3" s="22" t="s">
        <v>6</v>
      </c>
      <c r="G3" s="22" t="s">
        <v>0</v>
      </c>
      <c r="H3" s="22" t="s">
        <v>7</v>
      </c>
      <c r="I3" s="21"/>
      <c r="J3" s="21"/>
      <c r="K3" s="21"/>
    </row>
    <row r="4" spans="1:11" x14ac:dyDescent="0.2">
      <c r="A4" s="21"/>
      <c r="B4" s="21" t="s">
        <v>8</v>
      </c>
      <c r="C4" s="23">
        <v>3600000</v>
      </c>
      <c r="D4" s="23"/>
      <c r="E4" s="23"/>
      <c r="F4" s="23"/>
      <c r="G4" s="23">
        <f>SUM(C4:F4)</f>
        <v>3600000</v>
      </c>
      <c r="H4" s="24">
        <f>G4/$G$23</f>
        <v>0.36959987630724139</v>
      </c>
      <c r="I4" s="21"/>
      <c r="J4" s="21"/>
      <c r="K4" s="21"/>
    </row>
    <row r="5" spans="1:11" x14ac:dyDescent="0.2">
      <c r="A5" s="21"/>
      <c r="B5" s="21" t="s">
        <v>9</v>
      </c>
      <c r="C5" s="23">
        <v>3600000</v>
      </c>
      <c r="D5" s="23"/>
      <c r="E5" s="23"/>
      <c r="F5" s="23"/>
      <c r="G5" s="23">
        <f>SUM(C5:F5)</f>
        <v>3600000</v>
      </c>
      <c r="H5" s="24">
        <f>G5/$G$23</f>
        <v>0.36959987630724139</v>
      </c>
      <c r="I5" s="21"/>
      <c r="J5" s="21"/>
      <c r="K5" s="21"/>
    </row>
    <row r="6" spans="1:11" x14ac:dyDescent="0.2">
      <c r="A6" s="21"/>
      <c r="B6" s="21" t="s">
        <v>10</v>
      </c>
      <c r="C6" s="23">
        <v>222187</v>
      </c>
      <c r="D6" s="23"/>
      <c r="E6" s="23"/>
      <c r="F6" s="23"/>
      <c r="G6" s="23">
        <f>SUM(C6:F6)</f>
        <v>222187</v>
      </c>
      <c r="H6" s="24">
        <f>G6/$G$23</f>
        <v>2.28111910325214E-2</v>
      </c>
      <c r="I6" s="21"/>
      <c r="J6" s="21"/>
      <c r="K6" s="21"/>
    </row>
    <row r="7" spans="1:11" x14ac:dyDescent="0.2">
      <c r="A7" s="21"/>
      <c r="B7" s="21" t="s">
        <v>11</v>
      </c>
      <c r="C7" s="23">
        <v>592500</v>
      </c>
      <c r="D7" s="23"/>
      <c r="E7" s="23"/>
      <c r="F7" s="23"/>
      <c r="G7" s="23">
        <f>SUM(C7:F7)</f>
        <v>592500</v>
      </c>
      <c r="H7" s="24">
        <f>G7/$G$23</f>
        <v>6.0829979642233481E-2</v>
      </c>
      <c r="I7" s="21"/>
      <c r="J7" s="21"/>
      <c r="K7" s="21"/>
    </row>
    <row r="8" spans="1:11" x14ac:dyDescent="0.2">
      <c r="A8" s="21"/>
      <c r="B8" s="21" t="s">
        <v>12</v>
      </c>
      <c r="C8" s="23">
        <v>592500</v>
      </c>
      <c r="D8" s="23"/>
      <c r="E8" s="23"/>
      <c r="F8" s="23"/>
      <c r="G8" s="23">
        <f>SUM(C8:F8)</f>
        <v>592500</v>
      </c>
      <c r="H8" s="24">
        <f>G8/$G$23</f>
        <v>6.0829979642233481E-2</v>
      </c>
      <c r="I8" s="21"/>
      <c r="J8" s="21"/>
      <c r="K8" s="21"/>
    </row>
    <row r="9" spans="1:11" x14ac:dyDescent="0.2">
      <c r="A9" s="21"/>
      <c r="B9" s="21" t="s">
        <v>13</v>
      </c>
      <c r="C9" s="23">
        <v>13500</v>
      </c>
      <c r="D9" s="23">
        <v>98900</v>
      </c>
      <c r="E9" s="23"/>
      <c r="F9" s="23"/>
      <c r="G9" s="23">
        <f>SUM(C9:F9)</f>
        <v>112400</v>
      </c>
      <c r="H9" s="24">
        <f>G9/$G$23</f>
        <v>1.1539729471370537E-2</v>
      </c>
      <c r="I9" s="21"/>
      <c r="J9" s="21"/>
      <c r="K9" s="21"/>
    </row>
    <row r="10" spans="1:11" x14ac:dyDescent="0.2">
      <c r="A10" s="21"/>
      <c r="B10" s="21" t="s">
        <v>14</v>
      </c>
      <c r="C10" s="23">
        <v>9000</v>
      </c>
      <c r="D10" s="23"/>
      <c r="E10" s="23"/>
      <c r="F10" s="23"/>
      <c r="G10" s="23">
        <f>SUM(C10:F10)</f>
        <v>9000</v>
      </c>
      <c r="H10" s="24">
        <f>G10/$G$23</f>
        <v>9.2399969076810353E-4</v>
      </c>
      <c r="I10" s="21"/>
      <c r="J10" s="21"/>
      <c r="K10" s="21"/>
    </row>
    <row r="11" spans="1:11" x14ac:dyDescent="0.2">
      <c r="A11" s="21"/>
      <c r="B11" s="21" t="s">
        <v>15</v>
      </c>
      <c r="C11" s="23"/>
      <c r="D11" s="23">
        <v>95000</v>
      </c>
      <c r="E11" s="23"/>
      <c r="F11" s="23"/>
      <c r="G11" s="23">
        <f>SUM(C11:F11)</f>
        <v>95000</v>
      </c>
      <c r="H11" s="24">
        <f>G11/$G$23</f>
        <v>9.7533300692188695E-3</v>
      </c>
      <c r="I11" s="21"/>
      <c r="J11" s="21"/>
      <c r="K11" s="21"/>
    </row>
    <row r="12" spans="1:11" x14ac:dyDescent="0.2">
      <c r="A12" s="21"/>
      <c r="B12" s="21" t="s">
        <v>16</v>
      </c>
      <c r="C12" s="23"/>
      <c r="D12" s="23"/>
      <c r="E12" s="23">
        <v>25000</v>
      </c>
      <c r="F12" s="23"/>
      <c r="G12" s="23">
        <f>SUM(C12:F12)</f>
        <v>25000</v>
      </c>
      <c r="H12" s="24">
        <f>G12/$G$23</f>
        <v>2.5666658076891765E-3</v>
      </c>
      <c r="I12" s="21"/>
      <c r="J12" s="21"/>
      <c r="K12" s="21"/>
    </row>
    <row r="13" spans="1:11" x14ac:dyDescent="0.2">
      <c r="A13" s="21"/>
      <c r="B13" s="21" t="s">
        <v>17</v>
      </c>
      <c r="C13" s="23"/>
      <c r="D13" s="23"/>
      <c r="E13" s="23">
        <v>41562</v>
      </c>
      <c r="F13" s="23"/>
      <c r="G13" s="23">
        <f>SUM(C13:F13)</f>
        <v>41562</v>
      </c>
      <c r="H13" s="24">
        <f>G13/$G$23</f>
        <v>4.2670305719671019E-3</v>
      </c>
      <c r="I13" s="21"/>
      <c r="J13" s="21"/>
      <c r="K13" s="21"/>
    </row>
    <row r="14" spans="1:11" x14ac:dyDescent="0.2">
      <c r="A14" s="21"/>
      <c r="B14" s="21" t="s">
        <v>18</v>
      </c>
      <c r="C14" s="23"/>
      <c r="D14" s="23">
        <v>285000</v>
      </c>
      <c r="E14" s="23"/>
      <c r="F14" s="23"/>
      <c r="G14" s="23">
        <f>SUM(C14:F14)</f>
        <v>285000</v>
      </c>
      <c r="H14" s="24">
        <f>G14/$G$23</f>
        <v>2.925999020765661E-2</v>
      </c>
      <c r="I14" s="21"/>
      <c r="J14" s="21"/>
      <c r="K14" s="21"/>
    </row>
    <row r="15" spans="1:11" x14ac:dyDescent="0.2">
      <c r="A15" s="21"/>
      <c r="B15" s="21" t="s">
        <v>19</v>
      </c>
      <c r="C15" s="23"/>
      <c r="D15" s="23">
        <v>50000</v>
      </c>
      <c r="E15" s="23"/>
      <c r="F15" s="23"/>
      <c r="G15" s="23">
        <f>SUM(C15:F15)</f>
        <v>50000</v>
      </c>
      <c r="H15" s="24">
        <f>G15/$G$23</f>
        <v>5.133331615378353E-3</v>
      </c>
      <c r="I15" s="21"/>
      <c r="J15" s="21"/>
      <c r="K15" s="21"/>
    </row>
    <row r="16" spans="1:11" x14ac:dyDescent="0.2">
      <c r="A16" s="21"/>
      <c r="B16" s="21" t="s">
        <v>20</v>
      </c>
      <c r="C16" s="23"/>
      <c r="D16" s="23">
        <v>285000</v>
      </c>
      <c r="E16" s="23"/>
      <c r="F16" s="23"/>
      <c r="G16" s="23">
        <f>SUM(C16:F16)</f>
        <v>285000</v>
      </c>
      <c r="H16" s="24">
        <f>G16/$G$23</f>
        <v>2.925999020765661E-2</v>
      </c>
      <c r="I16" s="21"/>
      <c r="J16" s="21"/>
      <c r="K16" s="21"/>
    </row>
    <row r="17" spans="1:11" x14ac:dyDescent="0.2">
      <c r="A17" s="21"/>
      <c r="B17" s="21" t="s">
        <v>21</v>
      </c>
      <c r="C17" s="23"/>
      <c r="D17" s="23"/>
      <c r="E17" s="23">
        <v>96186</v>
      </c>
      <c r="F17" s="23"/>
      <c r="G17" s="23">
        <f>SUM(C17:F17)</f>
        <v>96186</v>
      </c>
      <c r="H17" s="24">
        <f>G17/$G$23</f>
        <v>9.8750926951356455E-3</v>
      </c>
      <c r="I17" s="21"/>
      <c r="J17" s="21"/>
      <c r="K17" s="21"/>
    </row>
    <row r="18" spans="1:11" x14ac:dyDescent="0.2">
      <c r="A18" s="21"/>
      <c r="B18" s="21" t="s">
        <v>22</v>
      </c>
      <c r="C18" s="23"/>
      <c r="D18" s="23"/>
      <c r="E18" s="23">
        <v>48095</v>
      </c>
      <c r="F18" s="23"/>
      <c r="G18" s="23">
        <f>SUM(C18:F18)</f>
        <v>48095</v>
      </c>
      <c r="H18" s="24">
        <f>G18/$G$23</f>
        <v>4.9377516808324371E-3</v>
      </c>
      <c r="I18" s="21"/>
      <c r="J18" s="21"/>
      <c r="K18" s="21"/>
    </row>
    <row r="19" spans="1:11" x14ac:dyDescent="0.2">
      <c r="A19" s="21"/>
      <c r="B19" s="21" t="s">
        <v>23</v>
      </c>
      <c r="C19" s="23"/>
      <c r="D19" s="23"/>
      <c r="E19" s="23"/>
      <c r="F19" s="23">
        <v>12395</v>
      </c>
      <c r="G19" s="23">
        <f>SUM(C19:F19)</f>
        <v>12395</v>
      </c>
      <c r="H19" s="24">
        <f>G19/$G$23</f>
        <v>1.2725529074522936E-3</v>
      </c>
      <c r="I19" s="21"/>
      <c r="J19" s="21"/>
      <c r="K19" s="21"/>
    </row>
    <row r="20" spans="1:11" x14ac:dyDescent="0.2">
      <c r="A20" s="21"/>
      <c r="B20" s="21" t="s">
        <v>24</v>
      </c>
      <c r="C20" s="23"/>
      <c r="D20" s="23"/>
      <c r="E20" s="23"/>
      <c r="F20" s="23">
        <v>8333</v>
      </c>
      <c r="G20" s="23">
        <f>SUM(C20:F20)</f>
        <v>8333</v>
      </c>
      <c r="H20" s="24">
        <f>G20/$G$23</f>
        <v>8.5552104701895626E-4</v>
      </c>
      <c r="I20" s="21"/>
      <c r="J20" s="21"/>
      <c r="K20" s="21"/>
    </row>
    <row r="21" spans="1:11" ht="15.75" customHeight="1" x14ac:dyDescent="0.2">
      <c r="A21" s="21"/>
      <c r="B21" s="21" t="s">
        <v>25</v>
      </c>
      <c r="C21" s="23"/>
      <c r="D21" s="23">
        <v>65105</v>
      </c>
      <c r="E21" s="23"/>
      <c r="F21" s="23"/>
      <c r="G21" s="23">
        <f>SUM(C21:F21)</f>
        <v>65105</v>
      </c>
      <c r="H21" s="24">
        <f>G21/$G$23</f>
        <v>6.6841110963841528E-3</v>
      </c>
      <c r="I21" s="21"/>
      <c r="J21" s="21"/>
      <c r="K21" s="21"/>
    </row>
    <row r="22" spans="1:11" ht="15.75" customHeight="1" x14ac:dyDescent="0.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</row>
    <row r="23" spans="1:11" ht="15.75" customHeight="1" x14ac:dyDescent="0.2">
      <c r="A23" s="21"/>
      <c r="B23" s="22" t="s">
        <v>0</v>
      </c>
      <c r="C23" s="57">
        <f>SUM(C4:C21)</f>
        <v>8629687</v>
      </c>
      <c r="D23" s="57">
        <f>SUM(D4:D21)</f>
        <v>879005</v>
      </c>
      <c r="E23" s="57">
        <f>SUM(E4:E21)</f>
        <v>210843</v>
      </c>
      <c r="F23" s="57">
        <f>SUM(F4:F21)</f>
        <v>20728</v>
      </c>
      <c r="G23" s="57">
        <f>SUM(G4:G21)</f>
        <v>9740263</v>
      </c>
      <c r="H23" s="21"/>
      <c r="I23" s="21"/>
      <c r="J23" s="21"/>
      <c r="K23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E999-F2CD-614B-8425-B965A824D8B8}">
  <dimension ref="A1:K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11" x14ac:dyDescent="0.2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x14ac:dyDescent="0.2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</row>
    <row r="3" spans="1:11" x14ac:dyDescent="0.2">
      <c r="A3" s="31"/>
      <c r="B3" s="22" t="s">
        <v>2</v>
      </c>
      <c r="C3" s="22" t="s">
        <v>26</v>
      </c>
      <c r="D3" s="31"/>
      <c r="E3" s="22" t="s">
        <v>27</v>
      </c>
      <c r="F3" s="31"/>
      <c r="G3" s="31"/>
      <c r="H3" s="31"/>
      <c r="I3" s="31"/>
      <c r="J3" s="31"/>
      <c r="K3" s="31"/>
    </row>
    <row r="4" spans="1:11" x14ac:dyDescent="0.2">
      <c r="A4" s="31"/>
      <c r="B4" s="21" t="s">
        <v>13</v>
      </c>
      <c r="C4" s="27">
        <v>25000</v>
      </c>
      <c r="D4" s="21"/>
      <c r="E4" s="21" t="s">
        <v>28</v>
      </c>
      <c r="F4" s="31"/>
      <c r="G4" s="31"/>
      <c r="H4" s="31"/>
      <c r="I4" s="31"/>
      <c r="J4" s="31"/>
      <c r="K4" s="31"/>
    </row>
    <row r="5" spans="1:11" x14ac:dyDescent="0.2">
      <c r="A5" s="31"/>
      <c r="B5" s="21" t="s">
        <v>14</v>
      </c>
      <c r="C5" s="27">
        <v>25000</v>
      </c>
      <c r="D5" s="21"/>
      <c r="E5" s="21"/>
      <c r="F5" s="31"/>
      <c r="G5" s="31"/>
      <c r="H5" s="31"/>
      <c r="I5" s="31"/>
      <c r="J5" s="31"/>
      <c r="K5" s="31"/>
    </row>
    <row r="6" spans="1:11" ht="15.75" customHeight="1" x14ac:dyDescent="0.2">
      <c r="A6" s="31"/>
      <c r="B6" s="21" t="s">
        <v>29</v>
      </c>
      <c r="C6" s="27">
        <v>137170.75</v>
      </c>
      <c r="D6" s="21"/>
      <c r="E6" s="21"/>
      <c r="F6" s="31"/>
      <c r="G6" s="31"/>
      <c r="H6" s="31"/>
      <c r="I6" s="31"/>
      <c r="J6" s="31"/>
      <c r="K6" s="31"/>
    </row>
    <row r="7" spans="1:11" ht="15.75" customHeight="1" x14ac:dyDescent="0.2">
      <c r="A7" s="31"/>
      <c r="B7" s="21" t="s">
        <v>30</v>
      </c>
      <c r="C7" s="27">
        <v>3846829.25</v>
      </c>
      <c r="D7" s="21"/>
      <c r="E7" s="21"/>
      <c r="F7" s="31"/>
      <c r="G7" s="31"/>
      <c r="H7" s="31"/>
      <c r="I7" s="31"/>
      <c r="J7" s="31"/>
      <c r="K7" s="31"/>
    </row>
    <row r="8" spans="1:11" ht="15.75" customHeight="1" x14ac:dyDescent="0.2">
      <c r="A8" s="31"/>
      <c r="B8" s="21" t="s">
        <v>31</v>
      </c>
      <c r="C8" s="27">
        <v>16566</v>
      </c>
      <c r="D8" s="21"/>
      <c r="E8" s="21" t="s">
        <v>119</v>
      </c>
      <c r="F8" s="31"/>
      <c r="G8" s="31"/>
      <c r="H8" s="31"/>
      <c r="I8" s="31"/>
      <c r="J8" s="31"/>
      <c r="K8" s="31"/>
    </row>
    <row r="9" spans="1:11" ht="15.75" customHeight="1" x14ac:dyDescent="0.2">
      <c r="A9" s="31"/>
      <c r="B9" s="21" t="s">
        <v>32</v>
      </c>
      <c r="C9" s="27">
        <v>250000</v>
      </c>
      <c r="D9" s="21"/>
      <c r="E9" s="21"/>
      <c r="F9" s="31"/>
      <c r="G9" s="31"/>
      <c r="H9" s="31"/>
      <c r="I9" s="31"/>
      <c r="J9" s="31"/>
      <c r="K9" s="31"/>
    </row>
    <row r="10" spans="1:11" ht="15.75" customHeight="1" x14ac:dyDescent="0.2">
      <c r="A10" s="31"/>
      <c r="B10" s="21" t="s">
        <v>33</v>
      </c>
      <c r="C10" s="27">
        <v>100000</v>
      </c>
      <c r="D10" s="21"/>
      <c r="E10" s="21"/>
      <c r="F10" s="31"/>
      <c r="G10" s="31"/>
      <c r="H10" s="31"/>
      <c r="I10" s="31"/>
      <c r="J10" s="31"/>
      <c r="K10" s="31"/>
    </row>
    <row r="11" spans="1:11" ht="15.75" customHeight="1" x14ac:dyDescent="0.2">
      <c r="A11" s="31"/>
      <c r="B11" s="21" t="s">
        <v>34</v>
      </c>
      <c r="C11" s="27">
        <v>300000</v>
      </c>
      <c r="D11" s="21"/>
      <c r="E11" s="21" t="s">
        <v>28</v>
      </c>
      <c r="F11" s="31"/>
      <c r="G11" s="31"/>
      <c r="H11" s="31"/>
      <c r="I11" s="31"/>
      <c r="J11" s="31"/>
      <c r="K11" s="31"/>
    </row>
    <row r="12" spans="1:11" ht="15.75" customHeight="1" x14ac:dyDescent="0.2">
      <c r="A12" s="31"/>
      <c r="B12" s="21" t="s">
        <v>35</v>
      </c>
      <c r="C12" s="27">
        <v>37500</v>
      </c>
      <c r="D12" s="21"/>
      <c r="E12" s="21" t="s">
        <v>36</v>
      </c>
      <c r="F12" s="31"/>
      <c r="G12" s="31"/>
      <c r="H12" s="31"/>
      <c r="I12" s="31"/>
      <c r="J12" s="31"/>
      <c r="K12" s="31"/>
    </row>
    <row r="13" spans="1:11" ht="15.75" customHeight="1" x14ac:dyDescent="0.2">
      <c r="A13" s="31"/>
      <c r="B13" s="21" t="s">
        <v>37</v>
      </c>
      <c r="C13" s="27">
        <v>250000</v>
      </c>
      <c r="D13" s="21"/>
      <c r="E13" s="21"/>
      <c r="F13" s="31"/>
      <c r="G13" s="31"/>
      <c r="H13" s="31"/>
      <c r="I13" s="31"/>
      <c r="J13" s="31"/>
      <c r="K13" s="31"/>
    </row>
    <row r="14" spans="1:11" ht="15.75" customHeight="1" x14ac:dyDescent="0.2">
      <c r="A14" s="31"/>
      <c r="B14" s="21" t="s">
        <v>38</v>
      </c>
      <c r="C14" s="27">
        <v>100000</v>
      </c>
      <c r="D14" s="21"/>
      <c r="E14" s="21"/>
      <c r="F14" s="31"/>
      <c r="G14" s="31"/>
      <c r="H14" s="31"/>
      <c r="I14" s="31"/>
      <c r="J14" s="31"/>
      <c r="K14" s="31"/>
    </row>
    <row r="15" spans="1:11" ht="15.75" customHeight="1" x14ac:dyDescent="0.2">
      <c r="A15" s="31"/>
      <c r="B15" s="21" t="s">
        <v>39</v>
      </c>
      <c r="C15" s="27">
        <v>41164</v>
      </c>
      <c r="D15" s="21"/>
      <c r="E15" s="21" t="s">
        <v>119</v>
      </c>
      <c r="F15" s="31"/>
      <c r="G15" s="31"/>
      <c r="H15" s="31"/>
      <c r="I15" s="31"/>
      <c r="J15" s="31"/>
      <c r="K15" s="31"/>
    </row>
    <row r="16" spans="1:11" ht="15.75" customHeight="1" x14ac:dyDescent="0.2">
      <c r="A16" s="31"/>
      <c r="B16" s="21" t="s">
        <v>40</v>
      </c>
      <c r="C16" s="27">
        <v>2328778</v>
      </c>
      <c r="D16" s="21"/>
      <c r="E16" s="21" t="s">
        <v>119</v>
      </c>
      <c r="F16" s="31"/>
      <c r="G16" s="31"/>
      <c r="H16" s="31"/>
      <c r="I16" s="31"/>
      <c r="J16" s="31"/>
      <c r="K16" s="31"/>
    </row>
    <row r="17" spans="1:11" ht="15.75" customHeight="1" x14ac:dyDescent="0.2">
      <c r="A17" s="31"/>
      <c r="B17" s="21" t="s">
        <v>41</v>
      </c>
      <c r="C17" s="27">
        <v>1506000</v>
      </c>
      <c r="D17" s="21"/>
      <c r="E17" s="21" t="s">
        <v>42</v>
      </c>
      <c r="F17" s="31"/>
      <c r="G17" s="31"/>
      <c r="H17" s="31"/>
      <c r="I17" s="31"/>
      <c r="J17" s="31"/>
      <c r="K17" s="31"/>
    </row>
    <row r="18" spans="1:11" ht="15.75" customHeight="1" x14ac:dyDescent="0.2">
      <c r="A18" s="31"/>
      <c r="B18" s="21" t="s">
        <v>43</v>
      </c>
      <c r="C18" s="27">
        <v>50000</v>
      </c>
      <c r="D18" s="21"/>
      <c r="E18" s="21"/>
      <c r="F18" s="31"/>
      <c r="G18" s="31"/>
      <c r="H18" s="31"/>
      <c r="I18" s="31"/>
      <c r="J18" s="31"/>
      <c r="K18" s="31"/>
    </row>
    <row r="19" spans="1:11" ht="15.75" customHeight="1" x14ac:dyDescent="0.2">
      <c r="A19" s="31"/>
      <c r="B19" s="21" t="s">
        <v>44</v>
      </c>
      <c r="C19" s="27">
        <v>212500</v>
      </c>
      <c r="D19" s="21"/>
      <c r="E19" s="21" t="s">
        <v>36</v>
      </c>
      <c r="F19" s="31"/>
      <c r="G19" s="31"/>
      <c r="H19" s="31"/>
      <c r="I19" s="31"/>
      <c r="J19" s="31"/>
      <c r="K19" s="31"/>
    </row>
    <row r="20" spans="1:11" ht="15.75" customHeight="1" x14ac:dyDescent="0.2">
      <c r="A20" s="31"/>
      <c r="B20" s="21" t="s">
        <v>45</v>
      </c>
      <c r="C20" s="27">
        <v>25000</v>
      </c>
      <c r="D20" s="21"/>
      <c r="E20" s="21"/>
      <c r="F20" s="31"/>
      <c r="G20" s="31"/>
      <c r="H20" s="31"/>
      <c r="I20" s="31"/>
      <c r="J20" s="31"/>
      <c r="K20" s="31"/>
    </row>
    <row r="21" spans="1:11" ht="15.75" customHeight="1" x14ac:dyDescent="0.2">
      <c r="A21" s="31"/>
      <c r="B21" s="21" t="s">
        <v>46</v>
      </c>
      <c r="C21" s="27">
        <v>61746</v>
      </c>
      <c r="D21" s="21"/>
      <c r="E21" s="21" t="s">
        <v>119</v>
      </c>
      <c r="F21" s="31"/>
      <c r="G21" s="31"/>
      <c r="H21" s="31"/>
      <c r="I21" s="31"/>
      <c r="J21" s="31"/>
      <c r="K21" s="31"/>
    </row>
    <row r="22" spans="1:11" ht="15.75" customHeight="1" x14ac:dyDescent="0.2">
      <c r="A22" s="31"/>
      <c r="B22" s="21" t="s">
        <v>47</v>
      </c>
      <c r="C22" s="27">
        <v>100000</v>
      </c>
      <c r="D22" s="21"/>
      <c r="E22" s="21"/>
      <c r="F22" s="31"/>
      <c r="G22" s="31"/>
      <c r="H22" s="31"/>
      <c r="I22" s="31"/>
      <c r="J22" s="31"/>
      <c r="K22" s="31"/>
    </row>
    <row r="23" spans="1:11" ht="15.75" customHeight="1" x14ac:dyDescent="0.2">
      <c r="A23" s="31"/>
      <c r="B23" s="21" t="s">
        <v>48</v>
      </c>
      <c r="C23" s="27">
        <v>100000</v>
      </c>
      <c r="D23" s="21"/>
      <c r="E23" s="21"/>
      <c r="F23" s="31"/>
      <c r="G23" s="31"/>
      <c r="H23" s="31"/>
      <c r="I23" s="31"/>
      <c r="J23" s="31"/>
      <c r="K23" s="31"/>
    </row>
    <row r="24" spans="1:11" ht="15.75" customHeight="1" x14ac:dyDescent="0.2">
      <c r="A24" s="31"/>
      <c r="B24" s="21" t="s">
        <v>49</v>
      </c>
      <c r="C24" s="27">
        <v>61746</v>
      </c>
      <c r="D24" s="21"/>
      <c r="E24" s="21" t="s">
        <v>119</v>
      </c>
      <c r="F24" s="31"/>
      <c r="G24" s="31"/>
      <c r="H24" s="31"/>
      <c r="I24" s="31"/>
      <c r="J24" s="31"/>
      <c r="K24" s="31"/>
    </row>
    <row r="25" spans="1:11" ht="15.75" customHeight="1" x14ac:dyDescent="0.2">
      <c r="A25" s="31"/>
      <c r="B25" s="21" t="s">
        <v>50</v>
      </c>
      <c r="C25" s="27">
        <v>250000</v>
      </c>
      <c r="D25" s="21"/>
      <c r="E25" s="21" t="s">
        <v>51</v>
      </c>
      <c r="F25" s="31"/>
      <c r="G25" s="31"/>
      <c r="H25" s="31"/>
      <c r="I25" s="31"/>
      <c r="J25" s="31"/>
      <c r="K25" s="31"/>
    </row>
    <row r="26" spans="1:11" ht="15.75" customHeight="1" x14ac:dyDescent="0.2">
      <c r="A26" s="31"/>
      <c r="B26" s="31"/>
      <c r="C26" s="51"/>
      <c r="D26" s="31"/>
      <c r="E26" s="31"/>
      <c r="F26" s="31"/>
      <c r="G26" s="31"/>
      <c r="H26" s="31"/>
      <c r="I26" s="31"/>
      <c r="J26" s="31"/>
      <c r="K26" s="31"/>
    </row>
    <row r="27" spans="1:11" ht="15.75" customHeight="1" x14ac:dyDescent="0.2">
      <c r="A27" s="31"/>
      <c r="B27" s="21" t="s">
        <v>0</v>
      </c>
      <c r="C27" s="27">
        <f>SUM(C4:C25)</f>
        <v>9825000</v>
      </c>
      <c r="D27" s="31"/>
      <c r="E27" s="31"/>
      <c r="F27" s="31"/>
      <c r="G27" s="31"/>
      <c r="H27" s="31"/>
      <c r="I27" s="31"/>
      <c r="J27" s="31"/>
      <c r="K27" s="3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25570-B131-A546-AB8D-19A0B295BDA7}">
  <dimension ref="A1:G30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0.5" customWidth="1"/>
    <col min="6" max="6" width="13.83203125" customWidth="1"/>
    <col min="7" max="7" width="9.33203125" customWidth="1"/>
  </cols>
  <sheetData>
    <row r="1" spans="1:7" x14ac:dyDescent="0.2">
      <c r="A1" s="1"/>
      <c r="B1" s="1"/>
      <c r="C1" s="1"/>
      <c r="D1" s="1"/>
      <c r="E1" s="1"/>
      <c r="F1" s="1"/>
      <c r="G1" s="1"/>
    </row>
    <row r="2" spans="1:7" x14ac:dyDescent="0.2">
      <c r="A2" s="1"/>
      <c r="B2" s="1"/>
      <c r="C2" s="1"/>
      <c r="D2" s="1"/>
      <c r="E2" s="1"/>
      <c r="F2" s="1"/>
      <c r="G2" s="1"/>
    </row>
    <row r="3" spans="1:7" x14ac:dyDescent="0.2">
      <c r="A3" s="1"/>
      <c r="B3" s="1"/>
      <c r="C3" s="1"/>
      <c r="D3" s="1"/>
      <c r="E3" s="1"/>
      <c r="F3" s="1"/>
      <c r="G3" s="1"/>
    </row>
    <row r="4" spans="1:7" ht="15.5" customHeight="1" x14ac:dyDescent="0.2">
      <c r="A4" s="1"/>
      <c r="B4" s="32" t="s">
        <v>129</v>
      </c>
      <c r="C4" s="32"/>
      <c r="D4" s="32"/>
      <c r="E4" s="32"/>
      <c r="F4" s="32"/>
      <c r="G4" s="32"/>
    </row>
    <row r="5" spans="1:7" ht="16.25" customHeight="1" thickBot="1" x14ac:dyDescent="0.25">
      <c r="A5" s="1"/>
      <c r="B5" s="32" t="s">
        <v>130</v>
      </c>
      <c r="C5" s="32"/>
      <c r="D5" s="32"/>
      <c r="E5" s="32"/>
      <c r="F5" s="32"/>
      <c r="G5" s="32"/>
    </row>
    <row r="6" spans="1:7" ht="13.75" customHeight="1" x14ac:dyDescent="0.2">
      <c r="A6" s="1"/>
      <c r="B6" s="1"/>
      <c r="C6" s="38" t="s">
        <v>82</v>
      </c>
      <c r="D6" s="40" t="s">
        <v>26</v>
      </c>
      <c r="E6" s="10"/>
      <c r="F6" s="38" t="s">
        <v>53</v>
      </c>
      <c r="G6" s="48"/>
    </row>
    <row r="7" spans="1:7" x14ac:dyDescent="0.2">
      <c r="A7" s="1"/>
      <c r="B7" s="1"/>
      <c r="C7" s="45" t="s">
        <v>54</v>
      </c>
      <c r="D7" s="4" t="s">
        <v>55</v>
      </c>
      <c r="E7" s="10"/>
      <c r="F7" s="45" t="s">
        <v>58</v>
      </c>
      <c r="G7" s="64" t="s">
        <v>59</v>
      </c>
    </row>
    <row r="8" spans="1:7" ht="13.75" customHeight="1" thickBot="1" x14ac:dyDescent="0.25">
      <c r="A8" s="1"/>
      <c r="B8" s="1"/>
      <c r="C8" s="39" t="s">
        <v>60</v>
      </c>
      <c r="D8" s="41" t="s">
        <v>118</v>
      </c>
      <c r="E8" s="10"/>
      <c r="F8" s="39" t="s">
        <v>60</v>
      </c>
      <c r="G8" s="65" t="s">
        <v>63</v>
      </c>
    </row>
    <row r="9" spans="1:7" x14ac:dyDescent="0.2">
      <c r="A9" s="1"/>
      <c r="B9" s="58" t="s">
        <v>64</v>
      </c>
      <c r="C9" s="44"/>
      <c r="D9" s="44"/>
      <c r="E9" s="42"/>
      <c r="F9" s="44"/>
      <c r="G9" s="47"/>
    </row>
    <row r="10" spans="1:7" x14ac:dyDescent="0.2">
      <c r="A10" s="1"/>
      <c r="B10" s="34" t="s">
        <v>8</v>
      </c>
      <c r="C10" s="9">
        <f>'Detailed Cap Table'!C4</f>
        <v>3600000</v>
      </c>
      <c r="D10" s="10"/>
      <c r="E10" s="10"/>
      <c r="F10" s="11">
        <f>C10</f>
        <v>3600000</v>
      </c>
      <c r="G10" s="53">
        <f>F10/$F$21</f>
        <v>0.36959987630724139</v>
      </c>
    </row>
    <row r="11" spans="1:7" x14ac:dyDescent="0.2">
      <c r="A11" s="1"/>
      <c r="B11" s="34" t="s">
        <v>9</v>
      </c>
      <c r="C11" s="9">
        <f>'Detailed Cap Table'!C5</f>
        <v>3600000</v>
      </c>
      <c r="D11" s="10"/>
      <c r="E11" s="10"/>
      <c r="F11" s="11">
        <f>C11</f>
        <v>3600000</v>
      </c>
      <c r="G11" s="53">
        <f>F11/$F$21</f>
        <v>0.36959987630724139</v>
      </c>
    </row>
    <row r="12" spans="1:7" x14ac:dyDescent="0.2">
      <c r="A12" s="1"/>
      <c r="B12" s="34" t="s">
        <v>85</v>
      </c>
      <c r="C12" s="9">
        <f>'Detailed Cap Table'!C6+'Detailed Cap Table'!C7+'Detailed Cap Table'!C8+'Detailed Cap Table'!C9+'Detailed Cap Table'!C10+'Detailed Cap Table'!F19+'Detailed Cap Table'!F20</f>
        <v>1450415</v>
      </c>
      <c r="D12" s="10"/>
      <c r="E12" s="10"/>
      <c r="F12" s="11">
        <f>C12</f>
        <v>1450415</v>
      </c>
      <c r="G12" s="53">
        <f>F12/$F$21</f>
        <v>0.14890922349837987</v>
      </c>
    </row>
    <row r="13" spans="1:7" x14ac:dyDescent="0.2">
      <c r="A13" s="1"/>
      <c r="B13" s="34" t="s">
        <v>131</v>
      </c>
      <c r="C13" s="9">
        <f>SUM('Detailed Cap Table'!D4:D20)+SUM('Detailed Cap Table'!E4:E20)</f>
        <v>1024743</v>
      </c>
      <c r="D13" s="10"/>
      <c r="E13" s="10"/>
      <c r="F13" s="11">
        <f>C13</f>
        <v>1024743</v>
      </c>
      <c r="G13" s="53">
        <f>F13/$F$21</f>
        <v>0.10520691279075318</v>
      </c>
    </row>
    <row r="14" spans="1:7" x14ac:dyDescent="0.2">
      <c r="A14" s="1"/>
      <c r="B14" s="34" t="s">
        <v>86</v>
      </c>
      <c r="C14" s="60">
        <f>'Detailed Cap Table'!D21</f>
        <v>65105</v>
      </c>
      <c r="D14" s="43"/>
      <c r="E14" s="43"/>
      <c r="F14" s="61">
        <f>C14</f>
        <v>65105</v>
      </c>
      <c r="G14" s="62">
        <f>F14/$F$21</f>
        <v>6.6841110963841528E-3</v>
      </c>
    </row>
    <row r="15" spans="1:7" x14ac:dyDescent="0.2">
      <c r="A15" s="1"/>
      <c r="B15" s="35" t="s">
        <v>65</v>
      </c>
      <c r="C15" s="12">
        <f>SUM(C10:C14)</f>
        <v>9740263</v>
      </c>
      <c r="D15" s="4"/>
      <c r="E15" s="4"/>
      <c r="F15" s="12">
        <f>SUM(F10:F14)</f>
        <v>9740263</v>
      </c>
      <c r="G15" s="54">
        <f>SUM(G10:G14)</f>
        <v>1</v>
      </c>
    </row>
    <row r="16" spans="1:7" x14ac:dyDescent="0.2">
      <c r="A16" s="1"/>
      <c r="B16" s="35" t="s">
        <v>132</v>
      </c>
      <c r="C16" s="11"/>
      <c r="D16" s="10"/>
      <c r="E16" s="10"/>
      <c r="F16" s="11"/>
      <c r="G16" s="53"/>
    </row>
    <row r="17" spans="1:7" x14ac:dyDescent="0.2">
      <c r="A17" s="1"/>
      <c r="B17" s="34" t="s">
        <v>42</v>
      </c>
      <c r="C17" s="11"/>
      <c r="D17" s="13">
        <f>'SAFE Investments'!C6+'SAFE Investments'!C7+'SAFE Investments'!C8+'SAFE Investments'!C15+'SAFE Investments'!C16+'SAFE Investments'!C17+'SAFE Investments'!C21+'SAFE Investments'!C24</f>
        <v>8000000</v>
      </c>
      <c r="E17" s="10"/>
      <c r="F17" s="11">
        <f>C17</f>
        <v>0</v>
      </c>
      <c r="G17" s="53">
        <f>F17/$F$21</f>
        <v>0</v>
      </c>
    </row>
    <row r="18" spans="1:7" x14ac:dyDescent="0.2">
      <c r="A18" s="1"/>
      <c r="B18" s="34" t="s">
        <v>87</v>
      </c>
      <c r="C18" s="11"/>
      <c r="D18" s="13">
        <f>'SAFE Investments'!C27-D17</f>
        <v>1825000</v>
      </c>
      <c r="E18" s="10"/>
      <c r="F18" s="11">
        <f>C18</f>
        <v>0</v>
      </c>
      <c r="G18" s="53">
        <f>F18/$F$21</f>
        <v>0</v>
      </c>
    </row>
    <row r="19" spans="1:7" x14ac:dyDescent="0.2">
      <c r="A19" s="1"/>
      <c r="B19" s="34"/>
      <c r="C19" s="11"/>
      <c r="D19" s="14"/>
      <c r="E19" s="10"/>
      <c r="F19" s="11"/>
      <c r="G19" s="53"/>
    </row>
    <row r="20" spans="1:7" x14ac:dyDescent="0.2">
      <c r="A20" s="1"/>
      <c r="B20" s="34"/>
      <c r="C20" s="11"/>
      <c r="D20" s="14"/>
      <c r="E20" s="10"/>
      <c r="F20" s="11"/>
      <c r="G20" s="53"/>
    </row>
    <row r="21" spans="1:7" ht="17" thickBot="1" x14ac:dyDescent="0.25">
      <c r="A21" s="1"/>
      <c r="B21" s="55" t="s">
        <v>69</v>
      </c>
      <c r="C21" s="18">
        <f>C15</f>
        <v>9740263</v>
      </c>
      <c r="D21" s="19">
        <f>SUM(D17:D18)</f>
        <v>9825000</v>
      </c>
      <c r="E21" s="20"/>
      <c r="F21" s="18">
        <f>F15</f>
        <v>9740263</v>
      </c>
      <c r="G21" s="63">
        <f>SUM(G10:G14)</f>
        <v>1</v>
      </c>
    </row>
    <row r="22" spans="1:7" ht="13.75" customHeight="1" x14ac:dyDescent="0.2">
      <c r="A22" s="1"/>
      <c r="B22" s="1"/>
      <c r="C22" s="10"/>
      <c r="D22" s="10"/>
      <c r="E22" s="10"/>
      <c r="F22" s="10"/>
      <c r="G22" s="10"/>
    </row>
    <row r="23" spans="1:7" ht="13.75" customHeight="1" x14ac:dyDescent="0.2">
      <c r="A23" s="1"/>
      <c r="B23" s="1" t="s">
        <v>133</v>
      </c>
      <c r="C23" s="15">
        <f>D24/C25</f>
        <v>5.1333316153783528</v>
      </c>
      <c r="D23" s="10"/>
      <c r="E23" s="10"/>
      <c r="F23" s="10"/>
      <c r="G23" s="10"/>
    </row>
    <row r="24" spans="1:7" x14ac:dyDescent="0.2">
      <c r="A24" s="1"/>
      <c r="B24" s="1" t="s">
        <v>76</v>
      </c>
      <c r="C24" s="10"/>
      <c r="D24" s="26">
        <v>50000000</v>
      </c>
      <c r="E24" s="10"/>
      <c r="F24" s="10"/>
      <c r="G24" s="10"/>
    </row>
    <row r="25" spans="1:7" ht="13.75" customHeight="1" x14ac:dyDescent="0.2">
      <c r="A25" s="1"/>
      <c r="B25" s="1" t="s">
        <v>134</v>
      </c>
      <c r="C25" s="11">
        <f>F21</f>
        <v>9740263</v>
      </c>
      <c r="D25" s="10"/>
      <c r="E25" s="10"/>
      <c r="F25" s="10"/>
      <c r="G25" s="10"/>
    </row>
    <row r="26" spans="1:7" x14ac:dyDescent="0.2">
      <c r="A26" s="1"/>
      <c r="B26" s="1"/>
      <c r="C26" s="1"/>
      <c r="D26" s="1"/>
      <c r="E26" s="1"/>
      <c r="F26" s="1"/>
      <c r="G26" s="1"/>
    </row>
    <row r="27" spans="1:7" x14ac:dyDescent="0.2">
      <c r="A27" s="1"/>
      <c r="B27" s="1"/>
      <c r="C27" s="1"/>
      <c r="D27" s="1"/>
      <c r="E27" s="1"/>
      <c r="F27" s="1"/>
      <c r="G27" s="1"/>
    </row>
    <row r="28" spans="1:7" x14ac:dyDescent="0.2">
      <c r="A28" s="1"/>
      <c r="B28" s="1"/>
      <c r="C28" s="1"/>
      <c r="D28" s="1"/>
      <c r="E28" s="1"/>
      <c r="F28" s="1"/>
      <c r="G28" s="1"/>
    </row>
    <row r="29" spans="1:7" x14ac:dyDescent="0.2">
      <c r="A29" s="1"/>
      <c r="B29" s="1"/>
      <c r="C29" s="1"/>
      <c r="D29" s="1"/>
      <c r="E29" s="1"/>
      <c r="F29" s="1"/>
      <c r="G29" s="1"/>
    </row>
    <row r="30" spans="1:7" x14ac:dyDescent="0.2">
      <c r="A30" s="1"/>
      <c r="B30" s="1"/>
      <c r="C30" s="1"/>
      <c r="D30" s="1"/>
      <c r="E30" s="1"/>
      <c r="F30" s="1"/>
      <c r="G3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CBE17-48C8-184C-81EE-49F5A5033C50}">
  <dimension ref="A1:O35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0.5" customWidth="1"/>
    <col min="7" max="7" width="13.83203125" customWidth="1"/>
    <col min="8" max="8" width="0.5" customWidth="1"/>
    <col min="9" max="9" width="15.5" customWidth="1"/>
    <col min="10" max="10" width="16.83203125" customWidth="1"/>
    <col min="11" max="11" width="0.5" customWidth="1"/>
    <col min="12" max="12" width="13.83203125" customWidth="1"/>
    <col min="13" max="13" width="0.5" customWidth="1"/>
    <col min="14" max="14" width="14.33203125" customWidth="1"/>
    <col min="15" max="15" width="9.33203125" customWidth="1"/>
  </cols>
  <sheetData>
    <row r="1" spans="1:15" x14ac:dyDescent="0.2">
      <c r="A1" s="1"/>
      <c r="B1" s="32" t="s">
        <v>135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1"/>
    </row>
    <row r="2" spans="1:15" ht="15.5" customHeight="1" x14ac:dyDescent="0.2">
      <c r="A2" s="1"/>
      <c r="B2" s="32" t="s">
        <v>136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1"/>
    </row>
    <row r="3" spans="1:15" ht="16.25" customHeight="1" thickBo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3.75" customHeight="1" thickBot="1" x14ac:dyDescent="0.25">
      <c r="A4" s="1"/>
      <c r="B4" s="1"/>
      <c r="C4" s="38" t="s">
        <v>82</v>
      </c>
      <c r="D4" s="40" t="s">
        <v>26</v>
      </c>
      <c r="E4" s="48"/>
      <c r="F4" s="10"/>
      <c r="G4" s="40" t="s">
        <v>83</v>
      </c>
      <c r="H4" s="10"/>
      <c r="I4" s="38" t="s">
        <v>52</v>
      </c>
      <c r="J4" s="48"/>
      <c r="K4" s="10"/>
      <c r="L4" s="40" t="s">
        <v>83</v>
      </c>
      <c r="M4" s="10"/>
      <c r="N4" s="38" t="s">
        <v>53</v>
      </c>
      <c r="O4" s="48"/>
    </row>
    <row r="5" spans="1:15" x14ac:dyDescent="0.2">
      <c r="A5" s="1"/>
      <c r="B5" s="1"/>
      <c r="C5" s="38" t="s">
        <v>54</v>
      </c>
      <c r="D5" s="40" t="s">
        <v>55</v>
      </c>
      <c r="E5" s="48" t="s">
        <v>56</v>
      </c>
      <c r="F5" s="10"/>
      <c r="G5" s="46" t="s">
        <v>57</v>
      </c>
      <c r="H5" s="10"/>
      <c r="I5" s="38" t="s">
        <v>55</v>
      </c>
      <c r="J5" s="48" t="s">
        <v>56</v>
      </c>
      <c r="K5" s="10"/>
      <c r="L5" s="46" t="s">
        <v>57</v>
      </c>
      <c r="M5" s="10"/>
      <c r="N5" s="38" t="s">
        <v>58</v>
      </c>
      <c r="O5" s="48" t="s">
        <v>59</v>
      </c>
    </row>
    <row r="6" spans="1:15" ht="13.75" customHeight="1" thickBot="1" x14ac:dyDescent="0.25">
      <c r="A6" s="1"/>
      <c r="B6" s="1"/>
      <c r="C6" s="45" t="s">
        <v>60</v>
      </c>
      <c r="D6" s="45" t="s">
        <v>118</v>
      </c>
      <c r="E6" s="64" t="s">
        <v>61</v>
      </c>
      <c r="F6" s="10"/>
      <c r="G6" s="46" t="s">
        <v>84</v>
      </c>
      <c r="H6" s="10"/>
      <c r="I6" s="45" t="s">
        <v>118</v>
      </c>
      <c r="J6" s="64" t="s">
        <v>60</v>
      </c>
      <c r="K6" s="10"/>
      <c r="L6" s="46" t="s">
        <v>62</v>
      </c>
      <c r="M6" s="10"/>
      <c r="N6" s="45" t="s">
        <v>60</v>
      </c>
      <c r="O6" s="64" t="s">
        <v>63</v>
      </c>
    </row>
    <row r="7" spans="1:15" x14ac:dyDescent="0.2">
      <c r="A7" s="1"/>
      <c r="B7" s="58" t="s">
        <v>64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59"/>
    </row>
    <row r="8" spans="1:15" x14ac:dyDescent="0.2">
      <c r="A8" s="1"/>
      <c r="B8" s="34" t="s">
        <v>8</v>
      </c>
      <c r="C8" s="9">
        <f>PreA!C10</f>
        <v>3600000</v>
      </c>
      <c r="D8" s="10"/>
      <c r="E8" s="11"/>
      <c r="F8" s="10"/>
      <c r="G8" s="11"/>
      <c r="H8" s="10"/>
      <c r="I8" s="10"/>
      <c r="J8" s="11"/>
      <c r="K8" s="10"/>
      <c r="L8" s="11"/>
      <c r="M8" s="10"/>
      <c r="N8" s="11">
        <f>C8+E8+G8+J8+L8</f>
        <v>3600000</v>
      </c>
      <c r="O8" s="53">
        <f ca="1">N8/$N$21</f>
        <v>0.19407533292814716</v>
      </c>
    </row>
    <row r="9" spans="1:15" x14ac:dyDescent="0.2">
      <c r="A9" s="1"/>
      <c r="B9" s="34" t="s">
        <v>9</v>
      </c>
      <c r="C9" s="9">
        <f>PreA!C11</f>
        <v>3600000</v>
      </c>
      <c r="D9" s="10"/>
      <c r="E9" s="11"/>
      <c r="F9" s="10"/>
      <c r="G9" s="11"/>
      <c r="H9" s="10"/>
      <c r="I9" s="10"/>
      <c r="J9" s="11"/>
      <c r="K9" s="10"/>
      <c r="L9" s="11"/>
      <c r="M9" s="10"/>
      <c r="N9" s="11">
        <f>C9+E9+G9+J9+L9</f>
        <v>3600000</v>
      </c>
      <c r="O9" s="53">
        <f ca="1">N9/$N$21</f>
        <v>0.19407533292814716</v>
      </c>
    </row>
    <row r="10" spans="1:15" x14ac:dyDescent="0.2">
      <c r="A10" s="1"/>
      <c r="B10" s="34" t="s">
        <v>85</v>
      </c>
      <c r="C10" s="9">
        <f>PreA!C12</f>
        <v>1450415</v>
      </c>
      <c r="D10" s="10"/>
      <c r="E10" s="11"/>
      <c r="F10" s="10"/>
      <c r="G10" s="11"/>
      <c r="H10" s="10"/>
      <c r="I10" s="10"/>
      <c r="J10" s="11"/>
      <c r="K10" s="10"/>
      <c r="L10" s="11"/>
      <c r="M10" s="10"/>
      <c r="N10" s="11">
        <f>C10+E10+G10+J10+L10</f>
        <v>1450415</v>
      </c>
      <c r="O10" s="53">
        <f ca="1">N10/$N$21</f>
        <v>7.8191603891382938E-2</v>
      </c>
    </row>
    <row r="11" spans="1:15" x14ac:dyDescent="0.2">
      <c r="A11" s="1"/>
      <c r="B11" s="34" t="s">
        <v>131</v>
      </c>
      <c r="C11" s="9">
        <f>PreA!C13</f>
        <v>1024743</v>
      </c>
      <c r="D11" s="10"/>
      <c r="E11" s="11"/>
      <c r="F11" s="10"/>
      <c r="G11" s="11"/>
      <c r="H11" s="10"/>
      <c r="I11" s="10"/>
      <c r="J11" s="11"/>
      <c r="K11" s="10"/>
      <c r="L11" s="11"/>
      <c r="M11" s="10"/>
      <c r="N11" s="11">
        <f>C11+E11+G11+J11+L11</f>
        <v>1024743</v>
      </c>
      <c r="O11" s="53">
        <f ca="1">N11/$N$21</f>
        <v>5.5243705247441197E-2</v>
      </c>
    </row>
    <row r="12" spans="1:15" x14ac:dyDescent="0.2">
      <c r="A12" s="1"/>
      <c r="B12" s="34" t="s">
        <v>86</v>
      </c>
      <c r="C12" s="9">
        <f>PreA!C14</f>
        <v>65105</v>
      </c>
      <c r="D12" s="10"/>
      <c r="E12" s="11"/>
      <c r="F12" s="10"/>
      <c r="H12" s="10"/>
      <c r="I12" s="10"/>
      <c r="J12" s="11"/>
      <c r="K12" s="10"/>
      <c r="L12" s="11">
        <f ca="1">ROUND((C31*(C13+E21+J21)-C12)/(1-C31),0)</f>
        <v>1789845</v>
      </c>
      <c r="M12" s="10"/>
      <c r="N12" s="11">
        <f ca="1">C12+E12+G12+J12+L12</f>
        <v>1854950</v>
      </c>
      <c r="O12" s="53">
        <f ca="1">N12/$N$21</f>
        <v>0.10000001078196294</v>
      </c>
    </row>
    <row r="13" spans="1:15" ht="13.5" customHeight="1" x14ac:dyDescent="0.2">
      <c r="A13" s="1"/>
      <c r="B13" s="35" t="s">
        <v>65</v>
      </c>
      <c r="C13" s="16">
        <f>SUM(C8:C12)</f>
        <v>9740263</v>
      </c>
      <c r="D13" s="4">
        <f>SUM(D8:D12)</f>
        <v>0</v>
      </c>
      <c r="E13" s="12">
        <f>SUM(E8:E12)</f>
        <v>0</v>
      </c>
      <c r="F13" s="4"/>
      <c r="G13" s="16">
        <f>SUM(G8:G12)</f>
        <v>0</v>
      </c>
      <c r="H13" s="4"/>
      <c r="I13" s="4">
        <f>SUM(I8:I12)</f>
        <v>0</v>
      </c>
      <c r="J13" s="12">
        <f>SUM(J8:J12)</f>
        <v>0</v>
      </c>
      <c r="K13" s="4"/>
      <c r="L13" s="16">
        <f ca="1">SUM(L8:L12)</f>
        <v>1789845</v>
      </c>
      <c r="M13" s="4"/>
      <c r="N13" s="16">
        <f ca="1">SUM(N8:N12)</f>
        <v>11530108</v>
      </c>
      <c r="O13" s="68">
        <f ca="1">N13/$N$21</f>
        <v>0.62158598577708135</v>
      </c>
    </row>
    <row r="14" spans="1:15" x14ac:dyDescent="0.2">
      <c r="A14" s="1"/>
      <c r="B14" s="35" t="s">
        <v>66</v>
      </c>
      <c r="C14" s="11"/>
      <c r="D14" s="10"/>
      <c r="E14" s="11"/>
      <c r="F14" s="10"/>
      <c r="G14" s="11"/>
      <c r="H14" s="10"/>
      <c r="I14" s="10"/>
      <c r="J14" s="11"/>
      <c r="K14" s="10"/>
      <c r="L14" s="11"/>
      <c r="M14" s="10"/>
      <c r="N14" s="11"/>
      <c r="O14" s="53"/>
    </row>
    <row r="15" spans="1:15" x14ac:dyDescent="0.2">
      <c r="A15" s="1"/>
      <c r="B15" s="34" t="s">
        <v>42</v>
      </c>
      <c r="C15" s="11"/>
      <c r="D15" s="13">
        <f>PreA!D17</f>
        <v>8000000</v>
      </c>
      <c r="E15" s="11">
        <f>IFERROR(ROUND(D15/$E$22,0),0)</f>
        <v>1939567</v>
      </c>
      <c r="F15" s="10"/>
      <c r="G15" s="11"/>
      <c r="H15" s="10"/>
      <c r="I15" s="26">
        <v>5000000</v>
      </c>
      <c r="J15" s="11">
        <f ca="1">IFERROR(ROUND(I15/$J$22,0),0)</f>
        <v>1159340</v>
      </c>
      <c r="K15" s="10"/>
      <c r="L15" s="11"/>
      <c r="M15" s="10"/>
      <c r="N15" s="11">
        <f ca="1">C15+E15+G15+J15+L15</f>
        <v>3098907</v>
      </c>
      <c r="O15" s="53">
        <f ca="1">N15/$N$21</f>
        <v>0.16706150214954604</v>
      </c>
    </row>
    <row r="16" spans="1:15" x14ac:dyDescent="0.2">
      <c r="A16" s="1"/>
      <c r="B16" s="34" t="s">
        <v>87</v>
      </c>
      <c r="C16" s="11"/>
      <c r="D16" s="13">
        <f>PreA!D18</f>
        <v>1825000</v>
      </c>
      <c r="E16" s="11">
        <f>IFERROR(ROUND(D16/$E$22,0),0)</f>
        <v>442464</v>
      </c>
      <c r="F16" s="10"/>
      <c r="G16" s="11"/>
      <c r="H16" s="10"/>
      <c r="I16" s="14"/>
      <c r="J16" s="11"/>
      <c r="K16" s="10"/>
      <c r="L16" s="11"/>
      <c r="M16" s="10"/>
      <c r="N16" s="11">
        <f>C16+E16+G16+J16+L16</f>
        <v>442464</v>
      </c>
      <c r="O16" s="53">
        <f ca="1">N16/$N$21</f>
        <v>2.3853152252422141E-2</v>
      </c>
    </row>
    <row r="17" spans="1:15" x14ac:dyDescent="0.2">
      <c r="A17" s="1"/>
      <c r="B17" s="34" t="s">
        <v>67</v>
      </c>
      <c r="C17" s="11"/>
      <c r="D17" s="14"/>
      <c r="E17" s="11"/>
      <c r="F17" s="10"/>
      <c r="G17" s="11"/>
      <c r="H17" s="10"/>
      <c r="I17" s="26">
        <v>12000000</v>
      </c>
      <c r="J17" s="11">
        <f ca="1">IFERROR(ROUND(I17/$J$22,0),0)</f>
        <v>2782415</v>
      </c>
      <c r="K17" s="10"/>
      <c r="L17" s="11"/>
      <c r="M17" s="10"/>
      <c r="N17" s="11">
        <f ca="1">C17+E17+G17+J17+L17</f>
        <v>2782415</v>
      </c>
      <c r="O17" s="53">
        <f ca="1">N17/$N$21</f>
        <v>0.14999947707479738</v>
      </c>
    </row>
    <row r="18" spans="1:15" x14ac:dyDescent="0.2">
      <c r="A18" s="1"/>
      <c r="B18" s="34" t="s">
        <v>68</v>
      </c>
      <c r="C18" s="11"/>
      <c r="D18" s="14"/>
      <c r="E18" s="11"/>
      <c r="F18" s="10"/>
      <c r="G18" s="11"/>
      <c r="H18" s="10"/>
      <c r="I18" s="14">
        <f>I21-I15-I17</f>
        <v>3000000</v>
      </c>
      <c r="J18" s="11">
        <f ca="1">IFERROR(ROUND(I18/$J$22,0),0)</f>
        <v>695604</v>
      </c>
      <c r="K18" s="10"/>
      <c r="L18" s="11"/>
      <c r="M18" s="10"/>
      <c r="N18" s="11">
        <f ca="1">C18+E18+G18+J18+L18</f>
        <v>695604</v>
      </c>
      <c r="O18" s="53">
        <f ca="1">N18/$N$21</f>
        <v>3.749988274615302E-2</v>
      </c>
    </row>
    <row r="19" spans="1:15" x14ac:dyDescent="0.2">
      <c r="A19" s="1"/>
      <c r="B19" s="34"/>
      <c r="C19" s="11"/>
      <c r="D19" s="14"/>
      <c r="E19" s="11"/>
      <c r="F19" s="10"/>
      <c r="G19" s="11"/>
      <c r="H19" s="10"/>
      <c r="I19" s="14"/>
      <c r="J19" s="11"/>
      <c r="K19" s="10"/>
      <c r="L19" s="11"/>
      <c r="M19" s="10"/>
      <c r="N19" s="11"/>
      <c r="O19" s="53"/>
    </row>
    <row r="20" spans="1:15" x14ac:dyDescent="0.2">
      <c r="A20" s="1"/>
      <c r="B20" s="34"/>
      <c r="C20" s="11"/>
      <c r="D20" s="14"/>
      <c r="E20" s="11"/>
      <c r="F20" s="10"/>
      <c r="G20" s="11"/>
      <c r="H20" s="10"/>
      <c r="I20" s="14"/>
      <c r="J20" s="11"/>
      <c r="K20" s="10"/>
      <c r="L20" s="11"/>
      <c r="M20" s="10"/>
      <c r="N20" s="11"/>
      <c r="O20" s="53"/>
    </row>
    <row r="21" spans="1:15" x14ac:dyDescent="0.2">
      <c r="A21" s="1"/>
      <c r="B21" s="35" t="s">
        <v>69</v>
      </c>
      <c r="C21" s="18">
        <f>C13+SUM(C15:C18)</f>
        <v>9740263</v>
      </c>
      <c r="D21" s="19">
        <f>D13+SUM(D15:D18)</f>
        <v>9825000</v>
      </c>
      <c r="E21" s="18">
        <f>E13+SUM(E15:E18)</f>
        <v>2382031</v>
      </c>
      <c r="F21" s="20"/>
      <c r="G21" s="18">
        <f>G13+SUM(G15:G18)</f>
        <v>0</v>
      </c>
      <c r="H21" s="20"/>
      <c r="I21" s="69">
        <v>20000000</v>
      </c>
      <c r="J21" s="18">
        <f ca="1">SUM(J15:J18)</f>
        <v>4637359</v>
      </c>
      <c r="K21" s="20"/>
      <c r="L21" s="18">
        <f ca="1">L13+SUM(L15:L18)</f>
        <v>1789845</v>
      </c>
      <c r="M21" s="20"/>
      <c r="N21" s="18">
        <f ca="1">N13+SUM(N15:N18)</f>
        <v>18549498</v>
      </c>
      <c r="O21" s="63">
        <f ca="1">SUM(O13,O15:O18)</f>
        <v>1</v>
      </c>
    </row>
    <row r="22" spans="1:15" ht="13.75" customHeight="1" x14ac:dyDescent="0.2">
      <c r="A22" s="1"/>
      <c r="B22" s="34" t="s">
        <v>70</v>
      </c>
      <c r="C22" s="10"/>
      <c r="D22" s="10"/>
      <c r="E22" s="15">
        <f>(C28-D21)/PreA!F21</f>
        <v>4.1246319529565065</v>
      </c>
      <c r="F22" s="10"/>
      <c r="G22" s="10"/>
      <c r="H22" s="10"/>
      <c r="I22" s="10"/>
      <c r="J22" s="15">
        <f ca="1">IFERROR(ROUND(J23/(C13+E21+L12),4),0)</f>
        <v>4.3128000000000002</v>
      </c>
      <c r="K22" s="10"/>
      <c r="L22" s="10"/>
      <c r="M22" s="10"/>
      <c r="N22" s="10"/>
      <c r="O22" s="47"/>
    </row>
    <row r="23" spans="1:15" ht="13.75" customHeight="1" x14ac:dyDescent="0.2">
      <c r="A23" s="1"/>
      <c r="B23" s="34" t="s">
        <v>71</v>
      </c>
      <c r="C23" s="10"/>
      <c r="D23" s="10"/>
      <c r="E23" s="10"/>
      <c r="F23" s="10"/>
      <c r="G23" s="10"/>
      <c r="H23" s="10"/>
      <c r="I23" s="10"/>
      <c r="J23" s="26">
        <v>60000000</v>
      </c>
      <c r="K23" s="10"/>
      <c r="L23" s="10"/>
      <c r="M23" s="10"/>
      <c r="N23" s="10"/>
      <c r="O23" s="47"/>
    </row>
    <row r="24" spans="1:15" x14ac:dyDescent="0.2">
      <c r="A24" s="1"/>
      <c r="B24" s="34" t="s">
        <v>72</v>
      </c>
      <c r="C24" s="10"/>
      <c r="D24" s="10"/>
      <c r="E24" s="10"/>
      <c r="F24" s="10"/>
      <c r="G24" s="10"/>
      <c r="H24" s="10"/>
      <c r="I24" s="10"/>
      <c r="J24" s="14">
        <f>J23+I21</f>
        <v>80000000</v>
      </c>
      <c r="K24" s="10"/>
      <c r="L24" s="10"/>
      <c r="M24" s="10"/>
      <c r="N24" s="10"/>
      <c r="O24" s="47"/>
    </row>
    <row r="25" spans="1:15" ht="13.75" customHeight="1" thickBot="1" x14ac:dyDescent="0.25">
      <c r="A25" s="1"/>
      <c r="B25" s="36" t="s">
        <v>137</v>
      </c>
      <c r="C25" s="49"/>
      <c r="D25" s="49"/>
      <c r="E25" s="67">
        <f ca="1">E21/(E21+C13+L12)</f>
        <v>0.17121960900476915</v>
      </c>
      <c r="F25" s="49"/>
      <c r="G25" s="49"/>
      <c r="H25" s="49"/>
      <c r="I25" s="49"/>
      <c r="J25" s="67">
        <f ca="1">J21/N21</f>
        <v>0.24999916439787212</v>
      </c>
      <c r="K25" s="49"/>
      <c r="L25" s="49"/>
      <c r="M25" s="49"/>
      <c r="N25" s="49"/>
      <c r="O25" s="50"/>
    </row>
    <row r="26" spans="1:1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2">
      <c r="A27" s="1"/>
      <c r="B27" s="3" t="s">
        <v>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2">
      <c r="A28" s="1"/>
      <c r="B28" s="1" t="s">
        <v>76</v>
      </c>
      <c r="C28" s="25">
        <v>50000000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">
      <c r="A29" s="1"/>
      <c r="B29" s="1" t="s">
        <v>71</v>
      </c>
      <c r="C29" s="6">
        <f>J23</f>
        <v>60000000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2">
      <c r="A30" s="1"/>
      <c r="B30" s="1" t="s">
        <v>74</v>
      </c>
      <c r="C30" s="6">
        <f>I21</f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2">
      <c r="A31" s="1"/>
      <c r="B31" s="1" t="s">
        <v>138</v>
      </c>
      <c r="C31" s="29">
        <v>0.1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2">
      <c r="A32" s="1"/>
      <c r="B32" s="1" t="s">
        <v>75</v>
      </c>
      <c r="C32" s="6">
        <f>I17</f>
        <v>12000000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2">
      <c r="A33" s="1"/>
      <c r="B33" s="1" t="s">
        <v>139</v>
      </c>
      <c r="C33" s="6">
        <f>I15</f>
        <v>5000000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x14ac:dyDescent="0.2">
      <c r="A34" s="1"/>
      <c r="B34" s="1" t="s">
        <v>68</v>
      </c>
      <c r="C34" s="6">
        <f>I18</f>
        <v>3000000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087C-AF9C-134D-862F-ACFABDF57E2D}">
  <dimension ref="A1:T40"/>
  <sheetViews>
    <sheetView showGridLines="0" workbookViewId="0"/>
  </sheetViews>
  <sheetFormatPr baseColWidth="10" defaultRowHeight="16" x14ac:dyDescent="0.2"/>
  <cols>
    <col min="1" max="1" width="6.33203125" customWidth="1"/>
    <col min="2" max="2" width="33.83203125" customWidth="1"/>
    <col min="3" max="3" width="14.33203125" customWidth="1"/>
    <col min="4" max="4" width="11.83203125" customWidth="1"/>
    <col min="5" max="5" width="12.5" customWidth="1"/>
    <col min="6" max="6" width="0.5" customWidth="1"/>
    <col min="7" max="7" width="11.83203125" customWidth="1"/>
    <col min="8" max="8" width="0.5" customWidth="1"/>
    <col min="9" max="9" width="14.33203125" customWidth="1"/>
    <col min="10" max="10" width="15.5" customWidth="1"/>
    <col min="11" max="11" width="0.5" customWidth="1"/>
    <col min="12" max="12" width="11.83203125" customWidth="1"/>
    <col min="13" max="13" width="0.5" customWidth="1"/>
    <col min="14" max="14" width="15.5" customWidth="1"/>
    <col min="15" max="15" width="16.83203125" customWidth="1"/>
    <col min="16" max="16" width="0.5" customWidth="1"/>
    <col min="17" max="17" width="11.83203125" customWidth="1"/>
    <col min="18" max="18" width="0.5" customWidth="1"/>
    <col min="19" max="19" width="13" customWidth="1"/>
    <col min="20" max="20" width="8" customWidth="1"/>
  </cols>
  <sheetData>
    <row r="1" spans="1:20" x14ac:dyDescent="0.2">
      <c r="A1" s="1"/>
      <c r="B1" s="32" t="s">
        <v>135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1"/>
    </row>
    <row r="2" spans="1:20" ht="15.5" customHeight="1" x14ac:dyDescent="0.2">
      <c r="A2" s="1"/>
      <c r="B2" s="32" t="s">
        <v>140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1"/>
    </row>
    <row r="3" spans="1:20" ht="16.25" customHeight="1" thickBo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ht="13.75" customHeight="1" thickBot="1" x14ac:dyDescent="0.25">
      <c r="A4" s="1"/>
      <c r="B4" s="1"/>
      <c r="C4" s="66" t="s">
        <v>82</v>
      </c>
      <c r="D4" s="33" t="s">
        <v>26</v>
      </c>
      <c r="E4" s="48"/>
      <c r="F4" s="4"/>
      <c r="G4" s="40" t="s">
        <v>83</v>
      </c>
      <c r="H4" s="4"/>
      <c r="I4" s="66" t="s">
        <v>52</v>
      </c>
      <c r="J4" s="48"/>
      <c r="K4" s="4"/>
      <c r="L4" s="40" t="s">
        <v>83</v>
      </c>
      <c r="M4" s="4"/>
      <c r="N4" s="66" t="s">
        <v>77</v>
      </c>
      <c r="O4" s="48"/>
      <c r="P4" s="4"/>
      <c r="Q4" s="40" t="s">
        <v>83</v>
      </c>
      <c r="R4" s="4"/>
      <c r="S4" s="66" t="s">
        <v>53</v>
      </c>
      <c r="T4" s="48"/>
    </row>
    <row r="5" spans="1:20" x14ac:dyDescent="0.2">
      <c r="A5" s="1"/>
      <c r="B5" s="1"/>
      <c r="C5" s="45" t="s">
        <v>54</v>
      </c>
      <c r="D5" s="33" t="s">
        <v>55</v>
      </c>
      <c r="E5" s="48" t="s">
        <v>56</v>
      </c>
      <c r="F5" s="4"/>
      <c r="G5" s="46" t="s">
        <v>57</v>
      </c>
      <c r="H5" s="4"/>
      <c r="I5" s="45" t="s">
        <v>55</v>
      </c>
      <c r="J5" s="48" t="s">
        <v>56</v>
      </c>
      <c r="K5" s="4"/>
      <c r="L5" s="46" t="s">
        <v>57</v>
      </c>
      <c r="M5" s="4"/>
      <c r="N5" s="45" t="s">
        <v>55</v>
      </c>
      <c r="O5" s="48" t="s">
        <v>56</v>
      </c>
      <c r="P5" s="4"/>
      <c r="Q5" s="46" t="s">
        <v>57</v>
      </c>
      <c r="R5" s="4"/>
      <c r="S5" s="45" t="s">
        <v>58</v>
      </c>
      <c r="T5" s="48" t="s">
        <v>59</v>
      </c>
    </row>
    <row r="6" spans="1:20" ht="13.75" customHeight="1" thickBot="1" x14ac:dyDescent="0.25">
      <c r="A6" s="1"/>
      <c r="B6" s="1"/>
      <c r="C6" s="45" t="s">
        <v>60</v>
      </c>
      <c r="D6" s="30" t="s">
        <v>118</v>
      </c>
      <c r="E6" s="64" t="s">
        <v>61</v>
      </c>
      <c r="F6" s="4"/>
      <c r="G6" s="46" t="s">
        <v>84</v>
      </c>
      <c r="H6" s="4"/>
      <c r="I6" s="45" t="s">
        <v>118</v>
      </c>
      <c r="J6" s="64" t="s">
        <v>60</v>
      </c>
      <c r="K6" s="4"/>
      <c r="L6" s="46" t="s">
        <v>62</v>
      </c>
      <c r="M6" s="4"/>
      <c r="N6" s="45" t="s">
        <v>118</v>
      </c>
      <c r="O6" s="64" t="s">
        <v>60</v>
      </c>
      <c r="P6" s="4"/>
      <c r="Q6" s="46" t="s">
        <v>78</v>
      </c>
      <c r="R6" s="4"/>
      <c r="S6" s="45" t="s">
        <v>60</v>
      </c>
      <c r="T6" s="64" t="s">
        <v>63</v>
      </c>
    </row>
    <row r="7" spans="1:20" x14ac:dyDescent="0.2">
      <c r="A7" s="1"/>
      <c r="B7" s="58" t="s">
        <v>64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59"/>
    </row>
    <row r="8" spans="1:20" x14ac:dyDescent="0.2">
      <c r="A8" s="1"/>
      <c r="B8" s="34" t="s">
        <v>8</v>
      </c>
      <c r="C8" s="71">
        <f>'Series A'!C8</f>
        <v>3600000</v>
      </c>
      <c r="D8" s="76"/>
      <c r="E8" s="71">
        <f>'Series A'!E8</f>
        <v>0</v>
      </c>
      <c r="F8" s="10"/>
      <c r="G8" s="71">
        <f>'Series A'!G8</f>
        <v>0</v>
      </c>
      <c r="H8" s="10"/>
      <c r="I8" s="76"/>
      <c r="J8" s="71">
        <f>'Series A'!J8</f>
        <v>0</v>
      </c>
      <c r="K8" s="10"/>
      <c r="L8" s="71">
        <f>'Series A'!L8</f>
        <v>0</v>
      </c>
      <c r="M8" s="10"/>
      <c r="N8" s="78"/>
      <c r="O8" s="73"/>
      <c r="P8" s="10"/>
      <c r="Q8" s="73"/>
      <c r="R8" s="10"/>
      <c r="S8" s="73">
        <f>C8+E8+G8+J8+L8+O8+Q8</f>
        <v>3600000</v>
      </c>
      <c r="T8" s="37">
        <f ca="1">S8/$S$22</f>
        <v>0.14814413667317156</v>
      </c>
    </row>
    <row r="9" spans="1:20" x14ac:dyDescent="0.2">
      <c r="A9" s="1"/>
      <c r="B9" s="34" t="s">
        <v>9</v>
      </c>
      <c r="C9" s="71">
        <f>'Series A'!C9</f>
        <v>3600000</v>
      </c>
      <c r="D9" s="76"/>
      <c r="E9" s="71">
        <f>'Series A'!E9</f>
        <v>0</v>
      </c>
      <c r="F9" s="10"/>
      <c r="G9" s="71">
        <f>'Series A'!G9</f>
        <v>0</v>
      </c>
      <c r="H9" s="10"/>
      <c r="I9" s="76"/>
      <c r="J9" s="71">
        <f>'Series A'!J9</f>
        <v>0</v>
      </c>
      <c r="K9" s="10"/>
      <c r="L9" s="71">
        <f>'Series A'!L9</f>
        <v>0</v>
      </c>
      <c r="M9" s="10"/>
      <c r="N9" s="78"/>
      <c r="O9" s="73"/>
      <c r="P9" s="10"/>
      <c r="Q9" s="73"/>
      <c r="R9" s="10"/>
      <c r="S9" s="73">
        <f>C9+E9+G9+J9+L9+O9+Q9</f>
        <v>3600000</v>
      </c>
      <c r="T9" s="37">
        <f ca="1">S9/$S$22</f>
        <v>0.14814413667317156</v>
      </c>
    </row>
    <row r="10" spans="1:20" x14ac:dyDescent="0.2">
      <c r="A10" s="1"/>
      <c r="B10" s="34" t="s">
        <v>85</v>
      </c>
      <c r="C10" s="71">
        <f>'Series A'!C10</f>
        <v>1450415</v>
      </c>
      <c r="D10" s="76"/>
      <c r="E10" s="71">
        <f>'Series A'!E10</f>
        <v>0</v>
      </c>
      <c r="F10" s="10"/>
      <c r="G10" s="71">
        <f>'Series A'!G10</f>
        <v>0</v>
      </c>
      <c r="H10" s="10"/>
      <c r="I10" s="76"/>
      <c r="J10" s="71">
        <f>'Series A'!J10</f>
        <v>0</v>
      </c>
      <c r="K10" s="10"/>
      <c r="L10" s="71">
        <f>'Series A'!L10</f>
        <v>0</v>
      </c>
      <c r="M10" s="10"/>
      <c r="N10" s="78"/>
      <c r="O10" s="73"/>
      <c r="P10" s="10"/>
      <c r="Q10" s="73"/>
      <c r="R10" s="10"/>
      <c r="S10" s="73">
        <f>C10+E10+G10+J10+L10+O10+Q10</f>
        <v>1450415</v>
      </c>
      <c r="T10" s="37">
        <f ca="1">S10/$S$22</f>
        <v>5.9686243886893926E-2</v>
      </c>
    </row>
    <row r="11" spans="1:20" x14ac:dyDescent="0.2">
      <c r="A11" s="1"/>
      <c r="B11" s="34" t="s">
        <v>131</v>
      </c>
      <c r="C11" s="71">
        <f>'Series A'!C11</f>
        <v>1024743</v>
      </c>
      <c r="D11" s="76"/>
      <c r="E11" s="71">
        <f>'Series A'!E11</f>
        <v>0</v>
      </c>
      <c r="F11" s="10"/>
      <c r="G11" s="71">
        <f>'Series A'!G11</f>
        <v>0</v>
      </c>
      <c r="H11" s="10"/>
      <c r="I11" s="76"/>
      <c r="J11" s="71">
        <f>'Series A'!J11</f>
        <v>0</v>
      </c>
      <c r="K11" s="10"/>
      <c r="L11" s="71">
        <f>'Series A'!L11</f>
        <v>0</v>
      </c>
      <c r="M11" s="10"/>
      <c r="N11" s="78"/>
      <c r="O11" s="73"/>
      <c r="P11" s="10"/>
      <c r="Q11" s="73"/>
      <c r="R11" s="10"/>
      <c r="S11" s="73">
        <f>C11+E11+G11+J11+L11+O11+Q11</f>
        <v>1024743</v>
      </c>
      <c r="T11" s="37">
        <f ca="1">S11/$S$22</f>
        <v>4.2169351957465517E-2</v>
      </c>
    </row>
    <row r="12" spans="1:20" x14ac:dyDescent="0.2">
      <c r="A12" s="1"/>
      <c r="B12" s="34" t="s">
        <v>86</v>
      </c>
      <c r="C12" s="71">
        <f>'Series A'!C12</f>
        <v>65105</v>
      </c>
      <c r="D12" s="76"/>
      <c r="E12" s="71">
        <f>'Series A'!E12</f>
        <v>0</v>
      </c>
      <c r="F12" s="10"/>
      <c r="G12" s="71">
        <f>'Series A'!G12</f>
        <v>0</v>
      </c>
      <c r="H12" s="10"/>
      <c r="I12" s="76"/>
      <c r="J12" s="71">
        <f>'Series A'!J12</f>
        <v>0</v>
      </c>
      <c r="K12" s="10"/>
      <c r="L12" s="71">
        <f ca="1">'Series A'!L12</f>
        <v>1789845</v>
      </c>
      <c r="M12" s="10"/>
      <c r="N12" s="78"/>
      <c r="O12" s="73"/>
      <c r="P12" s="10"/>
      <c r="Q12" s="73">
        <f ca="1">ROUND(C34*S22,0)</f>
        <v>1701046</v>
      </c>
      <c r="R12" s="10"/>
      <c r="S12" s="73">
        <f ca="1">C12+E12+G12+J12+L12+O12+Q12</f>
        <v>3555996</v>
      </c>
      <c r="T12" s="37">
        <f ca="1">S12/$S$22</f>
        <v>0.1463333215092365</v>
      </c>
    </row>
    <row r="13" spans="1:20" ht="13.5" customHeight="1" x14ac:dyDescent="0.2">
      <c r="A13" s="1"/>
      <c r="B13" s="35" t="s">
        <v>65</v>
      </c>
      <c r="C13" s="72">
        <f>SUM(C8:C12)</f>
        <v>9740263</v>
      </c>
      <c r="D13" s="77">
        <f>SUM(D8:D12)</f>
        <v>0</v>
      </c>
      <c r="E13" s="75">
        <f>SUM(E8:E12)</f>
        <v>0</v>
      </c>
      <c r="F13" s="4"/>
      <c r="G13" s="75">
        <f>SUM(G8:G12)</f>
        <v>0</v>
      </c>
      <c r="H13" s="4"/>
      <c r="I13" s="77">
        <f>SUM(I8:I12)</f>
        <v>0</v>
      </c>
      <c r="J13" s="75">
        <f>SUM(J8:J12)</f>
        <v>0</v>
      </c>
      <c r="K13" s="4"/>
      <c r="L13" s="75">
        <f ca="1">SUM(L8:L12)</f>
        <v>1789845</v>
      </c>
      <c r="M13" s="4"/>
      <c r="N13" s="77">
        <f>SUM(N8:N12)</f>
        <v>0</v>
      </c>
      <c r="O13" s="75">
        <f>SUM(O8:O12)</f>
        <v>0</v>
      </c>
      <c r="P13" s="4"/>
      <c r="Q13" s="75">
        <f ca="1">SUM(Q8:Q12)</f>
        <v>1701046</v>
      </c>
      <c r="R13" s="4"/>
      <c r="S13" s="75">
        <f ca="1">SUM(S8:S12)</f>
        <v>13231154</v>
      </c>
      <c r="T13" s="82">
        <f ca="1">S13/$S$22</f>
        <v>0.54447719069993905</v>
      </c>
    </row>
    <row r="14" spans="1:20" x14ac:dyDescent="0.2">
      <c r="A14" s="1"/>
      <c r="B14" s="35" t="s">
        <v>66</v>
      </c>
      <c r="C14" s="73"/>
      <c r="D14" s="78"/>
      <c r="E14" s="73"/>
      <c r="F14" s="10"/>
      <c r="G14" s="73"/>
      <c r="H14" s="10"/>
      <c r="I14" s="78"/>
      <c r="J14" s="73"/>
      <c r="K14" s="10"/>
      <c r="L14" s="73"/>
      <c r="M14" s="10"/>
      <c r="N14" s="78"/>
      <c r="O14" s="73"/>
      <c r="P14" s="10"/>
      <c r="Q14" s="73"/>
      <c r="R14" s="10"/>
      <c r="S14" s="73"/>
      <c r="T14" s="37"/>
    </row>
    <row r="15" spans="1:20" x14ac:dyDescent="0.2">
      <c r="A15" s="1"/>
      <c r="B15" s="34" t="s">
        <v>42</v>
      </c>
      <c r="C15" s="71">
        <f>'Series A'!C15</f>
        <v>0</v>
      </c>
      <c r="D15" s="79">
        <f>'Series A'!D15</f>
        <v>8000000</v>
      </c>
      <c r="E15" s="71">
        <f>'Series A'!E15</f>
        <v>1939567</v>
      </c>
      <c r="F15" s="10"/>
      <c r="G15" s="71">
        <f>'Series A'!G15</f>
        <v>0</v>
      </c>
      <c r="H15" s="10"/>
      <c r="I15" s="79">
        <f>'Series A'!I15</f>
        <v>5000000</v>
      </c>
      <c r="J15" s="71">
        <f ca="1">'Series A'!J15</f>
        <v>1159340</v>
      </c>
      <c r="K15" s="10"/>
      <c r="L15" s="71">
        <f>'Series A'!L15</f>
        <v>0</v>
      </c>
      <c r="M15" s="10"/>
      <c r="N15" s="78">
        <f ca="1">N22*(1-C33)*('Series A'!E15+'Series A'!J15)/('Series A'!E21+'Series A'!J21)</f>
        <v>6622171.5847103521</v>
      </c>
      <c r="O15" s="73">
        <f ca="1">IFERROR(ROUND(N15/$O$24,0),0)</f>
        <v>894018</v>
      </c>
      <c r="P15" s="10"/>
      <c r="Q15" s="73"/>
      <c r="R15" s="10"/>
      <c r="S15" s="73">
        <f ca="1">C15+E15+G15+J15+L15+O15+Q15</f>
        <v>3992925</v>
      </c>
      <c r="T15" s="37">
        <f ca="1">S15/$S$22</f>
        <v>0.16431345192381211</v>
      </c>
    </row>
    <row r="16" spans="1:20" x14ac:dyDescent="0.2">
      <c r="A16" s="1"/>
      <c r="B16" s="34" t="s">
        <v>87</v>
      </c>
      <c r="C16" s="71">
        <f>'Series A'!C16</f>
        <v>0</v>
      </c>
      <c r="D16" s="79">
        <f>'Series A'!D16</f>
        <v>1825000</v>
      </c>
      <c r="E16" s="71">
        <f>'Series A'!E16</f>
        <v>442464</v>
      </c>
      <c r="F16" s="10"/>
      <c r="G16" s="71">
        <f>'Series A'!G16</f>
        <v>0</v>
      </c>
      <c r="H16" s="10"/>
      <c r="I16" s="79">
        <f>'Series A'!I16</f>
        <v>0</v>
      </c>
      <c r="J16" s="71">
        <f>'Series A'!J16</f>
        <v>0</v>
      </c>
      <c r="K16" s="10"/>
      <c r="L16" s="71">
        <f>'Series A'!L16</f>
        <v>0</v>
      </c>
      <c r="M16" s="10"/>
      <c r="N16" s="78">
        <f ca="1">N22*(1-C33)*('Series A'!E16+'Series A'!J16)/('Series A'!E21+'Series A'!J21)</f>
        <v>945518.05783693457</v>
      </c>
      <c r="O16" s="73">
        <f ca="1">IFERROR(ROUND(N16/$O$24,0),0)</f>
        <v>127649</v>
      </c>
      <c r="P16" s="10"/>
      <c r="Q16" s="73"/>
      <c r="R16" s="10"/>
      <c r="S16" s="73">
        <f ca="1">C16+E16+G16+J16+L16+O16+Q16</f>
        <v>570113</v>
      </c>
      <c r="T16" s="37">
        <f ca="1">S16/$S$22</f>
        <v>2.3460805053097739E-2</v>
      </c>
    </row>
    <row r="17" spans="1:20" x14ac:dyDescent="0.2">
      <c r="A17" s="1"/>
      <c r="B17" s="34" t="s">
        <v>67</v>
      </c>
      <c r="C17" s="71">
        <f>'Series A'!C17</f>
        <v>0</v>
      </c>
      <c r="D17" s="79">
        <f>'Series A'!D17</f>
        <v>0</v>
      </c>
      <c r="E17" s="71">
        <f>'Series A'!E17</f>
        <v>0</v>
      </c>
      <c r="F17" s="10"/>
      <c r="G17" s="71">
        <f>'Series A'!G17</f>
        <v>0</v>
      </c>
      <c r="H17" s="10"/>
      <c r="I17" s="79">
        <f>'Series A'!I17</f>
        <v>12000000</v>
      </c>
      <c r="J17" s="71">
        <f ca="1">'Series A'!J17</f>
        <v>2782415</v>
      </c>
      <c r="K17" s="10"/>
      <c r="L17" s="71">
        <f>'Series A'!L17</f>
        <v>0</v>
      </c>
      <c r="M17" s="10"/>
      <c r="N17" s="78">
        <f ca="1">N22*(1-C33)*('Series A'!J17)/('Series A'!E21+'Series A'!J21)</f>
        <v>5945847.8585746055</v>
      </c>
      <c r="O17" s="73">
        <f ca="1">IFERROR(ROUND(N17/$O$24,0),0)</f>
        <v>802712</v>
      </c>
      <c r="P17" s="10"/>
      <c r="Q17" s="73"/>
      <c r="R17" s="10"/>
      <c r="S17" s="73">
        <f ca="1">C17+E17+G17+J17+L17+O17+Q17</f>
        <v>3585127</v>
      </c>
      <c r="T17" s="37">
        <f ca="1">S17/$S$22</f>
        <v>0.14753209563296599</v>
      </c>
    </row>
    <row r="18" spans="1:20" x14ac:dyDescent="0.2">
      <c r="A18" s="1"/>
      <c r="B18" s="34" t="s">
        <v>68</v>
      </c>
      <c r="C18" s="71">
        <f>'Series A'!C18</f>
        <v>0</v>
      </c>
      <c r="D18" s="79">
        <f>'Series A'!D18</f>
        <v>0</v>
      </c>
      <c r="E18" s="71">
        <f>'Series A'!E18</f>
        <v>0</v>
      </c>
      <c r="F18" s="10"/>
      <c r="G18" s="71">
        <f>'Series A'!G18</f>
        <v>0</v>
      </c>
      <c r="H18" s="10"/>
      <c r="I18" s="79">
        <f>'Series A'!I18</f>
        <v>3000000</v>
      </c>
      <c r="J18" s="71">
        <f ca="1">'Series A'!J18</f>
        <v>695604</v>
      </c>
      <c r="K18" s="10"/>
      <c r="L18" s="71">
        <f>'Series A'!L18</f>
        <v>0</v>
      </c>
      <c r="M18" s="10"/>
      <c r="N18" s="78">
        <f ca="1">N22*(1-C33)*('Series A'!J18)/('Series A'!E21+'Series A'!J21)</f>
        <v>1486462.4988781076</v>
      </c>
      <c r="O18" s="73">
        <f ca="1">IFERROR(ROUND(N18/$O$24,0),0)</f>
        <v>200678</v>
      </c>
      <c r="P18" s="10"/>
      <c r="Q18" s="73"/>
      <c r="R18" s="10"/>
      <c r="S18" s="73">
        <f ca="1">C18+E18+G18+J18+L18+O18+Q18</f>
        <v>896282</v>
      </c>
      <c r="T18" s="37">
        <f ca="1">S18/$S$22</f>
        <v>3.6883034196028765E-2</v>
      </c>
    </row>
    <row r="19" spans="1:20" x14ac:dyDescent="0.2">
      <c r="A19" s="1"/>
      <c r="B19" s="34" t="s">
        <v>88</v>
      </c>
      <c r="C19" s="73"/>
      <c r="D19" s="78"/>
      <c r="E19" s="73"/>
      <c r="F19" s="10"/>
      <c r="G19" s="73"/>
      <c r="H19" s="10"/>
      <c r="I19" s="78"/>
      <c r="J19" s="73"/>
      <c r="K19" s="10"/>
      <c r="L19" s="73"/>
      <c r="M19" s="10"/>
      <c r="N19" s="78">
        <f>N22*C33</f>
        <v>15000000</v>
      </c>
      <c r="O19" s="73">
        <f ca="1">IFERROR(ROUND(N19/$O$24,0),0)</f>
        <v>2025057</v>
      </c>
      <c r="P19" s="10"/>
      <c r="Q19" s="73"/>
      <c r="R19" s="10"/>
      <c r="S19" s="73">
        <f ca="1">C19+E19+G19+J19+L19+O19+Q19</f>
        <v>2025057</v>
      </c>
      <c r="T19" s="37">
        <f ca="1">S19/$S$22</f>
        <v>8.3333422494156331E-2</v>
      </c>
    </row>
    <row r="20" spans="1:20" x14ac:dyDescent="0.2">
      <c r="A20" s="1"/>
      <c r="B20" s="34"/>
      <c r="C20" s="73"/>
      <c r="D20" s="78"/>
      <c r="E20" s="73"/>
      <c r="F20" s="10"/>
      <c r="G20" s="73"/>
      <c r="H20" s="10"/>
      <c r="I20" s="78"/>
      <c r="J20" s="73"/>
      <c r="K20" s="10"/>
      <c r="L20" s="73"/>
      <c r="M20" s="10"/>
      <c r="N20" s="76"/>
      <c r="O20" s="73"/>
      <c r="P20" s="10"/>
      <c r="Q20" s="73"/>
      <c r="R20" s="10"/>
      <c r="S20" s="73"/>
      <c r="T20" s="37"/>
    </row>
    <row r="21" spans="1:20" x14ac:dyDescent="0.2">
      <c r="A21" s="1"/>
      <c r="B21" s="34"/>
      <c r="C21" s="73"/>
      <c r="D21" s="78"/>
      <c r="E21" s="73"/>
      <c r="F21" s="10"/>
      <c r="G21" s="73"/>
      <c r="H21" s="10"/>
      <c r="I21" s="78"/>
      <c r="J21" s="73"/>
      <c r="K21" s="10"/>
      <c r="L21" s="73"/>
      <c r="M21" s="10"/>
      <c r="N21" s="78"/>
      <c r="O21" s="73"/>
      <c r="P21" s="10"/>
      <c r="Q21" s="73"/>
      <c r="R21" s="10"/>
      <c r="S21" s="73"/>
      <c r="T21" s="37"/>
    </row>
    <row r="22" spans="1:20" x14ac:dyDescent="0.2">
      <c r="A22" s="1"/>
      <c r="B22" s="35" t="s">
        <v>69</v>
      </c>
      <c r="C22" s="74">
        <f>C13+SUM(C15:C19)</f>
        <v>9740263</v>
      </c>
      <c r="D22" s="80">
        <f>D13+SUM(D15:D19)</f>
        <v>9825000</v>
      </c>
      <c r="E22" s="74">
        <f>E13+SUM(E15:E19)</f>
        <v>2382031</v>
      </c>
      <c r="F22" s="20"/>
      <c r="G22" s="74">
        <f>G13+SUM(G15:G19)</f>
        <v>0</v>
      </c>
      <c r="H22" s="20"/>
      <c r="I22" s="80">
        <f>I13+SUM(I15:I19)</f>
        <v>20000000</v>
      </c>
      <c r="J22" s="74">
        <f ca="1">J13+SUM(J15:J19)</f>
        <v>4637359</v>
      </c>
      <c r="K22" s="20"/>
      <c r="L22" s="74">
        <f ca="1">L13+SUM(L15:L19)</f>
        <v>1789845</v>
      </c>
      <c r="M22" s="20"/>
      <c r="N22" s="81">
        <f>C31</f>
        <v>30000000</v>
      </c>
      <c r="O22" s="74">
        <f ca="1">O13+SUM(O15:O19)</f>
        <v>4050114</v>
      </c>
      <c r="P22" s="20"/>
      <c r="Q22" s="74">
        <f ca="1">Q13+SUM(Q15:Q19)</f>
        <v>1701046</v>
      </c>
      <c r="R22" s="20"/>
      <c r="S22" s="74">
        <f ca="1">S13+SUM(S15:S19)</f>
        <v>24300658</v>
      </c>
      <c r="T22" s="83">
        <f ca="1">T13+SUM(T15:T19)</f>
        <v>1</v>
      </c>
    </row>
    <row r="23" spans="1:20" ht="13.75" customHeight="1" x14ac:dyDescent="0.2">
      <c r="A23" s="1"/>
      <c r="B23" s="34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47"/>
    </row>
    <row r="24" spans="1:20" ht="13.75" customHeight="1" x14ac:dyDescent="0.2">
      <c r="A24" s="1"/>
      <c r="B24" s="34" t="s">
        <v>70</v>
      </c>
      <c r="C24" s="10"/>
      <c r="D24" s="10"/>
      <c r="F24" s="15"/>
      <c r="G24" s="15"/>
      <c r="H24" s="15"/>
      <c r="I24" s="15"/>
      <c r="J24" s="15">
        <f ca="1">'Series A'!J22</f>
        <v>4.3128000000000002</v>
      </c>
      <c r="K24" s="15"/>
      <c r="L24" s="15"/>
      <c r="M24" s="15"/>
      <c r="N24" s="15"/>
      <c r="O24" s="15">
        <f ca="1">IFERROR(ROUND(O25/(S22-O22),4),0)</f>
        <v>7.4071999999999996</v>
      </c>
      <c r="P24" s="10"/>
      <c r="Q24" s="10"/>
      <c r="R24" s="10"/>
      <c r="S24" s="10"/>
      <c r="T24" s="47"/>
    </row>
    <row r="25" spans="1:20" x14ac:dyDescent="0.2">
      <c r="A25" s="1"/>
      <c r="B25" s="34" t="s">
        <v>71</v>
      </c>
      <c r="C25" s="10"/>
      <c r="D25" s="10"/>
      <c r="F25" s="14"/>
      <c r="G25" s="14"/>
      <c r="H25" s="14"/>
      <c r="I25" s="14"/>
      <c r="J25" s="14">
        <f>'Series A'!J23</f>
        <v>60000000</v>
      </c>
      <c r="K25" s="14"/>
      <c r="L25" s="14"/>
      <c r="M25" s="14"/>
      <c r="N25" s="14"/>
      <c r="O25" s="26">
        <v>150000000</v>
      </c>
      <c r="P25" s="10"/>
      <c r="Q25" s="10"/>
      <c r="R25" s="10"/>
      <c r="S25" s="10"/>
      <c r="T25" s="47"/>
    </row>
    <row r="26" spans="1:20" ht="13.75" customHeight="1" thickBot="1" x14ac:dyDescent="0.25">
      <c r="A26" s="1"/>
      <c r="B26" s="36" t="s">
        <v>72</v>
      </c>
      <c r="C26" s="49"/>
      <c r="D26" s="49"/>
      <c r="E26" s="70"/>
      <c r="F26" s="70"/>
      <c r="G26" s="70"/>
      <c r="H26" s="70"/>
      <c r="I26" s="70"/>
      <c r="J26" s="70">
        <f>'Series A'!J24</f>
        <v>80000000</v>
      </c>
      <c r="K26" s="70"/>
      <c r="L26" s="70"/>
      <c r="M26" s="70"/>
      <c r="N26" s="70"/>
      <c r="O26" s="70">
        <f>O25+N22</f>
        <v>180000000</v>
      </c>
      <c r="P26" s="49"/>
      <c r="Q26" s="49"/>
      <c r="R26" s="49"/>
      <c r="S26" s="49"/>
      <c r="T26" s="50"/>
    </row>
    <row r="27" spans="1:20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2">
      <c r="A28" s="1"/>
      <c r="B28" s="3" t="s">
        <v>79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2">
      <c r="A30" s="1"/>
      <c r="B30" s="1" t="s">
        <v>81</v>
      </c>
      <c r="C30" s="7">
        <f>O25/'Series A'!J24-1</f>
        <v>0.875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2">
      <c r="A31" s="1"/>
      <c r="B31" s="1" t="s">
        <v>74</v>
      </c>
      <c r="C31" s="25">
        <v>30000000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2">
      <c r="A32" s="1"/>
      <c r="B32" s="1" t="s">
        <v>80</v>
      </c>
      <c r="C32" s="7">
        <f>N22/O26</f>
        <v>0.16666666666666666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2">
      <c r="A33" s="1"/>
      <c r="B33" s="1" t="s">
        <v>141</v>
      </c>
      <c r="C33" s="29">
        <v>0.5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2">
      <c r="A34" s="1"/>
      <c r="B34" s="1" t="s">
        <v>142</v>
      </c>
      <c r="C34" s="29">
        <v>7.0000000000000007E-2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0274-1601-C540-84C4-786E6509DAA4}">
  <dimension ref="A1:P85"/>
  <sheetViews>
    <sheetView showGridLines="0" topLeftCell="A51" workbookViewId="0"/>
  </sheetViews>
  <sheetFormatPr baseColWidth="10" defaultRowHeight="16" x14ac:dyDescent="0.2"/>
  <cols>
    <col min="1" max="1" width="11.1640625" customWidth="1"/>
    <col min="2" max="2" width="26.33203125" customWidth="1"/>
    <col min="3" max="3" width="13" customWidth="1"/>
    <col min="4" max="4" width="16.83203125" customWidth="1"/>
    <col min="5" max="6" width="11.1640625" customWidth="1"/>
    <col min="7" max="7" width="11.83203125" customWidth="1"/>
    <col min="8" max="8" width="11.1640625" customWidth="1"/>
    <col min="9" max="16" width="17.5" customWidth="1"/>
  </cols>
  <sheetData>
    <row r="1" spans="1:1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2">
      <c r="A3" s="1"/>
      <c r="B3" s="1" t="s">
        <v>89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">
      <c r="A4" s="1"/>
      <c r="B4" s="1" t="s">
        <v>90</v>
      </c>
      <c r="C4" s="1"/>
      <c r="D4" s="1"/>
      <c r="E4" s="1"/>
      <c r="F4" s="1"/>
      <c r="G4" s="1"/>
      <c r="H4" s="1"/>
      <c r="I4" s="28">
        <f>I7/I5</f>
        <v>8333333.333333333</v>
      </c>
      <c r="J4" s="28">
        <f>J7/J5</f>
        <v>13333333.333333334</v>
      </c>
      <c r="K4" s="28">
        <f>K7/K5</f>
        <v>20000000</v>
      </c>
      <c r="L4" s="28">
        <f>L7/L5</f>
        <v>30000000</v>
      </c>
      <c r="M4" s="28">
        <f>M7/M5</f>
        <v>41666666.666666664</v>
      </c>
      <c r="N4" s="28">
        <f>N7/N5</f>
        <v>58333333.333333336</v>
      </c>
      <c r="O4" s="28">
        <f>O7/O5</f>
        <v>83333333.333333328</v>
      </c>
      <c r="P4" s="28">
        <f>P7/P5</f>
        <v>125000000</v>
      </c>
    </row>
    <row r="5" spans="1:16" x14ac:dyDescent="0.2">
      <c r="A5" s="1"/>
      <c r="B5" s="1" t="s">
        <v>91</v>
      </c>
      <c r="C5" s="1"/>
      <c r="D5" s="1"/>
      <c r="E5" s="85"/>
      <c r="F5" s="1"/>
      <c r="G5" s="1"/>
      <c r="H5" s="1"/>
      <c r="I5" s="86">
        <v>6</v>
      </c>
      <c r="J5" s="86">
        <v>6</v>
      </c>
      <c r="K5" s="86">
        <v>6</v>
      </c>
      <c r="L5" s="86">
        <v>6</v>
      </c>
      <c r="M5" s="86">
        <v>6</v>
      </c>
      <c r="N5" s="86">
        <v>6</v>
      </c>
      <c r="O5" s="86">
        <v>6</v>
      </c>
      <c r="P5" s="86">
        <v>6</v>
      </c>
    </row>
    <row r="6" spans="1:16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">
      <c r="A7" s="1"/>
      <c r="B7" s="1" t="s">
        <v>92</v>
      </c>
      <c r="C7" s="1"/>
      <c r="D7" s="1"/>
      <c r="E7" s="1"/>
      <c r="F7" s="1"/>
      <c r="G7" s="1"/>
      <c r="H7" s="1"/>
      <c r="I7" s="87">
        <v>50000000</v>
      </c>
      <c r="J7" s="87">
        <v>80000000</v>
      </c>
      <c r="K7" s="87">
        <v>120000000</v>
      </c>
      <c r="L7" s="87">
        <v>180000000</v>
      </c>
      <c r="M7" s="87">
        <v>250000000</v>
      </c>
      <c r="N7" s="87">
        <v>350000000</v>
      </c>
      <c r="O7" s="87">
        <v>500000000</v>
      </c>
      <c r="P7" s="87">
        <v>750000000</v>
      </c>
    </row>
    <row r="8" spans="1:16" x14ac:dyDescent="0.2">
      <c r="A8" s="1"/>
      <c r="B8" s="1" t="s">
        <v>93</v>
      </c>
      <c r="C8" s="1"/>
      <c r="D8" s="1"/>
      <c r="E8" s="1"/>
      <c r="F8" s="1"/>
      <c r="G8" s="1"/>
      <c r="H8" s="1"/>
      <c r="I8" s="56"/>
      <c r="J8" s="56"/>
      <c r="K8" s="56"/>
      <c r="L8" s="56"/>
      <c r="M8" s="56"/>
      <c r="N8" s="56"/>
      <c r="O8" s="56"/>
      <c r="P8" s="56"/>
    </row>
    <row r="9" spans="1:16" x14ac:dyDescent="0.2">
      <c r="A9" s="1"/>
      <c r="B9" s="1" t="s">
        <v>94</v>
      </c>
      <c r="C9" s="1"/>
      <c r="D9" s="1"/>
      <c r="E9" s="1"/>
      <c r="F9" s="1"/>
      <c r="G9" s="1"/>
      <c r="H9" s="1"/>
      <c r="I9" s="56"/>
      <c r="J9" s="56"/>
      <c r="K9" s="56"/>
      <c r="L9" s="56"/>
      <c r="M9" s="56"/>
      <c r="N9" s="56"/>
      <c r="O9" s="56"/>
      <c r="P9" s="56"/>
    </row>
    <row r="10" spans="1:16" x14ac:dyDescent="0.2">
      <c r="A10" s="1"/>
      <c r="B10" s="1" t="s">
        <v>95</v>
      </c>
      <c r="C10" s="1"/>
      <c r="D10" s="1"/>
      <c r="E10" s="1"/>
      <c r="F10" s="1"/>
      <c r="G10" s="1"/>
      <c r="H10" s="1"/>
      <c r="I10" s="56"/>
      <c r="J10" s="56"/>
      <c r="K10" s="56"/>
      <c r="L10" s="56"/>
      <c r="M10" s="56"/>
      <c r="N10" s="56"/>
      <c r="O10" s="56"/>
      <c r="P10" s="56"/>
    </row>
    <row r="11" spans="1:16" x14ac:dyDescent="0.2">
      <c r="A11" s="1"/>
      <c r="B11" s="1" t="s">
        <v>96</v>
      </c>
      <c r="C11" s="1"/>
      <c r="D11" s="1"/>
      <c r="E11" s="29">
        <v>1.4999999999999999E-2</v>
      </c>
      <c r="F11" s="1"/>
      <c r="G11" s="1"/>
      <c r="H11" s="1"/>
      <c r="I11" s="88">
        <f>-$E$11*I7</f>
        <v>-750000</v>
      </c>
      <c r="J11" s="88">
        <f>-$E$11*J7</f>
        <v>-1200000</v>
      </c>
      <c r="K11" s="88">
        <f>-$E$11*K7</f>
        <v>-1800000</v>
      </c>
      <c r="L11" s="88">
        <f>-$E$11*L7</f>
        <v>-2700000</v>
      </c>
      <c r="M11" s="88">
        <f>-$E$11*M7</f>
        <v>-3750000</v>
      </c>
      <c r="N11" s="88">
        <f>-$E$11*N7</f>
        <v>-5250000</v>
      </c>
      <c r="O11" s="88">
        <f>-$E$11*O7</f>
        <v>-7500000</v>
      </c>
      <c r="P11" s="88">
        <f>-$E$11*P7</f>
        <v>-11250000</v>
      </c>
    </row>
    <row r="12" spans="1:16" x14ac:dyDescent="0.2">
      <c r="A12" s="1"/>
      <c r="B12" s="3" t="s">
        <v>97</v>
      </c>
      <c r="C12" s="1"/>
      <c r="D12" s="1"/>
      <c r="E12" s="1"/>
      <c r="F12" s="1"/>
      <c r="G12" s="1"/>
      <c r="H12" s="1"/>
      <c r="I12" s="94">
        <f>I7+SUM(I8:I11)</f>
        <v>49250000</v>
      </c>
      <c r="J12" s="94">
        <f>J7+SUM(J8:J11)</f>
        <v>78800000</v>
      </c>
      <c r="K12" s="94">
        <f>K7+SUM(K8:K11)</f>
        <v>118200000</v>
      </c>
      <c r="L12" s="94">
        <f>L7+SUM(L8:L11)</f>
        <v>177300000</v>
      </c>
      <c r="M12" s="94">
        <f>M7+SUM(M8:M11)</f>
        <v>246250000</v>
      </c>
      <c r="N12" s="94">
        <f>N7+SUM(N8:N11)</f>
        <v>344750000</v>
      </c>
      <c r="O12" s="94">
        <f>O7+SUM(O8:O11)</f>
        <v>492500000</v>
      </c>
      <c r="P12" s="94">
        <f>P7+SUM(P8:P11)</f>
        <v>738750000</v>
      </c>
    </row>
    <row r="13" spans="1:16" x14ac:dyDescent="0.2">
      <c r="A13" s="1"/>
      <c r="B13" s="1"/>
      <c r="C13" s="1"/>
      <c r="D13" s="1"/>
      <c r="E13" s="1"/>
      <c r="F13" s="1"/>
      <c r="G13" s="1"/>
      <c r="H13" s="1"/>
      <c r="I13" s="88"/>
      <c r="J13" s="88"/>
      <c r="K13" s="88"/>
      <c r="L13" s="88"/>
      <c r="M13" s="88"/>
      <c r="N13" s="88"/>
      <c r="O13" s="88"/>
      <c r="P13" s="88"/>
    </row>
    <row r="14" spans="1:16" x14ac:dyDescent="0.2">
      <c r="A14" s="1"/>
      <c r="B14" s="1" t="s">
        <v>98</v>
      </c>
      <c r="C14" s="1"/>
      <c r="D14" s="1"/>
      <c r="E14" s="29">
        <v>0.1</v>
      </c>
      <c r="F14" s="1"/>
      <c r="G14" s="1"/>
      <c r="H14" s="1"/>
      <c r="I14" s="88">
        <f ca="1">IF(I12&lt;(SUM(I19:I20)+($E$14*I12)),$E$14*I12,0)</f>
        <v>0</v>
      </c>
      <c r="J14" s="88">
        <f ca="1">IF(J12&lt;(SUM(J19:J20)+($E$14*J12)),$E$14*J12,0)</f>
        <v>0</v>
      </c>
      <c r="K14" s="88">
        <f ca="1">IF(K12&lt;(SUM(K19:K20)+($E$14*K12)),$E$14*K12,0)</f>
        <v>0</v>
      </c>
      <c r="L14" s="88">
        <f ca="1">IF(L12&lt;(SUM(L19:L20)+($E$14*L12)),$E$14*L12,0)</f>
        <v>0</v>
      </c>
      <c r="M14" s="88">
        <f ca="1">IF(M12&lt;(SUM(M19:M20)+($E$14*M12)),$E$14*M12,0)</f>
        <v>0</v>
      </c>
      <c r="N14" s="88">
        <f ca="1">IF(N12&lt;(SUM(N19:N20)+($E$14*N12)),$E$14*N12,0)</f>
        <v>0</v>
      </c>
      <c r="O14" s="88">
        <f ca="1">IF(O12&lt;(SUM(O19:O20)+($E$14*O12)),$E$14*O12,0)</f>
        <v>0</v>
      </c>
      <c r="P14" s="88">
        <f ca="1">IF(P12&lt;(SUM(P19:P20)+($E$14*P12)),$E$14*P12,0)</f>
        <v>0</v>
      </c>
    </row>
    <row r="15" spans="1:16" x14ac:dyDescent="0.2">
      <c r="A15" s="1"/>
      <c r="B15" s="1"/>
      <c r="C15" s="1"/>
      <c r="D15" s="1"/>
      <c r="E15" s="1"/>
      <c r="F15" s="1"/>
      <c r="G15" s="1"/>
      <c r="H15" s="1"/>
      <c r="I15" s="88"/>
      <c r="J15" s="88"/>
      <c r="K15" s="88"/>
      <c r="L15" s="88"/>
      <c r="M15" s="88"/>
      <c r="N15" s="88"/>
      <c r="O15" s="88"/>
      <c r="P15" s="88"/>
    </row>
    <row r="16" spans="1:16" x14ac:dyDescent="0.2">
      <c r="A16" s="1"/>
      <c r="B16" s="3" t="s">
        <v>99</v>
      </c>
      <c r="C16" s="1"/>
      <c r="D16" s="1"/>
      <c r="E16" s="1"/>
      <c r="F16" s="1"/>
      <c r="G16" s="1"/>
      <c r="H16" s="1"/>
      <c r="I16" s="89">
        <f ca="1">I12-I14</f>
        <v>49250000</v>
      </c>
      <c r="J16" s="89">
        <f ca="1">J12-J14</f>
        <v>78800000</v>
      </c>
      <c r="K16" s="89">
        <f ca="1">K12-K14</f>
        <v>118200000</v>
      </c>
      <c r="L16" s="89">
        <f ca="1">L12-L14</f>
        <v>177300000</v>
      </c>
      <c r="M16" s="89">
        <f ca="1">M12-M14</f>
        <v>246250000</v>
      </c>
      <c r="N16" s="89">
        <f ca="1">N12-N14</f>
        <v>344750000</v>
      </c>
      <c r="O16" s="89">
        <f ca="1">O12-O14</f>
        <v>492500000</v>
      </c>
      <c r="P16" s="89">
        <f ca="1">P12-P14</f>
        <v>738750000</v>
      </c>
    </row>
    <row r="17" spans="1:16" x14ac:dyDescent="0.2">
      <c r="A17" s="1"/>
      <c r="B17" s="1"/>
      <c r="C17" s="1"/>
      <c r="D17" s="1"/>
      <c r="E17" s="1"/>
      <c r="F17" s="1"/>
      <c r="G17" s="1"/>
      <c r="H17" s="1"/>
      <c r="I17" s="56"/>
      <c r="J17" s="56"/>
      <c r="K17" s="56"/>
      <c r="L17" s="56"/>
      <c r="M17" s="56"/>
      <c r="N17" s="56"/>
      <c r="O17" s="56"/>
      <c r="P17" s="56"/>
    </row>
    <row r="18" spans="1:16" x14ac:dyDescent="0.2">
      <c r="A18" s="1"/>
      <c r="B18" s="1"/>
      <c r="C18" s="1"/>
      <c r="D18" s="1"/>
      <c r="E18" s="1" t="s">
        <v>100</v>
      </c>
      <c r="F18" s="1" t="s">
        <v>101</v>
      </c>
      <c r="G18" s="1" t="s">
        <v>60</v>
      </c>
      <c r="H18" s="1" t="s">
        <v>59</v>
      </c>
      <c r="I18" s="56" t="s">
        <v>102</v>
      </c>
      <c r="J18" s="56" t="s">
        <v>102</v>
      </c>
      <c r="K18" s="56" t="s">
        <v>102</v>
      </c>
      <c r="L18" s="56" t="s">
        <v>102</v>
      </c>
      <c r="M18" s="56" t="s">
        <v>102</v>
      </c>
      <c r="N18" s="56" t="s">
        <v>102</v>
      </c>
      <c r="O18" s="56" t="s">
        <v>102</v>
      </c>
      <c r="P18" s="56" t="s">
        <v>102</v>
      </c>
    </row>
    <row r="19" spans="1:16" x14ac:dyDescent="0.2">
      <c r="A19" s="1" t="s">
        <v>26</v>
      </c>
      <c r="B19" s="1" t="s">
        <v>143</v>
      </c>
      <c r="C19" s="1"/>
      <c r="D19" s="1"/>
      <c r="E19" s="2">
        <v>1</v>
      </c>
      <c r="F19" s="8">
        <f>'Series A'!E22</f>
        <v>4.1246319529565065</v>
      </c>
      <c r="G19" s="5">
        <f>'Series A'!E21</f>
        <v>2382031</v>
      </c>
      <c r="H19" s="7">
        <f ca="1">I19/SUM($I$19:$I$20)</f>
        <v>0.32942163165019567</v>
      </c>
      <c r="I19" s="88">
        <f>$G19*$F19*$E19</f>
        <v>9825001.1755329408</v>
      </c>
      <c r="J19" s="88">
        <f>$G19*$F19*$E19</f>
        <v>9825001.1755329408</v>
      </c>
      <c r="K19" s="88">
        <f>$G19*$F19*$E19</f>
        <v>9825001.1755329408</v>
      </c>
      <c r="L19" s="88">
        <f>$G19*$F19*$E19</f>
        <v>9825001.1755329408</v>
      </c>
      <c r="M19" s="88">
        <f>$G19*$F19*$E19</f>
        <v>9825001.1755329408</v>
      </c>
      <c r="N19" s="88">
        <f>$G19*$F19*$E19</f>
        <v>9825001.1755329408</v>
      </c>
      <c r="O19" s="88">
        <f>$G19*$F19*$E19</f>
        <v>9825001.1755329408</v>
      </c>
      <c r="P19" s="88">
        <f>$G19*$F19*$E19</f>
        <v>9825001.1755329408</v>
      </c>
    </row>
    <row r="20" spans="1:16" x14ac:dyDescent="0.2">
      <c r="A20" s="1" t="s">
        <v>103</v>
      </c>
      <c r="B20" s="1" t="s">
        <v>120</v>
      </c>
      <c r="C20" s="1"/>
      <c r="D20" s="1"/>
      <c r="E20" s="2">
        <v>1</v>
      </c>
      <c r="F20" s="8">
        <f ca="1">'Series A'!J22</f>
        <v>4.3128000000000002</v>
      </c>
      <c r="G20" s="5">
        <f ca="1">'Series A'!J21</f>
        <v>4637359</v>
      </c>
      <c r="H20" s="7">
        <f ca="1">I20/SUM($I$19:$I$20)</f>
        <v>0.67057836834980433</v>
      </c>
      <c r="I20" s="88">
        <f ca="1">$G20*$F20*$E20</f>
        <v>20000001.895199999</v>
      </c>
      <c r="J20" s="88">
        <f ca="1">$G20*$F20*$E20</f>
        <v>20000001.895199999</v>
      </c>
      <c r="K20" s="88">
        <f ca="1">$G20*$F20*$E20</f>
        <v>20000001.895199999</v>
      </c>
      <c r="L20" s="88">
        <f ca="1">$G20*$F20*$E20</f>
        <v>20000001.895199999</v>
      </c>
      <c r="M20" s="88">
        <f ca="1">$G20*$F20*$E20</f>
        <v>20000001.895199999</v>
      </c>
      <c r="N20" s="88">
        <f ca="1">$G20*$F20*$E20</f>
        <v>20000001.895199999</v>
      </c>
      <c r="O20" s="88">
        <f ca="1">$G20*$F20*$E20</f>
        <v>20000001.895199999</v>
      </c>
      <c r="P20" s="88">
        <f ca="1">$G20*$F20*$E20</f>
        <v>20000001.895199999</v>
      </c>
    </row>
    <row r="21" spans="1:16" x14ac:dyDescent="0.2">
      <c r="A21" s="1"/>
      <c r="B21" s="1"/>
      <c r="C21" s="1"/>
      <c r="D21" s="1"/>
      <c r="E21" s="1"/>
      <c r="F21" s="1"/>
      <c r="G21" s="1"/>
      <c r="H21" s="1"/>
      <c r="I21" s="56"/>
      <c r="J21" s="56"/>
      <c r="K21" s="56"/>
      <c r="L21" s="56"/>
      <c r="M21" s="56"/>
      <c r="N21" s="56"/>
      <c r="O21" s="56"/>
      <c r="P21" s="56"/>
    </row>
    <row r="22" spans="1:16" x14ac:dyDescent="0.2">
      <c r="A22" s="1"/>
      <c r="B22" s="3" t="s">
        <v>104</v>
      </c>
      <c r="C22" s="1"/>
      <c r="D22" s="1"/>
      <c r="E22" s="1"/>
      <c r="F22" s="1"/>
      <c r="G22" s="1"/>
      <c r="H22" s="1"/>
      <c r="I22" s="56"/>
      <c r="J22" s="56"/>
      <c r="K22" s="56"/>
      <c r="L22" s="56"/>
      <c r="M22" s="56"/>
      <c r="N22" s="56"/>
      <c r="O22" s="56"/>
      <c r="P22" s="56"/>
    </row>
    <row r="23" spans="1:16" x14ac:dyDescent="0.2">
      <c r="A23" s="1"/>
      <c r="B23" s="1" t="s">
        <v>105</v>
      </c>
      <c r="C23" s="1"/>
      <c r="D23" s="1"/>
      <c r="E23" s="1"/>
      <c r="F23" s="1"/>
      <c r="G23" s="1"/>
      <c r="H23" s="1"/>
      <c r="I23" s="88">
        <f>I19</f>
        <v>9825001.1755329408</v>
      </c>
      <c r="J23" s="88">
        <f>J19</f>
        <v>9825001.1755329408</v>
      </c>
      <c r="K23" s="88">
        <f>K19</f>
        <v>9825001.1755329408</v>
      </c>
      <c r="L23" s="88">
        <f>L19</f>
        <v>9825001.1755329408</v>
      </c>
      <c r="M23" s="88">
        <f>M19</f>
        <v>9825001.1755329408</v>
      </c>
      <c r="N23" s="88">
        <f>N19</f>
        <v>9825001.1755329408</v>
      </c>
      <c r="O23" s="88">
        <f>O19</f>
        <v>9825001.1755329408</v>
      </c>
      <c r="P23" s="88">
        <f>P19</f>
        <v>9825001.1755329408</v>
      </c>
    </row>
    <row r="24" spans="1:16" x14ac:dyDescent="0.2">
      <c r="A24" s="1"/>
      <c r="B24" s="1" t="s">
        <v>106</v>
      </c>
      <c r="C24" s="1"/>
      <c r="D24" s="1"/>
      <c r="E24" s="1"/>
      <c r="F24" s="1"/>
      <c r="G24" s="1"/>
      <c r="H24" s="1"/>
      <c r="I24" s="88" t="str">
        <f ca="1">IF($F$19&lt;I$42,"yes","no")</f>
        <v>no</v>
      </c>
      <c r="J24" s="88" t="str">
        <f ca="1">IF($F$19&lt;J$42,"yes","no")</f>
        <v>yes</v>
      </c>
      <c r="K24" s="88" t="str">
        <f ca="1">IF($F$19&lt;K$42,"yes","no")</f>
        <v>yes</v>
      </c>
      <c r="L24" s="88" t="str">
        <f ca="1">IF($F$19&lt;L$42,"yes","no")</f>
        <v>yes</v>
      </c>
      <c r="M24" s="88" t="str">
        <f ca="1">IF($F$19&lt;M$42,"yes","no")</f>
        <v>yes</v>
      </c>
      <c r="N24" s="88" t="str">
        <f ca="1">IF($F$19&lt;N$42,"yes","no")</f>
        <v>yes</v>
      </c>
      <c r="O24" s="88" t="str">
        <f ca="1">IF($F$19&lt;O$42,"yes","no")</f>
        <v>yes</v>
      </c>
      <c r="P24" s="88" t="str">
        <f ca="1">IF($F$19&lt;P$42,"yes","no")</f>
        <v>yes</v>
      </c>
    </row>
    <row r="25" spans="1:16" x14ac:dyDescent="0.2">
      <c r="A25" s="1"/>
      <c r="B25" s="1" t="s">
        <v>107</v>
      </c>
      <c r="C25" s="1"/>
      <c r="D25" s="1"/>
      <c r="E25" s="1"/>
      <c r="F25" s="1"/>
      <c r="G25" s="1"/>
      <c r="H25" s="1"/>
      <c r="I25" s="88">
        <f ca="1">IF(I14=0,IF(I24="yes",0,I$19),$H$19*I16)</f>
        <v>9825001.1755329408</v>
      </c>
      <c r="J25" s="88">
        <f ca="1">IF(J14=0,IF(J24="yes",0,J$19),$H$19*J16)</f>
        <v>0</v>
      </c>
      <c r="K25" s="88">
        <f ca="1">IF(K14=0,IF(K24="yes",0,K$19),$H$19*K16)</f>
        <v>0</v>
      </c>
      <c r="L25" s="88">
        <f ca="1">IF(L14=0,IF(L24="yes",0,L$19),$H$19*L16)</f>
        <v>0</v>
      </c>
      <c r="M25" s="88">
        <f ca="1">IF(M14=0,IF(M24="yes",0,M$19),$H$19*M16)</f>
        <v>0</v>
      </c>
      <c r="N25" s="88">
        <f ca="1">IF(N14=0,IF(N24="yes",0,N$19),$H$19*N16)</f>
        <v>0</v>
      </c>
      <c r="O25" s="88">
        <f ca="1">IF(O14=0,IF(O24="yes",0,O$19),$H$19*O16)</f>
        <v>0</v>
      </c>
      <c r="P25" s="88">
        <f ca="1">IF(P14=0,IF(P24="yes",0,P$19),$H$19*P16)</f>
        <v>0</v>
      </c>
    </row>
    <row r="26" spans="1:16" x14ac:dyDescent="0.2">
      <c r="A26" s="1"/>
      <c r="B26" s="1" t="s">
        <v>108</v>
      </c>
      <c r="C26" s="1"/>
      <c r="D26" s="1"/>
      <c r="E26" s="1"/>
      <c r="F26" s="1"/>
      <c r="G26" s="1"/>
      <c r="H26" s="1"/>
      <c r="I26" s="88">
        <f ca="1">I25/$G$19</f>
        <v>4.1246319529565065</v>
      </c>
      <c r="J26" s="88">
        <f ca="1">J25/$G$19</f>
        <v>0</v>
      </c>
      <c r="K26" s="88">
        <f ca="1">K25/$G$19</f>
        <v>0</v>
      </c>
      <c r="L26" s="88">
        <f ca="1">L25/$G$19</f>
        <v>0</v>
      </c>
      <c r="M26" s="88">
        <f ca="1">M25/$G$19</f>
        <v>0</v>
      </c>
      <c r="N26" s="88">
        <f ca="1">N25/$G$19</f>
        <v>0</v>
      </c>
      <c r="O26" s="88">
        <f ca="1">O25/$G$19</f>
        <v>0</v>
      </c>
      <c r="P26" s="88">
        <f ca="1">P25/$G$19</f>
        <v>0</v>
      </c>
    </row>
    <row r="27" spans="1:16" x14ac:dyDescent="0.2">
      <c r="A27" s="1"/>
      <c r="B27" s="1"/>
      <c r="C27" s="1"/>
      <c r="D27" s="1"/>
      <c r="E27" s="1"/>
      <c r="F27" s="1"/>
      <c r="G27" s="1"/>
      <c r="H27" s="1"/>
      <c r="I27" s="88"/>
      <c r="J27" s="88"/>
      <c r="K27" s="88"/>
      <c r="L27" s="88"/>
      <c r="M27" s="88"/>
      <c r="N27" s="88"/>
      <c r="O27" s="88"/>
      <c r="P27" s="88"/>
    </row>
    <row r="28" spans="1:16" x14ac:dyDescent="0.2">
      <c r="A28" s="1"/>
      <c r="B28" s="1" t="s">
        <v>109</v>
      </c>
      <c r="C28" s="1"/>
      <c r="D28" s="1"/>
      <c r="E28" s="1"/>
      <c r="F28" s="1"/>
      <c r="G28" s="1"/>
      <c r="H28" s="1"/>
      <c r="I28" s="88">
        <f ca="1">I20</f>
        <v>20000001.895199999</v>
      </c>
      <c r="J28" s="88">
        <f ca="1">J20</f>
        <v>20000001.895199999</v>
      </c>
      <c r="K28" s="88">
        <f ca="1">K20</f>
        <v>20000001.895199999</v>
      </c>
      <c r="L28" s="88">
        <f ca="1">L20</f>
        <v>20000001.895199999</v>
      </c>
      <c r="M28" s="88">
        <f ca="1">M20</f>
        <v>20000001.895199999</v>
      </c>
      <c r="N28" s="88">
        <f ca="1">N20</f>
        <v>20000001.895199999</v>
      </c>
      <c r="O28" s="88">
        <f ca="1">O20</f>
        <v>20000001.895199999</v>
      </c>
      <c r="P28" s="88">
        <f ca="1">P20</f>
        <v>20000001.895199999</v>
      </c>
    </row>
    <row r="29" spans="1:16" x14ac:dyDescent="0.2">
      <c r="A29" s="1"/>
      <c r="B29" s="1" t="s">
        <v>110</v>
      </c>
      <c r="C29" s="1"/>
      <c r="D29" s="1"/>
      <c r="E29" s="1"/>
      <c r="F29" s="1"/>
      <c r="G29" s="1"/>
      <c r="H29" s="1"/>
      <c r="I29" s="88" t="str">
        <f ca="1">IF($F$20&lt;I$42,"yes","no")</f>
        <v>no</v>
      </c>
      <c r="J29" s="88" t="str">
        <f ca="1">IF($F$20&lt;J$42,"yes","no")</f>
        <v>no</v>
      </c>
      <c r="K29" s="88" t="str">
        <f ca="1">IF($F$20&lt;K$42,"yes","no")</f>
        <v>yes</v>
      </c>
      <c r="L29" s="88" t="str">
        <f ca="1">IF($F$20&lt;L$42,"yes","no")</f>
        <v>yes</v>
      </c>
      <c r="M29" s="88" t="str">
        <f ca="1">IF($F$20&lt;M$42,"yes","no")</f>
        <v>yes</v>
      </c>
      <c r="N29" s="88" t="str">
        <f ca="1">IF($F$20&lt;N$42,"yes","no")</f>
        <v>yes</v>
      </c>
      <c r="O29" s="88" t="str">
        <f ca="1">IF($F$20&lt;O$42,"yes","no")</f>
        <v>yes</v>
      </c>
      <c r="P29" s="88" t="str">
        <f ca="1">IF($F$20&lt;P$42,"yes","no")</f>
        <v>yes</v>
      </c>
    </row>
    <row r="30" spans="1:16" x14ac:dyDescent="0.2">
      <c r="A30" s="1"/>
      <c r="B30" s="1" t="s">
        <v>111</v>
      </c>
      <c r="C30" s="1"/>
      <c r="D30" s="1"/>
      <c r="E30" s="1"/>
      <c r="F30" s="1"/>
      <c r="G30" s="1"/>
      <c r="H30" s="1"/>
      <c r="I30" s="88">
        <f ca="1">IF(I14=0,IF(I29="yes",0,I$20),$H$20*I16)</f>
        <v>20000001.895199999</v>
      </c>
      <c r="J30" s="88">
        <f ca="1">IF(J14=0,IF(J29="yes",0,J$20),$H$20*J16)</f>
        <v>20000001.895199999</v>
      </c>
      <c r="K30" s="88">
        <f ca="1">IF(K14=0,IF(K29="yes",0,K$20),$H$20*K16)</f>
        <v>0</v>
      </c>
      <c r="L30" s="88">
        <f ca="1">IF(L14=0,IF(L29="yes",0,L$20),$H$20*L16)</f>
        <v>0</v>
      </c>
      <c r="M30" s="88">
        <f ca="1">IF(M14=0,IF(M29="yes",0,M$20),$H$20*M16)</f>
        <v>0</v>
      </c>
      <c r="N30" s="88">
        <f ca="1">IF(N14=0,IF(N29="yes",0,N$20),$H$20*N16)</f>
        <v>0</v>
      </c>
      <c r="O30" s="88">
        <f ca="1">IF(O14=0,IF(O29="yes",0,O$20),$H$20*O16)</f>
        <v>0</v>
      </c>
      <c r="P30" s="88">
        <f ca="1">IF(P14=0,IF(P29="yes",0,P$20),$H$20*P16)</f>
        <v>0</v>
      </c>
    </row>
    <row r="31" spans="1:16" x14ac:dyDescent="0.2">
      <c r="A31" s="1"/>
      <c r="B31" s="1" t="s">
        <v>112</v>
      </c>
      <c r="C31" s="1"/>
      <c r="D31" s="1"/>
      <c r="E31" s="1"/>
      <c r="F31" s="1"/>
      <c r="G31" s="1"/>
      <c r="H31" s="1"/>
      <c r="I31" s="88">
        <f ca="1">I30/$G$20</f>
        <v>4.3128000000000002</v>
      </c>
      <c r="J31" s="88">
        <f ca="1">J30/$G$20</f>
        <v>4.3128000000000002</v>
      </c>
      <c r="K31" s="88">
        <f ca="1">K30/$G$20</f>
        <v>0</v>
      </c>
      <c r="L31" s="88">
        <f ca="1">L30/$G$20</f>
        <v>0</v>
      </c>
      <c r="M31" s="88">
        <f ca="1">M30/$G$20</f>
        <v>0</v>
      </c>
      <c r="N31" s="88">
        <f ca="1">N30/$G$20</f>
        <v>0</v>
      </c>
      <c r="O31" s="88">
        <f ca="1">O30/$G$20</f>
        <v>0</v>
      </c>
      <c r="P31" s="88">
        <f ca="1">P30/$G$20</f>
        <v>0</v>
      </c>
    </row>
    <row r="32" spans="1:16" x14ac:dyDescent="0.2">
      <c r="A32" s="1"/>
      <c r="B32" s="1"/>
      <c r="C32" s="1"/>
      <c r="D32" s="1"/>
      <c r="E32" s="1"/>
      <c r="F32" s="1"/>
      <c r="G32" s="1"/>
      <c r="H32" s="1"/>
      <c r="I32" s="88"/>
      <c r="J32" s="88"/>
      <c r="K32" s="88"/>
      <c r="L32" s="88"/>
      <c r="M32" s="88"/>
      <c r="N32" s="88"/>
      <c r="O32" s="88"/>
      <c r="P32" s="88"/>
    </row>
    <row r="33" spans="1:16" x14ac:dyDescent="0.2">
      <c r="A33" s="1"/>
      <c r="B33" s="1" t="s">
        <v>113</v>
      </c>
      <c r="C33" s="1"/>
      <c r="D33" s="1"/>
      <c r="E33" s="1"/>
      <c r="F33" s="1"/>
      <c r="G33" s="1"/>
      <c r="H33" s="1"/>
      <c r="I33" s="88">
        <f ca="1">I16-I25-I30</f>
        <v>19424996.929267064</v>
      </c>
      <c r="J33" s="88">
        <f ca="1">J16-J25-J30</f>
        <v>58799998.104800001</v>
      </c>
      <c r="K33" s="88">
        <f ca="1">K16-K25-K30</f>
        <v>118200000</v>
      </c>
      <c r="L33" s="88">
        <f ca="1">L16-L25-L30</f>
        <v>177300000</v>
      </c>
      <c r="M33" s="88">
        <f ca="1">M16-M25-M30</f>
        <v>246250000</v>
      </c>
      <c r="N33" s="88">
        <f ca="1">N16-N25-N30</f>
        <v>344750000</v>
      </c>
      <c r="O33" s="88">
        <f ca="1">O16-O25-O30</f>
        <v>492500000</v>
      </c>
      <c r="P33" s="88">
        <f ca="1">P16-P25-P30</f>
        <v>738750000</v>
      </c>
    </row>
    <row r="34" spans="1:16" x14ac:dyDescent="0.2">
      <c r="A34" s="1"/>
      <c r="B34" s="1"/>
      <c r="C34" s="1"/>
      <c r="D34" s="1"/>
      <c r="E34" s="1"/>
      <c r="F34" s="1"/>
      <c r="G34" s="1"/>
      <c r="H34" s="1"/>
      <c r="I34" s="56"/>
      <c r="J34" s="56"/>
      <c r="K34" s="56"/>
      <c r="L34" s="56"/>
      <c r="M34" s="56"/>
      <c r="N34" s="56"/>
      <c r="O34" s="56"/>
      <c r="P34" s="56"/>
    </row>
    <row r="35" spans="1:16" x14ac:dyDescent="0.2">
      <c r="A35" s="1"/>
      <c r="B35" s="3" t="s">
        <v>114</v>
      </c>
      <c r="C35" s="1"/>
      <c r="D35" s="1"/>
      <c r="E35" s="1"/>
      <c r="F35" s="1"/>
      <c r="G35" s="1"/>
      <c r="H35" s="1"/>
      <c r="I35" s="56"/>
      <c r="J35" s="56"/>
      <c r="K35" s="56"/>
      <c r="L35" s="56"/>
      <c r="M35" s="56"/>
      <c r="N35" s="56"/>
      <c r="O35" s="56"/>
      <c r="P35" s="56"/>
    </row>
    <row r="36" spans="1:16" x14ac:dyDescent="0.2">
      <c r="A36" s="1"/>
      <c r="B36" s="1" t="s">
        <v>144</v>
      </c>
      <c r="C36" s="1"/>
      <c r="D36" s="1"/>
      <c r="E36" s="1"/>
      <c r="F36" s="1"/>
      <c r="G36" s="1"/>
      <c r="H36" s="1"/>
      <c r="I36" s="90">
        <f ca="1">'Series A'!C13+'Series A'!L12+IF(I24="yes",$G$19,0)+IF(I29="yes",$G$20,0)</f>
        <v>11530108</v>
      </c>
      <c r="J36" s="90">
        <f ca="1">'Series A'!C13+'Series A'!L12+IF(J24="yes",$G$19,0)+IF(J29="yes",$G$20,0)</f>
        <v>13912139</v>
      </c>
      <c r="K36" s="90">
        <f ca="1">'Series A'!C13+'Series A'!L12+IF(K24="yes",$G$19,0)+IF(K29="yes",$G$20,0)</f>
        <v>18549498</v>
      </c>
      <c r="L36" s="90">
        <f ca="1">'Series A'!C13+'Series A'!L12+IF(L24="yes",$G$19,0)+IF(L29="yes",$G$20,0)</f>
        <v>18549498</v>
      </c>
      <c r="M36" s="90">
        <f ca="1">'Series A'!C13+'Series A'!L12+IF(M24="yes",$G$19,0)+IF(M29="yes",$G$20,0)</f>
        <v>18549498</v>
      </c>
      <c r="N36" s="90">
        <f ca="1">'Series A'!C13+'Series A'!L12+IF(N24="yes",$G$19,0)+IF(N29="yes",$G$20,0)</f>
        <v>18549498</v>
      </c>
      <c r="O36" s="90">
        <f ca="1">'Series A'!C13+'Series A'!L12+IF(O24="yes",$G$19,0)+IF(O29="yes",$G$20,0)</f>
        <v>18549498</v>
      </c>
      <c r="P36" s="90">
        <f ca="1">'Series A'!C13+'Series A'!L12+IF(P24="yes",$G$19,0)+IF(P29="yes",$G$20,0)</f>
        <v>18549498</v>
      </c>
    </row>
    <row r="37" spans="1:16" x14ac:dyDescent="0.2">
      <c r="A37" s="1"/>
      <c r="B37" s="1" t="s">
        <v>145</v>
      </c>
      <c r="C37" s="1"/>
      <c r="D37" s="1"/>
      <c r="E37" s="1"/>
      <c r="F37" s="1"/>
      <c r="G37" s="1"/>
      <c r="H37" s="1"/>
      <c r="I37" s="90">
        <f ca="1">IFERROR(I33/I36,0)</f>
        <v>1.6847194258082461</v>
      </c>
      <c r="J37" s="90">
        <f ca="1">IFERROR(J33/J36,0)</f>
        <v>4.2265246275069561</v>
      </c>
      <c r="K37" s="90">
        <f ca="1">IFERROR(K33/K36,0)</f>
        <v>6.3721400978074989</v>
      </c>
      <c r="L37" s="90">
        <f ca="1">IFERROR(L33/L36,0)</f>
        <v>9.5582101467112484</v>
      </c>
      <c r="M37" s="90">
        <f ca="1">IFERROR(M33/M36,0)</f>
        <v>13.275291870432289</v>
      </c>
      <c r="N37" s="90">
        <f ca="1">IFERROR(N33/N36,0)</f>
        <v>18.585408618605204</v>
      </c>
      <c r="O37" s="90">
        <f ca="1">IFERROR(O33/O36,0)</f>
        <v>26.550583740864578</v>
      </c>
      <c r="P37" s="90">
        <f ca="1">IFERROR(P33/P36,0)</f>
        <v>39.825875611296865</v>
      </c>
    </row>
    <row r="38" spans="1:16" x14ac:dyDescent="0.2">
      <c r="A38" s="1"/>
      <c r="B38" s="1"/>
      <c r="C38" s="1"/>
      <c r="D38" s="1"/>
      <c r="E38" s="1"/>
      <c r="F38" s="1"/>
      <c r="G38" s="1"/>
      <c r="H38" s="1"/>
      <c r="I38" s="56"/>
      <c r="J38" s="56"/>
      <c r="K38" s="56"/>
      <c r="L38" s="56"/>
      <c r="M38" s="56"/>
      <c r="N38" s="56"/>
      <c r="O38" s="56"/>
      <c r="P38" s="56"/>
    </row>
    <row r="39" spans="1:16" x14ac:dyDescent="0.2">
      <c r="A39" s="1"/>
      <c r="B39" s="3" t="s">
        <v>115</v>
      </c>
      <c r="C39" s="1"/>
      <c r="D39" s="1"/>
      <c r="E39" s="1"/>
      <c r="F39" s="1"/>
      <c r="G39" s="1"/>
      <c r="H39" s="1"/>
      <c r="I39" s="56"/>
      <c r="J39" s="56"/>
      <c r="K39" s="56"/>
      <c r="L39" s="56"/>
      <c r="M39" s="56"/>
      <c r="N39" s="56"/>
      <c r="O39" s="56"/>
      <c r="P39" s="56"/>
    </row>
    <row r="40" spans="1:16" x14ac:dyDescent="0.2">
      <c r="A40" s="1"/>
      <c r="B40" s="1" t="s">
        <v>116</v>
      </c>
      <c r="C40" s="1"/>
      <c r="D40" s="1"/>
      <c r="E40" s="1"/>
      <c r="F40" s="1"/>
      <c r="G40" s="1"/>
      <c r="H40" s="1"/>
      <c r="I40" s="91">
        <f ca="1">IF(I24="yes",I37,I26)</f>
        <v>4.1246319529565065</v>
      </c>
      <c r="J40" s="91">
        <f ca="1">IF(J24="yes",J37,J26)</f>
        <v>4.2265246275069561</v>
      </c>
      <c r="K40" s="91">
        <f ca="1">IF(K24="yes",K37,K26)</f>
        <v>6.3721400978074989</v>
      </c>
      <c r="L40" s="91">
        <f ca="1">IF(L24="yes",L37,L26)</f>
        <v>9.5582101467112484</v>
      </c>
      <c r="M40" s="91">
        <f ca="1">IF(M24="yes",M37,M26)</f>
        <v>13.275291870432289</v>
      </c>
      <c r="N40" s="91">
        <f ca="1">IF(N24="yes",N37,N26)</f>
        <v>18.585408618605204</v>
      </c>
      <c r="O40" s="91">
        <f ca="1">IF(O24="yes",O37,O26)</f>
        <v>26.550583740864578</v>
      </c>
      <c r="P40" s="91">
        <f ca="1">IF(P24="yes",P37,P26)</f>
        <v>39.825875611296865</v>
      </c>
    </row>
    <row r="41" spans="1:16" x14ac:dyDescent="0.2">
      <c r="A41" s="1"/>
      <c r="B41" s="1" t="s">
        <v>52</v>
      </c>
      <c r="C41" s="1"/>
      <c r="D41" s="1"/>
      <c r="E41" s="1"/>
      <c r="F41" s="1"/>
      <c r="G41" s="1"/>
      <c r="H41" s="1"/>
      <c r="I41" s="91">
        <f ca="1">IF(I29="yes",I37,I31)</f>
        <v>4.3128000000000002</v>
      </c>
      <c r="J41" s="91">
        <f ca="1">IF(J29="yes",J37,J31)</f>
        <v>4.3128000000000002</v>
      </c>
      <c r="K41" s="91">
        <f ca="1">IF(K29="yes",K37,K31)</f>
        <v>6.3721400978074989</v>
      </c>
      <c r="L41" s="91">
        <f ca="1">IF(L29="yes",L37,L31)</f>
        <v>9.5582101467112484</v>
      </c>
      <c r="M41" s="91">
        <f ca="1">IF(M29="yes",M37,M31)</f>
        <v>13.275291870432289</v>
      </c>
      <c r="N41" s="91">
        <f ca="1">IF(N29="yes",N37,N31)</f>
        <v>18.585408618605204</v>
      </c>
      <c r="O41" s="91">
        <f ca="1">IF(O29="yes",O37,O31)</f>
        <v>26.550583740864578</v>
      </c>
      <c r="P41" s="91">
        <f ca="1">IF(P29="yes",P37,P31)</f>
        <v>39.825875611296865</v>
      </c>
    </row>
    <row r="42" spans="1:16" x14ac:dyDescent="0.2">
      <c r="A42" s="1"/>
      <c r="B42" s="1" t="s">
        <v>82</v>
      </c>
      <c r="C42" s="1"/>
      <c r="D42" s="1"/>
      <c r="E42" s="1"/>
      <c r="F42" s="1"/>
      <c r="G42" s="1"/>
      <c r="H42" s="1"/>
      <c r="I42" s="91">
        <f ca="1">I37</f>
        <v>1.6847194258082461</v>
      </c>
      <c r="J42" s="91">
        <f ca="1">J37</f>
        <v>4.2265246275069561</v>
      </c>
      <c r="K42" s="91">
        <f ca="1">K37</f>
        <v>6.3721400978074989</v>
      </c>
      <c r="L42" s="91">
        <f ca="1">L37</f>
        <v>9.5582101467112484</v>
      </c>
      <c r="M42" s="91">
        <f ca="1">M37</f>
        <v>13.275291870432289</v>
      </c>
      <c r="N42" s="91">
        <f ca="1">N37</f>
        <v>18.585408618605204</v>
      </c>
      <c r="O42" s="91">
        <f ca="1">O37</f>
        <v>26.550583740864578</v>
      </c>
      <c r="P42" s="91">
        <f ca="1">P37</f>
        <v>39.825875611296865</v>
      </c>
    </row>
    <row r="43" spans="1:16" x14ac:dyDescent="0.2">
      <c r="A43" s="1"/>
      <c r="B43" s="1"/>
      <c r="C43" s="1"/>
      <c r="D43" s="1"/>
      <c r="E43" s="1"/>
      <c r="F43" s="1"/>
      <c r="G43" s="1"/>
      <c r="H43" s="1"/>
      <c r="I43" s="56"/>
      <c r="J43" s="56"/>
      <c r="K43" s="56"/>
      <c r="L43" s="56"/>
      <c r="M43" s="56"/>
      <c r="N43" s="56"/>
      <c r="O43" s="56"/>
      <c r="P43" s="56"/>
    </row>
    <row r="44" spans="1:16" x14ac:dyDescent="0.2">
      <c r="A44" s="1"/>
      <c r="B44" s="3" t="s">
        <v>117</v>
      </c>
      <c r="C44" s="1"/>
      <c r="D44" s="1"/>
      <c r="E44" s="1"/>
      <c r="F44" s="1"/>
      <c r="G44" s="1"/>
      <c r="H44" s="1"/>
      <c r="I44" s="56"/>
      <c r="J44" s="56"/>
      <c r="K44" s="56"/>
      <c r="L44" s="56"/>
      <c r="M44" s="56"/>
      <c r="N44" s="56"/>
      <c r="O44" s="56"/>
      <c r="P44" s="56"/>
    </row>
    <row r="45" spans="1:16" x14ac:dyDescent="0.2">
      <c r="A45" s="1"/>
      <c r="B45" s="1" t="s">
        <v>116</v>
      </c>
      <c r="C45" s="1"/>
      <c r="D45" s="1"/>
      <c r="E45" s="1"/>
      <c r="F45" s="1"/>
      <c r="G45" s="1"/>
      <c r="H45" s="1"/>
      <c r="I45" s="88">
        <f ca="1">I40*$G$19</f>
        <v>9825001.1755329408</v>
      </c>
      <c r="J45" s="88">
        <f ca="1">J40*$G$19</f>
        <v>10067712.684985023</v>
      </c>
      <c r="K45" s="88">
        <f ca="1">K40*$G$19</f>
        <v>15178635.249320494</v>
      </c>
      <c r="L45" s="88">
        <f ca="1">L40*$G$19</f>
        <v>22767952.873980742</v>
      </c>
      <c r="M45" s="88">
        <f ca="1">M40*$G$19</f>
        <v>31622156.769417696</v>
      </c>
      <c r="N45" s="88">
        <f ca="1">N40*$G$19</f>
        <v>44271019.477184772</v>
      </c>
      <c r="O45" s="88">
        <f ca="1">O40*$G$19</f>
        <v>63244313.538835391</v>
      </c>
      <c r="P45" s="88">
        <f ca="1">P40*$G$19</f>
        <v>94866470.30825308</v>
      </c>
    </row>
    <row r="46" spans="1:16" x14ac:dyDescent="0.2">
      <c r="A46" s="1"/>
      <c r="B46" s="1" t="s">
        <v>52</v>
      </c>
      <c r="C46" s="1"/>
      <c r="D46" s="1"/>
      <c r="E46" s="1"/>
      <c r="F46" s="1"/>
      <c r="G46" s="1"/>
      <c r="H46" s="1"/>
      <c r="I46" s="88">
        <f ca="1">I41*$G$20</f>
        <v>20000001.895199999</v>
      </c>
      <c r="J46" s="88">
        <f ca="1">J41*$G$20</f>
        <v>20000001.895199999</v>
      </c>
      <c r="K46" s="88">
        <f ca="1">K41*$G$20</f>
        <v>29549901.231828485</v>
      </c>
      <c r="L46" s="88">
        <f ca="1">L41*$G$20</f>
        <v>44324851.847742729</v>
      </c>
      <c r="M46" s="88">
        <f ca="1">M41*$G$20</f>
        <v>61562294.232976012</v>
      </c>
      <c r="N46" s="88">
        <f ca="1">N41*$G$20</f>
        <v>86187211.926166415</v>
      </c>
      <c r="O46" s="88">
        <f ca="1">O41*$G$20</f>
        <v>123124588.46595202</v>
      </c>
      <c r="P46" s="88">
        <f ca="1">P41*$G$20</f>
        <v>184686882.69892803</v>
      </c>
    </row>
    <row r="47" spans="1:16" x14ac:dyDescent="0.2">
      <c r="A47" s="1"/>
      <c r="B47" s="1" t="s">
        <v>82</v>
      </c>
      <c r="C47" s="1"/>
      <c r="D47" s="1"/>
      <c r="E47" s="1"/>
      <c r="F47" s="1"/>
      <c r="G47" s="1"/>
      <c r="H47" s="1"/>
      <c r="I47" s="88">
        <f ca="1">I42*('Series A'!$C$13+'Series A'!$L$12)</f>
        <v>19424996.929267064</v>
      </c>
      <c r="J47" s="88">
        <f ca="1">J42*('Series A'!$C$13+'Series A'!$L$12)</f>
        <v>48732285.419814974</v>
      </c>
      <c r="K47" s="88">
        <f ca="1">K42*('Series A'!$C$13+'Series A'!$L$12)</f>
        <v>73471463.518851027</v>
      </c>
      <c r="L47" s="88">
        <f ca="1">L42*('Series A'!$C$13+'Series A'!$L$12)</f>
        <v>110207195.27827653</v>
      </c>
      <c r="M47" s="88">
        <f ca="1">M42*('Series A'!$C$13+'Series A'!$L$12)</f>
        <v>153065548.99760631</v>
      </c>
      <c r="N47" s="88">
        <f ca="1">N42*('Series A'!$C$13+'Series A'!$L$12)</f>
        <v>214291768.59664881</v>
      </c>
      <c r="O47" s="88">
        <f ca="1">O42*('Series A'!$C$13+'Series A'!$L$12)</f>
        <v>306131097.99521261</v>
      </c>
      <c r="P47" s="88">
        <f ca="1">P42*('Series A'!$C$13+'Series A'!$L$12)</f>
        <v>459196646.99281889</v>
      </c>
    </row>
    <row r="48" spans="1:16" x14ac:dyDescent="0.2">
      <c r="A48" s="1"/>
      <c r="B48" s="1"/>
      <c r="C48" s="1"/>
      <c r="D48" s="1"/>
      <c r="E48" s="1"/>
      <c r="F48" s="1"/>
      <c r="G48" s="1"/>
      <c r="H48" s="1"/>
      <c r="I48" s="88"/>
      <c r="J48" s="88"/>
      <c r="K48" s="88"/>
      <c r="L48" s="88"/>
      <c r="M48" s="88"/>
      <c r="N48" s="88"/>
      <c r="O48" s="88"/>
      <c r="P48" s="88"/>
    </row>
    <row r="49" spans="1:16" x14ac:dyDescent="0.2">
      <c r="A49" s="1"/>
      <c r="B49" s="1" t="s">
        <v>146</v>
      </c>
      <c r="C49" s="1"/>
      <c r="D49" s="1"/>
      <c r="E49" s="1"/>
      <c r="F49" s="1"/>
      <c r="G49" s="1"/>
      <c r="H49" s="1"/>
      <c r="I49" s="88">
        <f ca="1">SUM(I45:I47)-I16</f>
        <v>0</v>
      </c>
      <c r="J49" s="88">
        <f ca="1">SUM(J45:J47)-J16</f>
        <v>0</v>
      </c>
      <c r="K49" s="88">
        <f ca="1">SUM(K45:K47)-K16</f>
        <v>0</v>
      </c>
      <c r="L49" s="88">
        <f ca="1">SUM(L45:L47)-L16</f>
        <v>0</v>
      </c>
      <c r="M49" s="88">
        <f ca="1">SUM(M45:M47)-M16</f>
        <v>0</v>
      </c>
      <c r="N49" s="88">
        <f ca="1">SUM(N45:N47)-N16</f>
        <v>0</v>
      </c>
      <c r="O49" s="88">
        <f ca="1">SUM(O45:O47)-O16</f>
        <v>0</v>
      </c>
      <c r="P49" s="88">
        <f ca="1">SUM(P45:P47)-P16</f>
        <v>0</v>
      </c>
    </row>
    <row r="50" spans="1:16" x14ac:dyDescent="0.2">
      <c r="A50" s="1"/>
      <c r="B50" s="1"/>
      <c r="C50" s="1"/>
      <c r="D50" s="1"/>
      <c r="E50" s="1"/>
      <c r="F50" s="1"/>
      <c r="G50" s="1"/>
      <c r="H50" s="1"/>
      <c r="I50" s="56"/>
      <c r="J50" s="56"/>
      <c r="K50" s="56"/>
      <c r="L50" s="56"/>
      <c r="M50" s="56"/>
      <c r="N50" s="56"/>
      <c r="O50" s="56"/>
      <c r="P50" s="56"/>
    </row>
    <row r="51" spans="1:16" x14ac:dyDescent="0.2">
      <c r="A51" s="1"/>
      <c r="B51" s="3" t="s">
        <v>121</v>
      </c>
      <c r="C51" s="1"/>
      <c r="D51" s="1"/>
      <c r="E51" s="1"/>
      <c r="F51" s="1"/>
      <c r="G51" s="1"/>
      <c r="H51" s="1"/>
      <c r="I51" s="56"/>
      <c r="J51" s="56"/>
      <c r="K51" s="56"/>
      <c r="L51" s="56"/>
      <c r="M51" s="56"/>
      <c r="N51" s="56"/>
      <c r="O51" s="56"/>
      <c r="P51" s="56"/>
    </row>
    <row r="52" spans="1:16" x14ac:dyDescent="0.2">
      <c r="A52" s="1"/>
      <c r="B52" s="1" t="str">
        <f>'Series A'!B8</f>
        <v>Brian Hazzard</v>
      </c>
      <c r="C52" s="1"/>
      <c r="D52" s="1"/>
      <c r="E52" s="1"/>
      <c r="F52" s="1"/>
      <c r="G52" s="1"/>
      <c r="H52" s="1"/>
      <c r="I52" s="88">
        <f ca="1">I$40*'Series A'!$E8+I$41*'Series A'!$J8+I$42*'Series A'!$C8</f>
        <v>6064989.9329096861</v>
      </c>
      <c r="J52" s="88">
        <f ca="1">J$40*'Series A'!$E8+J$41*'Series A'!$J8+J$42*'Series A'!$C8</f>
        <v>15215488.659025041</v>
      </c>
      <c r="K52" s="88">
        <f ca="1">K$40*'Series A'!$E8+K$41*'Series A'!$J8+K$42*'Series A'!$C8</f>
        <v>22939704.352106996</v>
      </c>
      <c r="L52" s="88">
        <f ca="1">L$40*'Series A'!$E8+L$41*'Series A'!$J8+L$42*'Series A'!$C8</f>
        <v>34409556.528160498</v>
      </c>
      <c r="M52" s="88">
        <f ca="1">M$40*'Series A'!$E8+M$41*'Series A'!$J8+M$42*'Series A'!$C8</f>
        <v>47791050.733556241</v>
      </c>
      <c r="N52" s="88">
        <f ca="1">N$40*'Series A'!$E8+N$41*'Series A'!$J8+N$42*'Series A'!$C8</f>
        <v>66907471.026978731</v>
      </c>
      <c r="O52" s="88">
        <f ca="1">O$40*'Series A'!$E8+O$41*'Series A'!$J8+O$42*'Series A'!$C8</f>
        <v>95582101.467112482</v>
      </c>
      <c r="P52" s="88">
        <f ca="1">P$40*'Series A'!$E8+P$41*'Series A'!$J8+P$42*'Series A'!$C8</f>
        <v>143373152.20066872</v>
      </c>
    </row>
    <row r="53" spans="1:16" x14ac:dyDescent="0.2">
      <c r="A53" s="1"/>
      <c r="B53" s="1" t="str">
        <f>'Series A'!B9</f>
        <v>David Wolpoff</v>
      </c>
      <c r="C53" s="1"/>
      <c r="D53" s="1"/>
      <c r="E53" s="1"/>
      <c r="F53" s="1"/>
      <c r="G53" s="1"/>
      <c r="H53" s="1"/>
      <c r="I53" s="88">
        <f ca="1">I$40*'Series A'!$E9+I$41*'Series A'!$J9+I$42*'Series A'!$C9</f>
        <v>6064989.9329096861</v>
      </c>
      <c r="J53" s="88">
        <f ca="1">J$40*'Series A'!$E9+J$41*'Series A'!$J9+J$42*'Series A'!$C9</f>
        <v>15215488.659025041</v>
      </c>
      <c r="K53" s="88">
        <f ca="1">K$40*'Series A'!$E9+K$41*'Series A'!$J9+K$42*'Series A'!$C9</f>
        <v>22939704.352106996</v>
      </c>
      <c r="L53" s="88">
        <f ca="1">L$40*'Series A'!$E9+L$41*'Series A'!$J9+L$42*'Series A'!$C9</f>
        <v>34409556.528160498</v>
      </c>
      <c r="M53" s="88">
        <f ca="1">M$40*'Series A'!$E9+M$41*'Series A'!$J9+M$42*'Series A'!$C9</f>
        <v>47791050.733556241</v>
      </c>
      <c r="N53" s="88">
        <f ca="1">N$40*'Series A'!$E9+N$41*'Series A'!$J9+N$42*'Series A'!$C9</f>
        <v>66907471.026978731</v>
      </c>
      <c r="O53" s="88">
        <f ca="1">O$40*'Series A'!$E9+O$41*'Series A'!$J9+O$42*'Series A'!$C9</f>
        <v>95582101.467112482</v>
      </c>
      <c r="P53" s="88">
        <f ca="1">P$40*'Series A'!$E9+P$41*'Series A'!$J9+P$42*'Series A'!$C9</f>
        <v>143373152.20066872</v>
      </c>
    </row>
    <row r="54" spans="1:16" x14ac:dyDescent="0.2">
      <c r="A54" s="1"/>
      <c r="B54" s="1" t="str">
        <f>'Series A'!B10</f>
        <v>Other Common Shareholders</v>
      </c>
      <c r="C54" s="1"/>
      <c r="D54" s="1"/>
      <c r="E54" s="1"/>
      <c r="F54" s="1"/>
      <c r="G54" s="1"/>
      <c r="H54" s="1"/>
      <c r="I54" s="88">
        <f ca="1">I$40*'Series A'!$E10+I$41*'Series A'!$J10+I$42*'Series A'!$C10</f>
        <v>2443542.3259836673</v>
      </c>
      <c r="J54" s="88">
        <f ca="1">J$40*'Series A'!$E10+J$41*'Series A'!$J10+J$42*'Series A'!$C10</f>
        <v>6130214.7176055014</v>
      </c>
      <c r="K54" s="88">
        <f ca="1">K$40*'Series A'!$E10+K$41*'Series A'!$J10+K$42*'Series A'!$C10</f>
        <v>9242247.5799614638</v>
      </c>
      <c r="L54" s="88">
        <f ca="1">L$40*'Series A'!$E10+L$41*'Series A'!$J10+L$42*'Series A'!$C10</f>
        <v>13863371.369942196</v>
      </c>
      <c r="M54" s="88">
        <f ca="1">M$40*'Series A'!$E10+M$41*'Series A'!$J10+M$42*'Series A'!$C10</f>
        <v>19254682.458253048</v>
      </c>
      <c r="N54" s="88">
        <f ca="1">N$40*'Series A'!$E10+N$41*'Series A'!$J10+N$42*'Series A'!$C10</f>
        <v>26956555.441554267</v>
      </c>
      <c r="O54" s="88">
        <f ca="1">O$40*'Series A'!$E10+O$41*'Series A'!$J10+O$42*'Series A'!$C10</f>
        <v>38509364.916506097</v>
      </c>
      <c r="P54" s="88">
        <f ca="1">P$40*'Series A'!$E10+P$41*'Series A'!$J10+P$42*'Series A'!$C10</f>
        <v>57764047.374759145</v>
      </c>
    </row>
    <row r="55" spans="1:16" x14ac:dyDescent="0.2">
      <c r="A55" s="1"/>
      <c r="B55" s="1" t="str">
        <f>'Series A'!B11</f>
        <v>ESOP Outstanding</v>
      </c>
      <c r="C55" s="1"/>
      <c r="D55" s="1"/>
      <c r="E55" s="1"/>
      <c r="F55" s="1"/>
      <c r="G55" s="1"/>
      <c r="H55" s="1"/>
      <c r="I55" s="88">
        <f ca="1">I$40*'Series A'!$E11+I$41*'Series A'!$J11+I$42*('Series A'!$C11+'Series A'!$C12+'Series A'!$L12)</f>
        <v>4851474.7374640256</v>
      </c>
      <c r="J55" s="88">
        <f ca="1">J$40*'Series A'!$E11+J$41*'Series A'!$J11+J$42*('Series A'!$C11+'Series A'!$C12+'Series A'!$L12)</f>
        <v>12171093.38415939</v>
      </c>
      <c r="K55" s="88">
        <f ca="1">K$40*'Series A'!$E11+K$41*'Series A'!$J11+K$42*('Series A'!$C11+'Series A'!$C12+'Series A'!$L12)</f>
        <v>18349807.234675571</v>
      </c>
      <c r="L55" s="88">
        <f ca="1">L$40*'Series A'!$E11+L$41*'Series A'!$J11+L$42*('Series A'!$C11+'Series A'!$C12+'Series A'!$L12)</f>
        <v>27524710.852013353</v>
      </c>
      <c r="M55" s="88">
        <f ca="1">M$40*'Series A'!$E11+M$41*'Series A'!$J11+M$42*('Series A'!$C11+'Series A'!$C12+'Series A'!$L12)</f>
        <v>38228765.07224077</v>
      </c>
      <c r="N55" s="88">
        <f ca="1">N$40*'Series A'!$E11+N$41*'Series A'!$J11+N$42*('Series A'!$C11+'Series A'!$C12+'Series A'!$L12)</f>
        <v>53520271.101137072</v>
      </c>
      <c r="O55" s="88">
        <f ca="1">O$40*'Series A'!$E11+O$41*'Series A'!$J11+O$42*('Series A'!$C11+'Series A'!$C12+'Series A'!$L12)</f>
        <v>76457530.14448154</v>
      </c>
      <c r="P55" s="88">
        <f ca="1">P$40*'Series A'!$E11+P$41*'Series A'!$J11+P$42*('Series A'!$C11+'Series A'!$C12+'Series A'!$L12)</f>
        <v>114686295.21672231</v>
      </c>
    </row>
    <row r="56" spans="1:16" x14ac:dyDescent="0.2">
      <c r="A56" s="1"/>
      <c r="B56" s="1" t="s">
        <v>42</v>
      </c>
      <c r="C56" s="1"/>
      <c r="D56" s="1"/>
      <c r="E56" s="1"/>
      <c r="F56" s="1"/>
      <c r="G56" s="1"/>
      <c r="H56" s="1"/>
      <c r="I56" s="88">
        <f ca="1">I$40*'Series A'!$E15+I$41*'Series A'!$J15+I$42*'Series A'!$C15</f>
        <v>13000001.575099993</v>
      </c>
      <c r="J56" s="88">
        <f ca="1">J$40*'Series A'!$E15+J$41*'Series A'!$J15+J$42*'Series A'!$C15</f>
        <v>13197629.244199784</v>
      </c>
      <c r="K56" s="88">
        <f ca="1">K$40*'Series A'!$E15+K$41*'Series A'!$J15+K$42*'Series A'!$C15</f>
        <v>19746669.554076344</v>
      </c>
      <c r="L56" s="88">
        <f ca="1">L$40*'Series A'!$E15+L$41*'Series A'!$J15+L$42*'Series A'!$C15</f>
        <v>29620004.331114516</v>
      </c>
      <c r="M56" s="88">
        <f ca="1">M$40*'Series A'!$E15+M$41*'Series A'!$J15+M$42*'Series A'!$C15</f>
        <v>41138894.904325709</v>
      </c>
      <c r="N56" s="88">
        <f ca="1">N$40*'Series A'!$E15+N$41*'Series A'!$J15+N$42*'Series A'!$C15</f>
        <v>57594452.866055995</v>
      </c>
      <c r="O56" s="88">
        <f ca="1">O$40*'Series A'!$E15+O$41*'Series A'!$J15+O$42*'Series A'!$C15</f>
        <v>82277789.808651417</v>
      </c>
      <c r="P56" s="88">
        <f ca="1">P$40*'Series A'!$E15+P$41*'Series A'!$J15+P$42*'Series A'!$C15</f>
        <v>123416684.71297714</v>
      </c>
    </row>
    <row r="57" spans="1:16" x14ac:dyDescent="0.2">
      <c r="A57" s="1"/>
      <c r="B57" s="1" t="s">
        <v>87</v>
      </c>
      <c r="C57" s="1"/>
      <c r="D57" s="1"/>
      <c r="E57" s="1"/>
      <c r="F57" s="1"/>
      <c r="G57" s="1"/>
      <c r="H57" s="1"/>
      <c r="I57" s="88">
        <f ca="1">I$40*'Series A'!$E16+I$41*'Series A'!$J16+I$42*'Series A'!$C16</f>
        <v>1825001.1524329477</v>
      </c>
      <c r="J57" s="88">
        <f ca="1">J$40*'Series A'!$E16+J$41*'Series A'!$J16+J$42*'Series A'!$C16</f>
        <v>1870084.9927852377</v>
      </c>
      <c r="K57" s="88">
        <f ca="1">K$40*'Series A'!$E16+K$41*'Series A'!$J16+K$42*'Series A'!$C16</f>
        <v>2819442.5962362974</v>
      </c>
      <c r="L57" s="88">
        <f ca="1">L$40*'Series A'!$E16+L$41*'Series A'!$J16+L$42*'Series A'!$C16</f>
        <v>4229163.8943544459</v>
      </c>
      <c r="M57" s="88">
        <f ca="1">M$40*'Series A'!$E16+M$41*'Series A'!$J16+M$42*'Series A'!$C16</f>
        <v>5873838.7421589522</v>
      </c>
      <c r="N57" s="88">
        <f ca="1">N$40*'Series A'!$E16+N$41*'Series A'!$J16+N$42*'Series A'!$C16</f>
        <v>8223374.2390225325</v>
      </c>
      <c r="O57" s="88">
        <f ca="1">O$40*'Series A'!$E16+O$41*'Series A'!$J16+O$42*'Series A'!$C16</f>
        <v>11747677.484317904</v>
      </c>
      <c r="P57" s="88">
        <f ca="1">P$40*'Series A'!$E16+P$41*'Series A'!$J16+P$42*'Series A'!$C16</f>
        <v>17621516.226476856</v>
      </c>
    </row>
    <row r="58" spans="1:16" x14ac:dyDescent="0.2">
      <c r="A58" s="1"/>
      <c r="B58" s="1" t="s">
        <v>67</v>
      </c>
      <c r="C58" s="1"/>
      <c r="D58" s="1"/>
      <c r="E58" s="1"/>
      <c r="F58" s="1"/>
      <c r="G58" s="1"/>
      <c r="H58" s="1"/>
      <c r="I58" s="88">
        <f ca="1">I$41*'Series A'!$J17+I$42*'Series A'!$C17</f>
        <v>11999999.412</v>
      </c>
      <c r="J58" s="88">
        <f ca="1">J$41*'Series A'!$J17+J$42*'Series A'!$C17</f>
        <v>11999999.412</v>
      </c>
      <c r="K58" s="88">
        <f ca="1">K$41*'Series A'!$J17+K$42*'Series A'!$C17</f>
        <v>17729938.190241054</v>
      </c>
      <c r="L58" s="88">
        <f ca="1">L$41*'Series A'!$J17+L$42*'Series A'!$C17</f>
        <v>26594907.285361577</v>
      </c>
      <c r="M58" s="88">
        <f ca="1">M$41*'Series A'!$J17+M$42*'Series A'!$C17</f>
        <v>36937371.229668856</v>
      </c>
      <c r="N58" s="88">
        <f ca="1">N$41*'Series A'!$J17+N$42*'Series A'!$C17</f>
        <v>51712319.721536398</v>
      </c>
      <c r="O58" s="88">
        <f ca="1">O$41*'Series A'!$J17+O$42*'Series A'!$C17</f>
        <v>73874742.459337711</v>
      </c>
      <c r="P58" s="88">
        <f ca="1">P$41*'Series A'!$J17+P$42*'Series A'!$C17</f>
        <v>110812113.68900657</v>
      </c>
    </row>
    <row r="59" spans="1:16" x14ac:dyDescent="0.2">
      <c r="A59" s="1"/>
      <c r="B59" s="1" t="s">
        <v>68</v>
      </c>
      <c r="C59" s="1"/>
      <c r="D59" s="1"/>
      <c r="E59" s="1"/>
      <c r="F59" s="1"/>
      <c r="G59" s="1"/>
      <c r="H59" s="1"/>
      <c r="I59" s="88">
        <f ca="1">I$41*'Series A'!$J18+I$42*'Series A'!$C18</f>
        <v>3000000.9312</v>
      </c>
      <c r="J59" s="88">
        <f ca="1">J$41*'Series A'!$J18+J$42*'Series A'!$C18</f>
        <v>3000000.9312</v>
      </c>
      <c r="K59" s="88">
        <f ca="1">K$41*'Series A'!$J18+K$42*'Series A'!$C18</f>
        <v>4432486.1405952871</v>
      </c>
      <c r="L59" s="88">
        <f ca="1">L$41*'Series A'!$J18+L$42*'Series A'!$C18</f>
        <v>6648729.2108929316</v>
      </c>
      <c r="M59" s="88">
        <f ca="1">M$41*'Series A'!$J18+M$42*'Series A'!$C18</f>
        <v>9234346.1262401827</v>
      </c>
      <c r="N59" s="88">
        <f ca="1">N$41*'Series A'!$J18+N$42*'Series A'!$C18</f>
        <v>12928084.576736255</v>
      </c>
      <c r="O59" s="88">
        <f ca="1">O$41*'Series A'!$J18+O$42*'Series A'!$C18</f>
        <v>18468692.252480365</v>
      </c>
      <c r="P59" s="88">
        <f ca="1">P$41*'Series A'!$J18+P$42*'Series A'!$C18</f>
        <v>27703038.378720544</v>
      </c>
    </row>
    <row r="60" spans="1:16" x14ac:dyDescent="0.2">
      <c r="A60" s="1"/>
      <c r="B60" s="1"/>
      <c r="C60" s="1"/>
      <c r="D60" s="1"/>
      <c r="E60" s="1"/>
      <c r="F60" s="1"/>
      <c r="G60" s="1"/>
      <c r="H60" s="1"/>
      <c r="I60" s="88"/>
      <c r="J60" s="88"/>
      <c r="K60" s="88"/>
      <c r="L60" s="88"/>
      <c r="M60" s="88"/>
      <c r="N60" s="88"/>
      <c r="O60" s="88"/>
      <c r="P60" s="88"/>
    </row>
    <row r="61" spans="1:16" x14ac:dyDescent="0.2">
      <c r="A61" s="1"/>
      <c r="B61" s="1" t="s">
        <v>147</v>
      </c>
      <c r="C61" s="1"/>
      <c r="D61" s="1"/>
      <c r="E61" s="1"/>
      <c r="F61" s="1"/>
      <c r="G61" s="1"/>
      <c r="H61" s="1"/>
      <c r="I61" s="88">
        <f ca="1">SUM(I52:I59)-I16</f>
        <v>0</v>
      </c>
      <c r="J61" s="88">
        <f ca="1">SUM(J52:J59)-J16</f>
        <v>0</v>
      </c>
      <c r="K61" s="88">
        <f ca="1">SUM(K52:K59)-K16</f>
        <v>0</v>
      </c>
      <c r="L61" s="88">
        <f ca="1">SUM(L52:L59)-L16</f>
        <v>0</v>
      </c>
      <c r="M61" s="88">
        <f ca="1">SUM(M52:M59)-M16</f>
        <v>0</v>
      </c>
      <c r="N61" s="88">
        <f ca="1">SUM(N52:N59)-N16</f>
        <v>0</v>
      </c>
      <c r="O61" s="88">
        <f ca="1">SUM(O52:O59)-O16</f>
        <v>0</v>
      </c>
      <c r="P61" s="88">
        <f ca="1">SUM(P52:P59)-P16</f>
        <v>0</v>
      </c>
    </row>
    <row r="62" spans="1:16" x14ac:dyDescent="0.2">
      <c r="A62" s="1"/>
      <c r="B62" s="1"/>
      <c r="C62" s="1"/>
      <c r="D62" s="1"/>
      <c r="E62" s="1"/>
      <c r="F62" s="1"/>
      <c r="G62" s="1"/>
      <c r="H62" s="1"/>
      <c r="I62" s="56"/>
      <c r="J62" s="56"/>
      <c r="K62" s="56"/>
      <c r="L62" s="56"/>
      <c r="M62" s="56"/>
      <c r="N62" s="56"/>
      <c r="O62" s="56"/>
      <c r="P62" s="56"/>
    </row>
    <row r="63" spans="1:16" x14ac:dyDescent="0.2">
      <c r="A63" s="1"/>
      <c r="B63" s="17" t="s">
        <v>148</v>
      </c>
      <c r="C63" s="95"/>
      <c r="D63" s="95"/>
      <c r="E63" s="95"/>
      <c r="F63" s="95"/>
      <c r="G63" s="95"/>
      <c r="H63" s="95"/>
      <c r="I63" s="96"/>
      <c r="J63" s="96"/>
      <c r="K63" s="96"/>
      <c r="L63" s="96"/>
      <c r="M63" s="96"/>
      <c r="N63" s="96"/>
      <c r="O63" s="96"/>
      <c r="P63" s="96"/>
    </row>
    <row r="64" spans="1:16" x14ac:dyDescent="0.2">
      <c r="A64" s="1"/>
      <c r="B64" s="1"/>
      <c r="C64" s="1"/>
      <c r="D64" s="1"/>
      <c r="E64" s="1"/>
      <c r="F64" s="1"/>
      <c r="G64" s="1"/>
      <c r="H64" s="1"/>
      <c r="I64" s="56"/>
      <c r="J64" s="56"/>
      <c r="K64" s="56"/>
      <c r="L64" s="56"/>
      <c r="M64" s="56"/>
      <c r="N64" s="56"/>
      <c r="O64" s="56"/>
      <c r="P64" s="56"/>
    </row>
    <row r="65" spans="1:16" x14ac:dyDescent="0.2">
      <c r="A65" s="1"/>
      <c r="B65" s="1" t="s">
        <v>149</v>
      </c>
      <c r="C65" s="1"/>
      <c r="D65" s="1"/>
      <c r="E65" s="1"/>
      <c r="F65" s="1"/>
      <c r="G65" s="1"/>
      <c r="H65" s="1"/>
      <c r="I65" s="88">
        <f ca="1">I58</f>
        <v>11999999.412</v>
      </c>
      <c r="J65" s="88">
        <f ca="1">J58</f>
        <v>11999999.412</v>
      </c>
      <c r="K65" s="88">
        <f ca="1">K58</f>
        <v>17729938.190241054</v>
      </c>
      <c r="L65" s="88">
        <f ca="1">L58</f>
        <v>26594907.285361577</v>
      </c>
      <c r="M65" s="88">
        <f ca="1">M58</f>
        <v>36937371.229668856</v>
      </c>
      <c r="N65" s="88">
        <f ca="1">N58</f>
        <v>51712319.721536398</v>
      </c>
      <c r="O65" s="88">
        <f ca="1">O58</f>
        <v>73874742.459337711</v>
      </c>
      <c r="P65" s="88">
        <f ca="1">P58</f>
        <v>110812113.68900657</v>
      </c>
    </row>
    <row r="66" spans="1:16" x14ac:dyDescent="0.2">
      <c r="A66" s="1"/>
      <c r="B66" s="1" t="s">
        <v>150</v>
      </c>
      <c r="C66" s="1"/>
      <c r="D66" s="1"/>
      <c r="E66" s="1"/>
      <c r="F66" s="1"/>
      <c r="G66" s="1"/>
      <c r="H66" s="1"/>
      <c r="I66" s="97">
        <f>'Series A'!$I$17</f>
        <v>12000000</v>
      </c>
      <c r="J66" s="97">
        <f>'Series A'!$I$17</f>
        <v>12000000</v>
      </c>
      <c r="K66" s="97">
        <f>'Series A'!$I$17</f>
        <v>12000000</v>
      </c>
      <c r="L66" s="97">
        <f>'Series A'!$I$17</f>
        <v>12000000</v>
      </c>
      <c r="M66" s="97">
        <f>'Series A'!$I$17</f>
        <v>12000000</v>
      </c>
      <c r="N66" s="97">
        <f>'Series A'!$I$17</f>
        <v>12000000</v>
      </c>
      <c r="O66" s="97">
        <f>'Series A'!$I$17</f>
        <v>12000000</v>
      </c>
      <c r="P66" s="97">
        <f>'Series A'!$I$17</f>
        <v>12000000</v>
      </c>
    </row>
    <row r="67" spans="1:16" x14ac:dyDescent="0.2">
      <c r="A67" s="1"/>
      <c r="B67" s="1" t="s">
        <v>122</v>
      </c>
      <c r="C67" s="1"/>
      <c r="D67" s="1"/>
      <c r="E67" s="1"/>
      <c r="F67" s="1"/>
      <c r="G67" s="1"/>
      <c r="H67" s="1"/>
      <c r="I67" s="88">
        <f ca="1">I65-I66</f>
        <v>-0.58799999952316284</v>
      </c>
      <c r="J67" s="88">
        <f ca="1">J65-J66</f>
        <v>-0.58799999952316284</v>
      </c>
      <c r="K67" s="88">
        <f ca="1">K65-K66</f>
        <v>5729938.1902410537</v>
      </c>
      <c r="L67" s="88">
        <f ca="1">L65-L66</f>
        <v>14594907.285361577</v>
      </c>
      <c r="M67" s="88">
        <f ca="1">M65-M66</f>
        <v>24937371.229668856</v>
      </c>
      <c r="N67" s="88">
        <f ca="1">N65-N66</f>
        <v>39712319.721536398</v>
      </c>
      <c r="O67" s="88">
        <f ca="1">O65-O66</f>
        <v>61874742.459337711</v>
      </c>
      <c r="P67" s="88">
        <f ca="1">P65-P66</f>
        <v>98812113.689006567</v>
      </c>
    </row>
    <row r="68" spans="1:16" x14ac:dyDescent="0.2">
      <c r="A68" s="1"/>
      <c r="B68" s="1" t="s">
        <v>151</v>
      </c>
      <c r="C68" s="1"/>
      <c r="D68" s="1"/>
      <c r="E68" s="1"/>
      <c r="F68" s="1"/>
      <c r="G68" s="1"/>
      <c r="H68" s="1"/>
      <c r="I68" s="92">
        <f ca="1">I65/I66</f>
        <v>0.99999995100000005</v>
      </c>
      <c r="J68" s="92">
        <f ca="1">J65/J66</f>
        <v>0.99999995100000005</v>
      </c>
      <c r="K68" s="92">
        <f ca="1">K65/K66</f>
        <v>1.4774948491867546</v>
      </c>
      <c r="L68" s="92">
        <f ca="1">L65/L66</f>
        <v>2.2162422737801313</v>
      </c>
      <c r="M68" s="92">
        <f ca="1">M65/M66</f>
        <v>3.0781142691390713</v>
      </c>
      <c r="N68" s="92">
        <f ca="1">N65/N66</f>
        <v>4.3093599767947</v>
      </c>
      <c r="O68" s="92">
        <f ca="1">O65/O66</f>
        <v>6.1562285382781425</v>
      </c>
      <c r="P68" s="92">
        <f ca="1">P65/P66</f>
        <v>9.2343428074172138</v>
      </c>
    </row>
    <row r="69" spans="1:16" x14ac:dyDescent="0.2">
      <c r="A69" s="1"/>
      <c r="B69" s="1" t="s">
        <v>152</v>
      </c>
      <c r="C69" s="1"/>
      <c r="D69" s="1"/>
      <c r="E69" s="1"/>
      <c r="F69" s="1"/>
      <c r="G69" s="1"/>
      <c r="H69" s="1"/>
      <c r="I69" s="92">
        <f ca="1">I41/'Series A'!$J$22</f>
        <v>1</v>
      </c>
      <c r="J69" s="92">
        <f ca="1">J41/'Series A'!$J$22</f>
        <v>1</v>
      </c>
      <c r="K69" s="92">
        <f ca="1">K41/'Series A'!$J$22</f>
        <v>1.4774949215840054</v>
      </c>
      <c r="L69" s="92">
        <f ca="1">L41/'Series A'!$J$22</f>
        <v>2.216242382376008</v>
      </c>
      <c r="M69" s="92">
        <f ca="1">M41/'Series A'!$J$22</f>
        <v>3.0781144199666781</v>
      </c>
      <c r="N69" s="92">
        <f ca="1">N41/'Series A'!$J$22</f>
        <v>4.3093601879533487</v>
      </c>
      <c r="O69" s="92">
        <f ca="1">O41/'Series A'!$J$22</f>
        <v>6.1562288399333562</v>
      </c>
      <c r="P69" s="92">
        <f ca="1">P41/'Series A'!$J$22</f>
        <v>9.234343259900033</v>
      </c>
    </row>
    <row r="70" spans="1:16" x14ac:dyDescent="0.2">
      <c r="A70" s="1"/>
      <c r="B70" s="1"/>
      <c r="C70" s="1"/>
      <c r="D70" s="1"/>
      <c r="E70" s="1"/>
      <c r="F70" s="1"/>
      <c r="G70" s="1"/>
      <c r="H70" s="1"/>
      <c r="I70" s="56"/>
      <c r="J70" s="56"/>
      <c r="K70" s="56"/>
      <c r="L70" s="56"/>
      <c r="M70" s="56"/>
      <c r="N70" s="56"/>
      <c r="O70" s="56"/>
      <c r="P70" s="56"/>
    </row>
    <row r="71" spans="1:16" x14ac:dyDescent="0.2">
      <c r="A71" s="1"/>
      <c r="B71" s="1" t="s">
        <v>123</v>
      </c>
      <c r="C71" s="1"/>
      <c r="D71" s="1"/>
      <c r="E71" s="1"/>
      <c r="F71" s="1"/>
      <c r="G71" s="1"/>
      <c r="H71" s="1"/>
      <c r="I71" s="93">
        <f ca="1">XIRR(I73:I74,$D$73:$D$74)</f>
        <v>-1.4901161193847656E-8</v>
      </c>
      <c r="J71" s="93">
        <f ca="1">XIRR(J73:J74,$D$73:$D$74)</f>
        <v>-1.4901161193847656E-8</v>
      </c>
      <c r="K71" s="93">
        <f ca="1">XIRR(K73:K74,$D$73:$D$74)</f>
        <v>0.13882527947425841</v>
      </c>
      <c r="L71" s="93">
        <f ca="1">XIRR(L73:L74,$D$73:$D$74)</f>
        <v>0.30346876978874215</v>
      </c>
      <c r="M71" s="93">
        <f ca="1">XIRR(M73:M74,$D$73:$D$74)</f>
        <v>0.4541629493236542</v>
      </c>
      <c r="N71" s="93">
        <f ca="1">XIRR(N73:N74,$D$73:$D$74)</f>
        <v>0.62658954262733479</v>
      </c>
      <c r="O71" s="93">
        <f ca="1">XIRR(O73:O74,$D$73:$D$74)</f>
        <v>0.8317443251609804</v>
      </c>
      <c r="P71" s="93">
        <f ca="1">XIRR(P73:P74,$D$73:$D$74)</f>
        <v>1.0965652585029602</v>
      </c>
    </row>
    <row r="72" spans="1:16" x14ac:dyDescent="0.2">
      <c r="A72" s="1"/>
      <c r="B72" s="1"/>
      <c r="C72" s="1"/>
      <c r="D72" s="1"/>
      <c r="E72" s="1"/>
      <c r="F72" s="1"/>
      <c r="G72" s="1"/>
      <c r="H72" s="1"/>
      <c r="I72" s="56"/>
      <c r="J72" s="56"/>
      <c r="K72" s="56"/>
      <c r="L72" s="56"/>
      <c r="M72" s="56"/>
      <c r="N72" s="56"/>
      <c r="O72" s="56"/>
      <c r="P72" s="56"/>
    </row>
    <row r="73" spans="1:16" x14ac:dyDescent="0.2">
      <c r="A73" s="1"/>
      <c r="B73" s="1" t="s">
        <v>124</v>
      </c>
      <c r="C73" s="1" t="s">
        <v>52</v>
      </c>
      <c r="D73" s="84">
        <v>46113</v>
      </c>
      <c r="E73" s="1"/>
      <c r="F73" s="1"/>
      <c r="G73" s="1"/>
      <c r="H73" s="1"/>
      <c r="I73" s="88">
        <f>-I66</f>
        <v>-12000000</v>
      </c>
      <c r="J73" s="88">
        <f>-J66</f>
        <v>-12000000</v>
      </c>
      <c r="K73" s="88">
        <f>-K66</f>
        <v>-12000000</v>
      </c>
      <c r="L73" s="88">
        <f>-L66</f>
        <v>-12000000</v>
      </c>
      <c r="M73" s="88">
        <f>-M66</f>
        <v>-12000000</v>
      </c>
      <c r="N73" s="88">
        <f>-N66</f>
        <v>-12000000</v>
      </c>
      <c r="O73" s="88">
        <f>-O66</f>
        <v>-12000000</v>
      </c>
      <c r="P73" s="88">
        <f>-P66</f>
        <v>-12000000</v>
      </c>
    </row>
    <row r="74" spans="1:16" x14ac:dyDescent="0.2">
      <c r="A74" s="1"/>
      <c r="B74" s="1"/>
      <c r="C74" s="1" t="s">
        <v>125</v>
      </c>
      <c r="D74" s="52">
        <f>DATE(YEAR(D73)+3,MONTH(D73),DAY(D73))</f>
        <v>47209</v>
      </c>
      <c r="E74" s="1"/>
      <c r="F74" s="1"/>
      <c r="G74" s="1"/>
      <c r="H74" s="1"/>
      <c r="I74" s="88">
        <f ca="1">I65</f>
        <v>11999999.412</v>
      </c>
      <c r="J74" s="88">
        <f ca="1">J65</f>
        <v>11999999.412</v>
      </c>
      <c r="K74" s="88">
        <f ca="1">K65</f>
        <v>17729938.190241054</v>
      </c>
      <c r="L74" s="88">
        <f ca="1">L65</f>
        <v>26594907.285361577</v>
      </c>
      <c r="M74" s="88">
        <f ca="1">M65</f>
        <v>36937371.229668856</v>
      </c>
      <c r="N74" s="88">
        <f ca="1">N65</f>
        <v>51712319.721536398</v>
      </c>
      <c r="O74" s="88">
        <f ca="1">O65</f>
        <v>73874742.459337711</v>
      </c>
      <c r="P74" s="88">
        <f ca="1">P65</f>
        <v>110812113.68900657</v>
      </c>
    </row>
    <row r="75" spans="1:1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C45F5-ECA7-3A41-9716-F8F71000ED02}">
  <dimension ref="A1:P100"/>
  <sheetViews>
    <sheetView showGridLines="0" tabSelected="1" workbookViewId="0"/>
  </sheetViews>
  <sheetFormatPr baseColWidth="10" defaultRowHeight="16" x14ac:dyDescent="0.2"/>
  <cols>
    <col min="1" max="1" width="11.1640625" customWidth="1"/>
    <col min="2" max="2" width="26.33203125" customWidth="1"/>
    <col min="3" max="3" width="13" customWidth="1"/>
    <col min="4" max="4" width="16.83203125" customWidth="1"/>
    <col min="5" max="6" width="11.1640625" customWidth="1"/>
    <col min="7" max="7" width="11.83203125" customWidth="1"/>
    <col min="8" max="8" width="11.1640625" customWidth="1"/>
    <col min="9" max="16" width="17.5" customWidth="1"/>
  </cols>
  <sheetData>
    <row r="1" spans="1:1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2">
      <c r="A3" s="1"/>
      <c r="B3" s="1" t="s">
        <v>89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">
      <c r="A4" s="1"/>
      <c r="B4" s="1" t="s">
        <v>90</v>
      </c>
      <c r="C4" s="1"/>
      <c r="D4" s="1"/>
      <c r="E4" s="1"/>
      <c r="F4" s="1"/>
      <c r="G4" s="1"/>
      <c r="H4" s="1"/>
      <c r="I4" s="88">
        <f>I7/I5</f>
        <v>25000000</v>
      </c>
      <c r="J4" s="88">
        <f>J7/J5</f>
        <v>33333333.333333332</v>
      </c>
      <c r="K4" s="88">
        <f>K7/K5</f>
        <v>41666666.666666664</v>
      </c>
      <c r="L4" s="88">
        <f>L7/L5</f>
        <v>50000000</v>
      </c>
      <c r="M4" s="88">
        <f>M7/M5</f>
        <v>58333333.333333336</v>
      </c>
      <c r="N4" s="88">
        <f>N7/N5</f>
        <v>66666666.666666664</v>
      </c>
      <c r="O4" s="88">
        <f>O7/O5</f>
        <v>83333333.333333328</v>
      </c>
      <c r="P4" s="88">
        <f>P7/P5</f>
        <v>125000000</v>
      </c>
    </row>
    <row r="5" spans="1:16" x14ac:dyDescent="0.2">
      <c r="A5" s="1"/>
      <c r="B5" s="1" t="s">
        <v>91</v>
      </c>
      <c r="C5" s="1"/>
      <c r="D5" s="1"/>
      <c r="E5" s="1"/>
      <c r="F5" s="1"/>
      <c r="G5" s="1"/>
      <c r="H5" s="1"/>
      <c r="I5" s="98">
        <v>6</v>
      </c>
      <c r="J5" s="98">
        <v>6</v>
      </c>
      <c r="K5" s="98">
        <v>6</v>
      </c>
      <c r="L5" s="98">
        <v>6</v>
      </c>
      <c r="M5" s="98">
        <v>6</v>
      </c>
      <c r="N5" s="98">
        <v>6</v>
      </c>
      <c r="O5" s="98">
        <v>6</v>
      </c>
      <c r="P5" s="98">
        <v>6</v>
      </c>
    </row>
    <row r="6" spans="1:16" x14ac:dyDescent="0.2">
      <c r="A6" s="1"/>
      <c r="B6" s="1"/>
      <c r="C6" s="1"/>
      <c r="D6" s="1"/>
      <c r="E6" s="1"/>
      <c r="F6" s="1"/>
      <c r="G6" s="1"/>
      <c r="H6" s="1"/>
      <c r="I6" s="56"/>
      <c r="J6" s="56"/>
      <c r="K6" s="56"/>
      <c r="L6" s="56"/>
      <c r="M6" s="56"/>
      <c r="N6" s="56"/>
      <c r="O6" s="56"/>
      <c r="P6" s="56"/>
    </row>
    <row r="7" spans="1:16" x14ac:dyDescent="0.2">
      <c r="A7" s="1"/>
      <c r="B7" s="1" t="s">
        <v>92</v>
      </c>
      <c r="C7" s="1"/>
      <c r="D7" s="1"/>
      <c r="E7" s="1"/>
      <c r="F7" s="1"/>
      <c r="G7" s="1"/>
      <c r="H7" s="1"/>
      <c r="I7" s="87">
        <v>150000000</v>
      </c>
      <c r="J7" s="87">
        <v>200000000</v>
      </c>
      <c r="K7" s="87">
        <v>250000000</v>
      </c>
      <c r="L7" s="87">
        <v>300000000</v>
      </c>
      <c r="M7" s="87">
        <v>350000000</v>
      </c>
      <c r="N7" s="87">
        <v>400000000</v>
      </c>
      <c r="O7" s="87">
        <v>500000000</v>
      </c>
      <c r="P7" s="87">
        <v>750000000</v>
      </c>
    </row>
    <row r="8" spans="1:16" x14ac:dyDescent="0.2">
      <c r="A8" s="1"/>
      <c r="B8" s="1" t="s">
        <v>93</v>
      </c>
      <c r="C8" s="1"/>
      <c r="D8" s="1"/>
      <c r="E8" s="1"/>
      <c r="F8" s="1"/>
      <c r="G8" s="1"/>
      <c r="H8" s="1"/>
      <c r="I8" s="88"/>
      <c r="J8" s="88"/>
      <c r="K8" s="88"/>
      <c r="L8" s="88"/>
      <c r="M8" s="88"/>
      <c r="N8" s="88"/>
      <c r="O8" s="88"/>
      <c r="P8" s="88"/>
    </row>
    <row r="9" spans="1:16" x14ac:dyDescent="0.2">
      <c r="A9" s="1"/>
      <c r="B9" s="1" t="s">
        <v>94</v>
      </c>
      <c r="C9" s="1"/>
      <c r="D9" s="1"/>
      <c r="E9" s="1"/>
      <c r="F9" s="1"/>
      <c r="G9" s="1"/>
      <c r="H9" s="1"/>
      <c r="I9" s="88"/>
      <c r="J9" s="88"/>
      <c r="K9" s="88"/>
      <c r="L9" s="88"/>
      <c r="M9" s="88"/>
      <c r="N9" s="88"/>
      <c r="O9" s="88"/>
      <c r="P9" s="88"/>
    </row>
    <row r="10" spans="1:16" x14ac:dyDescent="0.2">
      <c r="A10" s="1"/>
      <c r="B10" s="1" t="s">
        <v>95</v>
      </c>
      <c r="C10" s="1"/>
      <c r="D10" s="1"/>
      <c r="E10" s="1"/>
      <c r="F10" s="1"/>
      <c r="G10" s="1"/>
      <c r="H10" s="1"/>
      <c r="I10" s="88"/>
      <c r="J10" s="88"/>
      <c r="K10" s="88"/>
      <c r="L10" s="88"/>
      <c r="M10" s="88"/>
      <c r="N10" s="88"/>
      <c r="O10" s="88"/>
      <c r="P10" s="88"/>
    </row>
    <row r="11" spans="1:16" x14ac:dyDescent="0.2">
      <c r="A11" s="1"/>
      <c r="B11" s="1" t="s">
        <v>96</v>
      </c>
      <c r="C11" s="1"/>
      <c r="D11" s="1"/>
      <c r="E11" s="29">
        <v>1.4999999999999999E-2</v>
      </c>
      <c r="F11" s="1"/>
      <c r="G11" s="1"/>
      <c r="H11" s="1"/>
      <c r="I11" s="88">
        <f>-$E$11*I7</f>
        <v>-2250000</v>
      </c>
      <c r="J11" s="88">
        <f>-$E$11*J7</f>
        <v>-3000000</v>
      </c>
      <c r="K11" s="88">
        <f>-$E$11*K7</f>
        <v>-3750000</v>
      </c>
      <c r="L11" s="88">
        <f>-$E$11*L7</f>
        <v>-4500000</v>
      </c>
      <c r="M11" s="88">
        <f>-$E$11*M7</f>
        <v>-5250000</v>
      </c>
      <c r="N11" s="88">
        <f>-$E$11*N7</f>
        <v>-6000000</v>
      </c>
      <c r="O11" s="88">
        <f>-$E$11*O7</f>
        <v>-7500000</v>
      </c>
      <c r="P11" s="88">
        <f>-$E$11*P7</f>
        <v>-11250000</v>
      </c>
    </row>
    <row r="12" spans="1:16" x14ac:dyDescent="0.2">
      <c r="A12" s="1"/>
      <c r="B12" s="3" t="s">
        <v>97</v>
      </c>
      <c r="C12" s="1"/>
      <c r="D12" s="1"/>
      <c r="E12" s="1"/>
      <c r="F12" s="1"/>
      <c r="G12" s="1"/>
      <c r="H12" s="1"/>
      <c r="I12" s="94">
        <f>I7+SUM(I8:I11)</f>
        <v>147750000</v>
      </c>
      <c r="J12" s="94">
        <f>J7+SUM(J8:J11)</f>
        <v>197000000</v>
      </c>
      <c r="K12" s="94">
        <f>K7+SUM(K8:K11)</f>
        <v>246250000</v>
      </c>
      <c r="L12" s="94">
        <f>L7+SUM(L8:L11)</f>
        <v>295500000</v>
      </c>
      <c r="M12" s="94">
        <f>M7+SUM(M8:M11)</f>
        <v>344750000</v>
      </c>
      <c r="N12" s="94">
        <f>N7+SUM(N8:N11)</f>
        <v>394000000</v>
      </c>
      <c r="O12" s="94">
        <f>O7+SUM(O8:O11)</f>
        <v>492500000</v>
      </c>
      <c r="P12" s="94">
        <f>P7+SUM(P8:P11)</f>
        <v>738750000</v>
      </c>
    </row>
    <row r="13" spans="1:16" x14ac:dyDescent="0.2">
      <c r="A13" s="1"/>
      <c r="B13" s="1"/>
      <c r="C13" s="1"/>
      <c r="D13" s="1"/>
      <c r="E13" s="1"/>
      <c r="F13" s="1"/>
      <c r="G13" s="1"/>
      <c r="H13" s="1"/>
      <c r="I13" s="88"/>
      <c r="J13" s="88"/>
      <c r="K13" s="88"/>
      <c r="L13" s="88"/>
      <c r="M13" s="88"/>
      <c r="N13" s="88"/>
      <c r="O13" s="88"/>
      <c r="P13" s="88"/>
    </row>
    <row r="14" spans="1:16" x14ac:dyDescent="0.2">
      <c r="A14" s="1"/>
      <c r="B14" s="1" t="s">
        <v>98</v>
      </c>
      <c r="C14" s="1"/>
      <c r="D14" s="1"/>
      <c r="E14" s="29">
        <v>0.1</v>
      </c>
      <c r="F14" s="1"/>
      <c r="G14" s="1"/>
      <c r="H14" s="1"/>
      <c r="I14" s="88">
        <f ca="1">IF(I12&lt;(SUM(I19:I21)+($E$14*I12)),$E$14*I12,0)</f>
        <v>0</v>
      </c>
      <c r="J14" s="88">
        <f ca="1">IF(J12&lt;(SUM(J19:J21)+($E$14*J12)),$E$14*J12,0)</f>
        <v>0</v>
      </c>
      <c r="K14" s="88">
        <f ca="1">IF(K12&lt;(SUM(K19:K21)+($E$14*K12)),$E$14*K12,0)</f>
        <v>0</v>
      </c>
      <c r="L14" s="88">
        <f ca="1">IF(L12&lt;(SUM(L19:L21)+($E$14*L12)),$E$14*L12,0)</f>
        <v>0</v>
      </c>
      <c r="M14" s="88">
        <f ca="1">IF(M12&lt;(SUM(M19:M21)+($E$14*M12)),$E$14*M12,0)</f>
        <v>0</v>
      </c>
      <c r="N14" s="88">
        <f ca="1">IF(N12&lt;(SUM(N19:N21)+($E$14*N12)),$E$14*N12,0)</f>
        <v>0</v>
      </c>
      <c r="O14" s="88">
        <f ca="1">IF(O12&lt;(SUM(O19:O21)+($E$14*O12)),$E$14*O12,0)</f>
        <v>0</v>
      </c>
      <c r="P14" s="88">
        <f ca="1">IF(P12&lt;(SUM(P19:P21)+($E$14*P12)),$E$14*P12,0)</f>
        <v>0</v>
      </c>
    </row>
    <row r="15" spans="1:16" x14ac:dyDescent="0.2">
      <c r="A15" s="1"/>
      <c r="B15" s="1"/>
      <c r="C15" s="1"/>
      <c r="D15" s="1"/>
      <c r="E15" s="1"/>
      <c r="F15" s="1"/>
      <c r="G15" s="1"/>
      <c r="H15" s="1"/>
      <c r="I15" s="88"/>
      <c r="J15" s="88"/>
      <c r="K15" s="88"/>
      <c r="L15" s="88"/>
      <c r="M15" s="88"/>
      <c r="N15" s="88"/>
      <c r="O15" s="88"/>
      <c r="P15" s="88"/>
    </row>
    <row r="16" spans="1:16" x14ac:dyDescent="0.2">
      <c r="A16" s="1"/>
      <c r="B16" s="3" t="s">
        <v>99</v>
      </c>
      <c r="C16" s="3"/>
      <c r="D16" s="3"/>
      <c r="E16" s="3"/>
      <c r="F16" s="3"/>
      <c r="G16" s="3"/>
      <c r="H16" s="3"/>
      <c r="I16" s="89">
        <f ca="1">I12-I14</f>
        <v>147750000</v>
      </c>
      <c r="J16" s="89">
        <f ca="1">J12-J14</f>
        <v>197000000</v>
      </c>
      <c r="K16" s="89">
        <f ca="1">K12-K14</f>
        <v>246250000</v>
      </c>
      <c r="L16" s="89">
        <f ca="1">L12-L14</f>
        <v>295500000</v>
      </c>
      <c r="M16" s="89">
        <f ca="1">M12-M14</f>
        <v>344750000</v>
      </c>
      <c r="N16" s="89">
        <f ca="1">N12-N14</f>
        <v>394000000</v>
      </c>
      <c r="O16" s="89">
        <f ca="1">O12-O14</f>
        <v>492500000</v>
      </c>
      <c r="P16" s="89">
        <f ca="1">P12-P14</f>
        <v>738750000</v>
      </c>
    </row>
    <row r="17" spans="1:16" x14ac:dyDescent="0.2">
      <c r="A17" s="1"/>
      <c r="B17" s="1"/>
      <c r="C17" s="1"/>
      <c r="D17" s="1"/>
      <c r="E17" s="1"/>
      <c r="F17" s="1"/>
      <c r="G17" s="1"/>
      <c r="H17" s="1"/>
      <c r="I17" s="56"/>
      <c r="J17" s="56"/>
      <c r="K17" s="56"/>
      <c r="L17" s="56"/>
      <c r="M17" s="56"/>
      <c r="N17" s="56"/>
      <c r="O17" s="56"/>
      <c r="P17" s="56"/>
    </row>
    <row r="18" spans="1:16" x14ac:dyDescent="0.2">
      <c r="A18" s="1"/>
      <c r="B18" s="1"/>
      <c r="C18" s="1"/>
      <c r="D18" s="1"/>
      <c r="E18" s="1" t="s">
        <v>100</v>
      </c>
      <c r="F18" s="1" t="s">
        <v>101</v>
      </c>
      <c r="G18" s="1" t="s">
        <v>60</v>
      </c>
      <c r="H18" s="1" t="s">
        <v>59</v>
      </c>
      <c r="I18" s="56"/>
      <c r="J18" s="56"/>
      <c r="K18" s="56"/>
      <c r="L18" s="56"/>
      <c r="M18" s="56"/>
      <c r="N18" s="56"/>
      <c r="O18" s="56"/>
      <c r="P18" s="56"/>
    </row>
    <row r="19" spans="1:16" x14ac:dyDescent="0.2">
      <c r="A19" s="1" t="s">
        <v>26</v>
      </c>
      <c r="B19" s="1" t="s">
        <v>143</v>
      </c>
      <c r="C19" s="1"/>
      <c r="D19" s="1"/>
      <c r="E19" s="1">
        <v>1</v>
      </c>
      <c r="F19" s="8">
        <f>'Series A'!E22</f>
        <v>4.1246319529565065</v>
      </c>
      <c r="G19" s="5">
        <f>'Series A'!E21</f>
        <v>2382031</v>
      </c>
      <c r="H19" s="7">
        <f ca="1">I19/SUM($I$19:$I$21)</f>
        <v>0.16422900033775137</v>
      </c>
      <c r="I19" s="88">
        <f>$G19*$F19*$E19</f>
        <v>9825001.1755329408</v>
      </c>
      <c r="J19" s="88">
        <f>$G19*$F19*$E19</f>
        <v>9825001.1755329408</v>
      </c>
      <c r="K19" s="88">
        <f>$G19*$F19*$E19</f>
        <v>9825001.1755329408</v>
      </c>
      <c r="L19" s="88">
        <f>$G19*$F19*$E19</f>
        <v>9825001.1755329408</v>
      </c>
      <c r="M19" s="88">
        <f>$G19*$F19*$E19</f>
        <v>9825001.1755329408</v>
      </c>
      <c r="N19" s="88">
        <f>$G19*$F19*$E19</f>
        <v>9825001.1755329408</v>
      </c>
      <c r="O19" s="88">
        <f>$G19*$F19*$E19</f>
        <v>9825001.1755329408</v>
      </c>
      <c r="P19" s="88">
        <f>$G19*$F19*$E19</f>
        <v>9825001.1755329408</v>
      </c>
    </row>
    <row r="20" spans="1:16" x14ac:dyDescent="0.2">
      <c r="A20" s="1" t="s">
        <v>103</v>
      </c>
      <c r="B20" s="1" t="s">
        <v>120</v>
      </c>
      <c r="C20" s="1"/>
      <c r="D20" s="1"/>
      <c r="E20" s="1">
        <v>1</v>
      </c>
      <c r="F20" s="8">
        <f ca="1">'Series A'!J22</f>
        <v>4.3128000000000002</v>
      </c>
      <c r="G20" s="5">
        <f ca="1">'Series A'!J21</f>
        <v>4637359</v>
      </c>
      <c r="H20" s="7">
        <f ca="1">I20/SUM($I$19:$I$21)</f>
        <v>0.33430838931412771</v>
      </c>
      <c r="I20" s="88">
        <f ca="1">$G20*$F20*$E20</f>
        <v>20000001.895199999</v>
      </c>
      <c r="J20" s="88">
        <f ca="1">$G20*$F20*$E20</f>
        <v>20000001.895199999</v>
      </c>
      <c r="K20" s="88">
        <f ca="1">$G20*$F20*$E20</f>
        <v>20000001.895199999</v>
      </c>
      <c r="L20" s="88">
        <f ca="1">$G20*$F20*$E20</f>
        <v>20000001.895199999</v>
      </c>
      <c r="M20" s="88">
        <f ca="1">$G20*$F20*$E20</f>
        <v>20000001.895199999</v>
      </c>
      <c r="N20" s="88">
        <f ca="1">$G20*$F20*$E20</f>
        <v>20000001.895199999</v>
      </c>
      <c r="O20" s="88">
        <f ca="1">$G20*$F20*$E20</f>
        <v>20000001.895199999</v>
      </c>
      <c r="P20" s="88">
        <f ca="1">$G20*$F20*$E20</f>
        <v>20000001.895199999</v>
      </c>
    </row>
    <row r="21" spans="1:16" x14ac:dyDescent="0.2">
      <c r="A21" s="1" t="s">
        <v>126</v>
      </c>
      <c r="B21" s="1" t="s">
        <v>127</v>
      </c>
      <c r="C21" s="1"/>
      <c r="D21" s="1"/>
      <c r="E21" s="1">
        <v>1</v>
      </c>
      <c r="F21" s="8">
        <f ca="1">'Series B'!O24</f>
        <v>7.4071999999999996</v>
      </c>
      <c r="G21" s="5">
        <f ca="1">'Series B'!O22</f>
        <v>4050114</v>
      </c>
      <c r="H21" s="7">
        <f ca="1">I21/SUM($I$19:$I$21)</f>
        <v>0.5014626103481209</v>
      </c>
      <c r="I21" s="88">
        <f ca="1">$G21*$F21*$E21</f>
        <v>30000004.420799997</v>
      </c>
      <c r="J21" s="88">
        <f ca="1">$G21*$F21*$E21</f>
        <v>30000004.420799997</v>
      </c>
      <c r="K21" s="88">
        <f ca="1">$G21*$F21*$E21</f>
        <v>30000004.420799997</v>
      </c>
      <c r="L21" s="88">
        <f ca="1">$G21*$F21*$E21</f>
        <v>30000004.420799997</v>
      </c>
      <c r="M21" s="88">
        <f ca="1">$G21*$F21*$E21</f>
        <v>30000004.420799997</v>
      </c>
      <c r="N21" s="88">
        <f ca="1">$G21*$F21*$E21</f>
        <v>30000004.420799997</v>
      </c>
      <c r="O21" s="88">
        <f ca="1">$G21*$F21*$E21</f>
        <v>30000004.420799997</v>
      </c>
      <c r="P21" s="88">
        <f ca="1">$G21*$F21*$E21</f>
        <v>30000004.420799997</v>
      </c>
    </row>
    <row r="22" spans="1:16" x14ac:dyDescent="0.2">
      <c r="A22" s="1"/>
      <c r="B22" s="1"/>
      <c r="C22" s="1"/>
      <c r="D22" s="1"/>
      <c r="E22" s="1"/>
      <c r="F22" s="1"/>
      <c r="G22" s="1"/>
      <c r="H22" s="1"/>
      <c r="I22" s="56"/>
      <c r="J22" s="56"/>
      <c r="K22" s="56"/>
      <c r="L22" s="56"/>
      <c r="M22" s="56"/>
      <c r="N22" s="56"/>
      <c r="O22" s="56"/>
      <c r="P22" s="56"/>
    </row>
    <row r="23" spans="1:16" x14ac:dyDescent="0.2">
      <c r="A23" s="1"/>
      <c r="B23" s="3" t="s">
        <v>153</v>
      </c>
      <c r="C23" s="1"/>
      <c r="D23" s="1"/>
      <c r="E23" s="1"/>
      <c r="F23" s="1"/>
      <c r="G23" s="1"/>
      <c r="H23" s="1"/>
      <c r="I23" s="56"/>
      <c r="J23" s="56"/>
      <c r="K23" s="56"/>
      <c r="L23" s="56"/>
      <c r="M23" s="56"/>
      <c r="N23" s="56"/>
      <c r="O23" s="56"/>
      <c r="P23" s="56"/>
    </row>
    <row r="24" spans="1:16" x14ac:dyDescent="0.2">
      <c r="A24" s="1"/>
      <c r="B24" s="1"/>
      <c r="C24" s="1"/>
      <c r="D24" s="1"/>
      <c r="E24" s="1"/>
      <c r="F24" s="1"/>
      <c r="G24" s="1"/>
      <c r="H24" s="1"/>
      <c r="I24" s="56"/>
      <c r="J24" s="56"/>
      <c r="K24" s="56"/>
      <c r="L24" s="56"/>
      <c r="M24" s="56"/>
      <c r="N24" s="56"/>
      <c r="O24" s="56"/>
      <c r="P24" s="56"/>
    </row>
    <row r="25" spans="1:16" x14ac:dyDescent="0.2">
      <c r="A25" s="1"/>
      <c r="B25" s="1" t="s">
        <v>105</v>
      </c>
      <c r="C25" s="1"/>
      <c r="D25" s="1"/>
      <c r="E25" s="1"/>
      <c r="F25" s="1"/>
      <c r="G25" s="1"/>
      <c r="H25" s="1"/>
      <c r="I25" s="88">
        <f>I19</f>
        <v>9825001.1755329408</v>
      </c>
      <c r="J25" s="88">
        <f>J19</f>
        <v>9825001.1755329408</v>
      </c>
      <c r="K25" s="88">
        <f>K19</f>
        <v>9825001.1755329408</v>
      </c>
      <c r="L25" s="88">
        <f>L19</f>
        <v>9825001.1755329408</v>
      </c>
      <c r="M25" s="88">
        <f>M19</f>
        <v>9825001.1755329408</v>
      </c>
      <c r="N25" s="88">
        <f>N19</f>
        <v>9825001.1755329408</v>
      </c>
      <c r="O25" s="88">
        <f>O19</f>
        <v>9825001.1755329408</v>
      </c>
      <c r="P25" s="88">
        <f>P19</f>
        <v>9825001.1755329408</v>
      </c>
    </row>
    <row r="26" spans="1:16" x14ac:dyDescent="0.2">
      <c r="A26" s="1"/>
      <c r="B26" s="1" t="s">
        <v>106</v>
      </c>
      <c r="C26" s="1"/>
      <c r="D26" s="1"/>
      <c r="E26" s="1"/>
      <c r="F26" s="1"/>
      <c r="G26" s="1"/>
      <c r="H26" s="1"/>
      <c r="I26" s="88" t="str">
        <f ca="1">IFERROR(IF($F$19&lt;I$44,"yes","no"),0)</f>
        <v>yes</v>
      </c>
      <c r="J26" s="88" t="str">
        <f ca="1">IFERROR(IF($F$19&lt;J$44,"yes","no"),0)</f>
        <v>yes</v>
      </c>
      <c r="K26" s="88" t="str">
        <f ca="1">IFERROR(IF($F$19&lt;K$44,"yes","no"),0)</f>
        <v>yes</v>
      </c>
      <c r="L26" s="88" t="str">
        <f ca="1">IFERROR(IF($F$19&lt;L$44,"yes","no"),0)</f>
        <v>yes</v>
      </c>
      <c r="M26" s="88" t="str">
        <f ca="1">IFERROR(IF($F$19&lt;M$44,"yes","no"),0)</f>
        <v>yes</v>
      </c>
      <c r="N26" s="88" t="str">
        <f ca="1">IFERROR(IF($F$19&lt;N$44,"yes","no"),0)</f>
        <v>yes</v>
      </c>
      <c r="O26" s="88" t="str">
        <f ca="1">IFERROR(IF($F$19&lt;O$44,"yes","no"),0)</f>
        <v>yes</v>
      </c>
      <c r="P26" s="88" t="str">
        <f ca="1">IFERROR(IF($F$19&lt;P$44,"yes","no"),0)</f>
        <v>yes</v>
      </c>
    </row>
    <row r="27" spans="1:16" x14ac:dyDescent="0.2">
      <c r="A27" s="1"/>
      <c r="B27" s="1" t="s">
        <v>107</v>
      </c>
      <c r="C27" s="1"/>
      <c r="D27" s="1"/>
      <c r="E27" s="1"/>
      <c r="F27" s="1"/>
      <c r="G27" s="1"/>
      <c r="H27" s="1"/>
      <c r="I27" s="88">
        <f ca="1">IF(I14=0,IF(I26="yes",0,I$19),$H$19*I16)</f>
        <v>0</v>
      </c>
      <c r="J27" s="88">
        <f ca="1">IF(J14=0,IF(J26="yes",0,J$19),$H$19*J16)</f>
        <v>0</v>
      </c>
      <c r="K27" s="88">
        <f ca="1">IF(K14=0,IF(K26="yes",0,K$19),$H$19*K16)</f>
        <v>0</v>
      </c>
      <c r="L27" s="88">
        <f ca="1">IF(L14=0,IF(L26="yes",0,L$19),$H$19*L16)</f>
        <v>0</v>
      </c>
      <c r="M27" s="88">
        <f ca="1">IF(M14=0,IF(M26="yes",0,M$19),$H$19*M16)</f>
        <v>0</v>
      </c>
      <c r="N27" s="88">
        <f ca="1">IF(N14=0,IF(N26="yes",0,N$19),$H$19*N16)</f>
        <v>0</v>
      </c>
      <c r="O27" s="88">
        <f ca="1">IF(O14=0,IF(O26="yes",0,O$19),$H$19*O16)</f>
        <v>0</v>
      </c>
      <c r="P27" s="88">
        <f ca="1">IF(P14=0,IF(P26="yes",0,P$19),$H$19*P16)</f>
        <v>0</v>
      </c>
    </row>
    <row r="28" spans="1:16" x14ac:dyDescent="0.2">
      <c r="A28" s="1"/>
      <c r="B28" s="1" t="s">
        <v>108</v>
      </c>
      <c r="C28" s="1"/>
      <c r="D28" s="1"/>
      <c r="E28" s="1"/>
      <c r="F28" s="1"/>
      <c r="G28" s="1"/>
      <c r="H28" s="1"/>
      <c r="I28" s="88">
        <f ca="1">I27/$G$19</f>
        <v>0</v>
      </c>
      <c r="J28" s="88">
        <f ca="1">J27/$G$19</f>
        <v>0</v>
      </c>
      <c r="K28" s="88">
        <f ca="1">K27/$G$19</f>
        <v>0</v>
      </c>
      <c r="L28" s="88">
        <f ca="1">L27/$G$19</f>
        <v>0</v>
      </c>
      <c r="M28" s="88">
        <f ca="1">M27/$G$19</f>
        <v>0</v>
      </c>
      <c r="N28" s="88">
        <f ca="1">N27/$G$19</f>
        <v>0</v>
      </c>
      <c r="O28" s="88">
        <f ca="1">O27/$G$19</f>
        <v>0</v>
      </c>
      <c r="P28" s="88">
        <f ca="1">P27/$G$19</f>
        <v>0</v>
      </c>
    </row>
    <row r="29" spans="1:16" x14ac:dyDescent="0.2">
      <c r="A29" s="1"/>
      <c r="B29" s="1"/>
      <c r="C29" s="1"/>
      <c r="D29" s="1"/>
      <c r="E29" s="1"/>
      <c r="F29" s="1"/>
      <c r="G29" s="1"/>
      <c r="H29" s="1"/>
      <c r="I29" s="88"/>
      <c r="J29" s="88"/>
      <c r="K29" s="88"/>
      <c r="L29" s="88"/>
      <c r="M29" s="88"/>
      <c r="N29" s="88"/>
      <c r="O29" s="88"/>
      <c r="P29" s="88"/>
    </row>
    <row r="30" spans="1:16" x14ac:dyDescent="0.2">
      <c r="A30" s="1"/>
      <c r="B30" s="1" t="s">
        <v>109</v>
      </c>
      <c r="C30" s="1"/>
      <c r="D30" s="1"/>
      <c r="E30" s="1"/>
      <c r="F30" s="1"/>
      <c r="G30" s="1"/>
      <c r="H30" s="1"/>
      <c r="I30" s="88">
        <f ca="1">I20</f>
        <v>20000001.895199999</v>
      </c>
      <c r="J30" s="88">
        <f ca="1">J20</f>
        <v>20000001.895199999</v>
      </c>
      <c r="K30" s="88">
        <f ca="1">K20</f>
        <v>20000001.895199999</v>
      </c>
      <c r="L30" s="88">
        <f ca="1">L20</f>
        <v>20000001.895199999</v>
      </c>
      <c r="M30" s="88">
        <f ca="1">M20</f>
        <v>20000001.895199999</v>
      </c>
      <c r="N30" s="88">
        <f ca="1">N20</f>
        <v>20000001.895199999</v>
      </c>
      <c r="O30" s="88">
        <f ca="1">O20</f>
        <v>20000001.895199999</v>
      </c>
      <c r="P30" s="88">
        <f ca="1">P20</f>
        <v>20000001.895199999</v>
      </c>
    </row>
    <row r="31" spans="1:16" x14ac:dyDescent="0.2">
      <c r="A31" s="1"/>
      <c r="B31" s="1" t="s">
        <v>110</v>
      </c>
      <c r="C31" s="1"/>
      <c r="D31" s="1"/>
      <c r="E31" s="1"/>
      <c r="F31" s="1"/>
      <c r="G31" s="1"/>
      <c r="H31" s="1"/>
      <c r="I31" s="88" t="str">
        <f ca="1">IFERROR(IF($F$20&lt;I$44,"yes","no"),0)</f>
        <v>yes</v>
      </c>
      <c r="J31" s="88" t="str">
        <f ca="1">IFERROR(IF($F$20&lt;J$44,"yes","no"),0)</f>
        <v>yes</v>
      </c>
      <c r="K31" s="88" t="str">
        <f ca="1">IFERROR(IF($F$20&lt;K$44,"yes","no"),0)</f>
        <v>yes</v>
      </c>
      <c r="L31" s="88" t="str">
        <f ca="1">IFERROR(IF($F$20&lt;L$44,"yes","no"),0)</f>
        <v>yes</v>
      </c>
      <c r="M31" s="88" t="str">
        <f ca="1">IFERROR(IF($F$20&lt;M$44,"yes","no"),0)</f>
        <v>yes</v>
      </c>
      <c r="N31" s="88" t="str">
        <f ca="1">IFERROR(IF($F$20&lt;N$44,"yes","no"),0)</f>
        <v>yes</v>
      </c>
      <c r="O31" s="88" t="str">
        <f ca="1">IFERROR(IF($F$20&lt;O$44,"yes","no"),0)</f>
        <v>yes</v>
      </c>
      <c r="P31" s="88" t="str">
        <f ca="1">IFERROR(IF($F$20&lt;P$44,"yes","no"),0)</f>
        <v>yes</v>
      </c>
    </row>
    <row r="32" spans="1:16" x14ac:dyDescent="0.2">
      <c r="A32" s="1"/>
      <c r="B32" s="1" t="s">
        <v>111</v>
      </c>
      <c r="C32" s="1"/>
      <c r="D32" s="1"/>
      <c r="E32" s="1"/>
      <c r="F32" s="1"/>
      <c r="G32" s="1"/>
      <c r="H32" s="1"/>
      <c r="I32" s="88">
        <f ca="1">IF(I14=0,IF(I31="yes",0,I$20),$H$20*I16)</f>
        <v>0</v>
      </c>
      <c r="J32" s="88">
        <f ca="1">IF(J14=0,IF(J31="yes",0,J$20),$H$20*J16)</f>
        <v>0</v>
      </c>
      <c r="K32" s="88">
        <f ca="1">IF(K14=0,IF(K31="yes",0,K$20),$H$20*K16)</f>
        <v>0</v>
      </c>
      <c r="L32" s="88">
        <f ca="1">IF(L14=0,IF(L31="yes",0,L$20),$H$20*L16)</f>
        <v>0</v>
      </c>
      <c r="M32" s="88">
        <f ca="1">IF(M14=0,IF(M31="yes",0,M$20),$H$20*M16)</f>
        <v>0</v>
      </c>
      <c r="N32" s="88">
        <f ca="1">IF(N14=0,IF(N31="yes",0,N$20),$H$20*N16)</f>
        <v>0</v>
      </c>
      <c r="O32" s="88">
        <f ca="1">IF(O14=0,IF(O31="yes",0,O$20),$H$20*O16)</f>
        <v>0</v>
      </c>
      <c r="P32" s="88">
        <f ca="1">IF(P14=0,IF(P31="yes",0,P$20),$H$20*P16)</f>
        <v>0</v>
      </c>
    </row>
    <row r="33" spans="1:16" x14ac:dyDescent="0.2">
      <c r="A33" s="1"/>
      <c r="B33" s="1" t="s">
        <v>112</v>
      </c>
      <c r="C33" s="1"/>
      <c r="D33" s="1"/>
      <c r="E33" s="1"/>
      <c r="F33" s="1"/>
      <c r="G33" s="1"/>
      <c r="H33" s="1"/>
      <c r="I33" s="88">
        <f ca="1">I32/$G$20</f>
        <v>0</v>
      </c>
      <c r="J33" s="88">
        <f ca="1">J32/$G$20</f>
        <v>0</v>
      </c>
      <c r="K33" s="88">
        <f ca="1">K32/$G$20</f>
        <v>0</v>
      </c>
      <c r="L33" s="88">
        <f ca="1">L32/$G$20</f>
        <v>0</v>
      </c>
      <c r="M33" s="88">
        <f ca="1">M32/$G$20</f>
        <v>0</v>
      </c>
      <c r="N33" s="88">
        <f ca="1">N32/$G$20</f>
        <v>0</v>
      </c>
      <c r="O33" s="88">
        <f ca="1">O32/$G$20</f>
        <v>0</v>
      </c>
      <c r="P33" s="88">
        <f ca="1">P32/$G$20</f>
        <v>0</v>
      </c>
    </row>
    <row r="34" spans="1:16" x14ac:dyDescent="0.2">
      <c r="A34" s="1"/>
      <c r="B34" s="1"/>
      <c r="C34" s="1"/>
      <c r="D34" s="1"/>
      <c r="E34" s="1"/>
      <c r="F34" s="1"/>
      <c r="G34" s="1"/>
      <c r="H34" s="1"/>
      <c r="I34" s="88"/>
      <c r="J34" s="88"/>
      <c r="K34" s="88"/>
      <c r="L34" s="88"/>
      <c r="M34" s="88"/>
      <c r="N34" s="88"/>
      <c r="O34" s="88"/>
      <c r="P34" s="88"/>
    </row>
    <row r="35" spans="1:16" x14ac:dyDescent="0.2">
      <c r="A35" s="1"/>
      <c r="B35" s="1" t="s">
        <v>154</v>
      </c>
      <c r="C35" s="1"/>
      <c r="D35" s="1"/>
      <c r="E35" s="1"/>
      <c r="F35" s="1"/>
      <c r="G35" s="1"/>
      <c r="H35" s="1"/>
      <c r="I35" s="88">
        <f ca="1">I21</f>
        <v>30000004.420799997</v>
      </c>
      <c r="J35" s="88">
        <f ca="1">J21</f>
        <v>30000004.420799997</v>
      </c>
      <c r="K35" s="88">
        <f ca="1">K21</f>
        <v>30000004.420799997</v>
      </c>
      <c r="L35" s="88">
        <f ca="1">L21</f>
        <v>30000004.420799997</v>
      </c>
      <c r="M35" s="88">
        <f ca="1">M21</f>
        <v>30000004.420799997</v>
      </c>
      <c r="N35" s="88">
        <f ca="1">N21</f>
        <v>30000004.420799997</v>
      </c>
      <c r="O35" s="88">
        <f ca="1">O21</f>
        <v>30000004.420799997</v>
      </c>
      <c r="P35" s="88">
        <f ca="1">P21</f>
        <v>30000004.420799997</v>
      </c>
    </row>
    <row r="36" spans="1:16" x14ac:dyDescent="0.2">
      <c r="A36" s="1"/>
      <c r="B36" s="1" t="s">
        <v>155</v>
      </c>
      <c r="C36" s="1"/>
      <c r="D36" s="1"/>
      <c r="E36" s="1"/>
      <c r="F36" s="1"/>
      <c r="G36" s="1"/>
      <c r="H36" s="1"/>
      <c r="I36" s="88" t="str">
        <f ca="1">IFERROR(IF($F$21&lt;I$44,"yes","no"),0)</f>
        <v>no</v>
      </c>
      <c r="J36" s="88" t="str">
        <f ca="1">IFERROR(IF($F$21&lt;J$44,"yes","no"),0)</f>
        <v>yes</v>
      </c>
      <c r="K36" s="88" t="str">
        <f ca="1">IFERROR(IF($F$21&lt;K$44,"yes","no"),0)</f>
        <v>yes</v>
      </c>
      <c r="L36" s="88" t="str">
        <f ca="1">IFERROR(IF($F$21&lt;L$44,"yes","no"),0)</f>
        <v>yes</v>
      </c>
      <c r="M36" s="88" t="str">
        <f ca="1">IFERROR(IF($F$21&lt;M$44,"yes","no"),0)</f>
        <v>yes</v>
      </c>
      <c r="N36" s="88" t="str">
        <f ca="1">IFERROR(IF($F$21&lt;N$44,"yes","no"),0)</f>
        <v>yes</v>
      </c>
      <c r="O36" s="88" t="str">
        <f ca="1">IFERROR(IF($F$21&lt;O$44,"yes","no"),0)</f>
        <v>yes</v>
      </c>
      <c r="P36" s="88" t="str">
        <f ca="1">IFERROR(IF($F$21&lt;P$44,"yes","no"),0)</f>
        <v>yes</v>
      </c>
    </row>
    <row r="37" spans="1:16" x14ac:dyDescent="0.2">
      <c r="A37" s="1"/>
      <c r="B37" s="1" t="s">
        <v>128</v>
      </c>
      <c r="C37" s="1"/>
      <c r="D37" s="1"/>
      <c r="E37" s="1"/>
      <c r="F37" s="1"/>
      <c r="G37" s="1"/>
      <c r="H37" s="1"/>
      <c r="I37" s="88">
        <f ca="1">IF(I14=0,IF(I36="yes",0,I$21),$H$21*I16)</f>
        <v>30000004.420799997</v>
      </c>
      <c r="J37" s="88">
        <f ca="1">IF(J14=0,IF(J36="yes",0,J$21),$H$21*J16)</f>
        <v>0</v>
      </c>
      <c r="K37" s="88">
        <f ca="1">IF(K14=0,IF(K36="yes",0,K$21),$H$21*K16)</f>
        <v>0</v>
      </c>
      <c r="L37" s="88">
        <f ca="1">IF(L14=0,IF(L36="yes",0,L$21),$H$21*L16)</f>
        <v>0</v>
      </c>
      <c r="M37" s="88">
        <f ca="1">IF(M14=0,IF(M36="yes",0,M$21),$H$21*M16)</f>
        <v>0</v>
      </c>
      <c r="N37" s="88">
        <f ca="1">IF(N14=0,IF(N36="yes",0,N$21),$H$21*N16)</f>
        <v>0</v>
      </c>
      <c r="O37" s="88">
        <f ca="1">IF(O14=0,IF(O36="yes",0,O$21),$H$21*O16)</f>
        <v>0</v>
      </c>
      <c r="P37" s="88">
        <f ca="1">IF(P14=0,IF(P36="yes",0,P$21),$H$21*P16)</f>
        <v>0</v>
      </c>
    </row>
    <row r="38" spans="1:16" x14ac:dyDescent="0.2">
      <c r="A38" s="1"/>
      <c r="B38" s="1" t="s">
        <v>156</v>
      </c>
      <c r="C38" s="1"/>
      <c r="D38" s="1"/>
      <c r="E38" s="1"/>
      <c r="F38" s="1"/>
      <c r="G38" s="1"/>
      <c r="H38" s="1"/>
      <c r="I38" s="88">
        <f ca="1">I37/$G$21</f>
        <v>7.4071999999999996</v>
      </c>
      <c r="J38" s="88">
        <f ca="1">J37/$G$21</f>
        <v>0</v>
      </c>
      <c r="K38" s="88">
        <f ca="1">K37/$G$21</f>
        <v>0</v>
      </c>
      <c r="L38" s="88">
        <f ca="1">L37/$G$21</f>
        <v>0</v>
      </c>
      <c r="M38" s="88">
        <f ca="1">M37/$G$21</f>
        <v>0</v>
      </c>
      <c r="N38" s="88">
        <f ca="1">N37/$G$21</f>
        <v>0</v>
      </c>
      <c r="O38" s="88">
        <f ca="1">O37/$G$21</f>
        <v>0</v>
      </c>
      <c r="P38" s="88">
        <f ca="1">P37/$G$21</f>
        <v>0</v>
      </c>
    </row>
    <row r="39" spans="1:16" x14ac:dyDescent="0.2">
      <c r="A39" s="1"/>
      <c r="B39" s="1"/>
      <c r="C39" s="1"/>
      <c r="D39" s="1"/>
      <c r="E39" s="1"/>
      <c r="F39" s="1"/>
      <c r="G39" s="1"/>
      <c r="H39" s="1"/>
      <c r="I39" s="88"/>
      <c r="J39" s="88"/>
      <c r="K39" s="88"/>
      <c r="L39" s="88"/>
      <c r="M39" s="88"/>
      <c r="N39" s="88"/>
      <c r="O39" s="88"/>
      <c r="P39" s="88"/>
    </row>
    <row r="40" spans="1:16" x14ac:dyDescent="0.2">
      <c r="A40" s="1"/>
      <c r="B40" s="1" t="s">
        <v>113</v>
      </c>
      <c r="C40" s="1"/>
      <c r="D40" s="1"/>
      <c r="E40" s="1"/>
      <c r="F40" s="1"/>
      <c r="G40" s="1"/>
      <c r="H40" s="1"/>
      <c r="I40" s="88">
        <f ca="1">I16-I27-I32-I37</f>
        <v>117749995.5792</v>
      </c>
      <c r="J40" s="88">
        <f ca="1">J16-J27-J32-J37</f>
        <v>197000000</v>
      </c>
      <c r="K40" s="88">
        <f ca="1">K16-K27-K32-K37</f>
        <v>246250000</v>
      </c>
      <c r="L40" s="88">
        <f ca="1">L16-L27-L32-L37</f>
        <v>295500000</v>
      </c>
      <c r="M40" s="88">
        <f ca="1">M16-M27-M32-M37</f>
        <v>344750000</v>
      </c>
      <c r="N40" s="88">
        <f ca="1">N16-N27-N32-N37</f>
        <v>394000000</v>
      </c>
      <c r="O40" s="88">
        <f ca="1">O16-O27-O32-O37</f>
        <v>492500000</v>
      </c>
      <c r="P40" s="88">
        <f ca="1">P16-P27-P32-P37</f>
        <v>738750000</v>
      </c>
    </row>
    <row r="41" spans="1:16" x14ac:dyDescent="0.2">
      <c r="A41" s="1"/>
      <c r="B41" s="1"/>
      <c r="C41" s="1"/>
      <c r="D41" s="1"/>
      <c r="E41" s="1"/>
      <c r="F41" s="1"/>
      <c r="G41" s="1"/>
      <c r="H41" s="1"/>
      <c r="I41" s="56"/>
      <c r="J41" s="56"/>
      <c r="K41" s="56"/>
      <c r="L41" s="56"/>
      <c r="M41" s="56"/>
      <c r="N41" s="56"/>
      <c r="O41" s="56"/>
      <c r="P41" s="56"/>
    </row>
    <row r="42" spans="1:16" x14ac:dyDescent="0.2">
      <c r="A42" s="1"/>
      <c r="B42" s="3" t="s">
        <v>114</v>
      </c>
      <c r="C42" s="1"/>
      <c r="D42" s="1"/>
      <c r="E42" s="1"/>
      <c r="F42" s="1"/>
      <c r="G42" s="1"/>
      <c r="H42" s="1"/>
      <c r="I42" s="56"/>
      <c r="J42" s="56"/>
      <c r="K42" s="56"/>
      <c r="L42" s="56"/>
      <c r="M42" s="56"/>
      <c r="N42" s="56"/>
      <c r="O42" s="56"/>
      <c r="P42" s="56"/>
    </row>
    <row r="43" spans="1:16" x14ac:dyDescent="0.2">
      <c r="A43" s="1"/>
      <c r="B43" s="1" t="s">
        <v>144</v>
      </c>
      <c r="C43" s="1"/>
      <c r="D43" s="1"/>
      <c r="E43" s="1"/>
      <c r="F43" s="1"/>
      <c r="G43" s="1"/>
      <c r="H43" s="1"/>
      <c r="I43" s="90">
        <f ca="1">'Series A'!$C$13+'Series A'!$L$12+'Series B'!$Q$12+IF(I26="yes",$G$19,0)+IF(I31="yes",$G$20,0)+IF(I36="yes",$G$21,0)</f>
        <v>20250544</v>
      </c>
      <c r="J43" s="90">
        <f ca="1">'Series A'!$C$13+'Series A'!$L$12+'Series B'!$Q$12+IF(J26="yes",$G$19,0)+IF(J31="yes",$G$20,0)+IF(J36="yes",$G$21,0)</f>
        <v>24300658</v>
      </c>
      <c r="K43" s="90">
        <f ca="1">'Series A'!$C$13+'Series A'!$L$12+'Series B'!$Q$12+IF(K26="yes",$G$19,0)+IF(K31="yes",$G$20,0)+IF(K36="yes",$G$21,0)</f>
        <v>24300658</v>
      </c>
      <c r="L43" s="90">
        <f ca="1">'Series A'!$C$13+'Series A'!$L$12+'Series B'!$Q$12+IF(L26="yes",$G$19,0)+IF(L31="yes",$G$20,0)+IF(L36="yes",$G$21,0)</f>
        <v>24300658</v>
      </c>
      <c r="M43" s="90">
        <f ca="1">'Series A'!$C$13+'Series A'!$L$12+'Series B'!$Q$12+IF(M26="yes",$G$19,0)+IF(M31="yes",$G$20,0)+IF(M36="yes",$G$21,0)</f>
        <v>24300658</v>
      </c>
      <c r="N43" s="90">
        <f ca="1">'Series A'!$C$13+'Series A'!$L$12+'Series B'!$Q$12+IF(N26="yes",$G$19,0)+IF(N31="yes",$G$20,0)+IF(N36="yes",$G$21,0)</f>
        <v>24300658</v>
      </c>
      <c r="O43" s="90">
        <f ca="1">'Series A'!$C$13+'Series A'!$L$12+'Series B'!$Q$12+IF(O26="yes",$G$19,0)+IF(O31="yes",$G$20,0)+IF(O36="yes",$G$21,0)</f>
        <v>24300658</v>
      </c>
      <c r="P43" s="90">
        <f ca="1">'Series A'!$C$13+'Series A'!$L$12+'Series B'!$Q$12+IF(P26="yes",$G$19,0)+IF(P31="yes",$G$20,0)+IF(P36="yes",$G$21,0)</f>
        <v>24300658</v>
      </c>
    </row>
    <row r="44" spans="1:16" x14ac:dyDescent="0.2">
      <c r="A44" s="1"/>
      <c r="B44" s="1" t="s">
        <v>145</v>
      </c>
      <c r="C44" s="1"/>
      <c r="D44" s="1"/>
      <c r="E44" s="1"/>
      <c r="F44" s="1"/>
      <c r="G44" s="1"/>
      <c r="H44" s="1"/>
      <c r="I44" s="90">
        <f ca="1">IFERROR(I40/I43,0)</f>
        <v>5.8146583903721298</v>
      </c>
      <c r="J44" s="90">
        <f ca="1">IFERROR(J40/J43,0)</f>
        <v>8.1067763679485552</v>
      </c>
      <c r="K44" s="90">
        <f ca="1">IFERROR(K40/K43,0)</f>
        <v>10.133470459935694</v>
      </c>
      <c r="L44" s="90">
        <f ca="1">IFERROR(L40/L43,0)</f>
        <v>12.160164551922833</v>
      </c>
      <c r="M44" s="90">
        <f ca="1">IFERROR(M40/M43,0)</f>
        <v>14.186858643909972</v>
      </c>
      <c r="N44" s="90">
        <f ca="1">IFERROR(N40/N43,0)</f>
        <v>16.21355273589711</v>
      </c>
      <c r="O44" s="90">
        <f ca="1">IFERROR(O40/O43,0)</f>
        <v>20.266940919871388</v>
      </c>
      <c r="P44" s="90">
        <f ca="1">IFERROR(P40/P43,0)</f>
        <v>30.400411379807082</v>
      </c>
    </row>
    <row r="45" spans="1:16" x14ac:dyDescent="0.2">
      <c r="A45" s="1"/>
      <c r="B45" s="1"/>
      <c r="C45" s="1"/>
      <c r="D45" s="1"/>
      <c r="E45" s="1"/>
      <c r="F45" s="1"/>
      <c r="G45" s="1"/>
      <c r="H45" s="1"/>
      <c r="I45" s="56"/>
      <c r="J45" s="56"/>
      <c r="K45" s="56"/>
      <c r="L45" s="56"/>
      <c r="M45" s="56"/>
      <c r="N45" s="56"/>
      <c r="O45" s="56"/>
      <c r="P45" s="56"/>
    </row>
    <row r="46" spans="1:16" x14ac:dyDescent="0.2">
      <c r="A46" s="1"/>
      <c r="B46" s="3" t="s">
        <v>115</v>
      </c>
      <c r="C46" s="1"/>
      <c r="D46" s="1"/>
      <c r="E46" s="1"/>
      <c r="F46" s="1"/>
      <c r="G46" s="1"/>
      <c r="H46" s="1"/>
      <c r="I46" s="56"/>
      <c r="J46" s="56"/>
      <c r="K46" s="56"/>
      <c r="L46" s="56"/>
      <c r="M46" s="56"/>
      <c r="N46" s="56"/>
      <c r="O46" s="56"/>
      <c r="P46" s="56"/>
    </row>
    <row r="47" spans="1:16" x14ac:dyDescent="0.2">
      <c r="A47" s="1"/>
      <c r="B47" s="1" t="s">
        <v>116</v>
      </c>
      <c r="C47" s="1"/>
      <c r="D47" s="1"/>
      <c r="E47" s="1"/>
      <c r="F47" s="1"/>
      <c r="G47" s="1"/>
      <c r="H47" s="1"/>
      <c r="I47" s="91">
        <f ca="1">IF(I26="yes",I44,I28)</f>
        <v>5.8146583903721298</v>
      </c>
      <c r="J47" s="91">
        <f ca="1">IF(J26="yes",J44,J28)</f>
        <v>8.1067763679485552</v>
      </c>
      <c r="K47" s="91">
        <f ca="1">IF(K26="yes",K44,K28)</f>
        <v>10.133470459935694</v>
      </c>
      <c r="L47" s="91">
        <f ca="1">IF(L26="yes",L44,L28)</f>
        <v>12.160164551922833</v>
      </c>
      <c r="M47" s="91">
        <f ca="1">IF(M26="yes",M44,M28)</f>
        <v>14.186858643909972</v>
      </c>
      <c r="N47" s="91">
        <f ca="1">IF(N26="yes",N44,N28)</f>
        <v>16.21355273589711</v>
      </c>
      <c r="O47" s="91">
        <f ca="1">IF(O26="yes",O44,O28)</f>
        <v>20.266940919871388</v>
      </c>
      <c r="P47" s="91">
        <f ca="1">IF(P26="yes",P44,P28)</f>
        <v>30.400411379807082</v>
      </c>
    </row>
    <row r="48" spans="1:16" x14ac:dyDescent="0.2">
      <c r="A48" s="1"/>
      <c r="B48" s="1" t="s">
        <v>52</v>
      </c>
      <c r="C48" s="1"/>
      <c r="D48" s="1"/>
      <c r="E48" s="1"/>
      <c r="F48" s="1"/>
      <c r="G48" s="1"/>
      <c r="H48" s="1"/>
      <c r="I48" s="91">
        <f ca="1">IF(I31="yes",I44,I33)</f>
        <v>5.8146583903721298</v>
      </c>
      <c r="J48" s="91">
        <f ca="1">IF(J31="yes",J44,J33)</f>
        <v>8.1067763679485552</v>
      </c>
      <c r="K48" s="91">
        <f ca="1">IF(K31="yes",K44,K33)</f>
        <v>10.133470459935694</v>
      </c>
      <c r="L48" s="91">
        <f ca="1">IF(L31="yes",L44,L33)</f>
        <v>12.160164551922833</v>
      </c>
      <c r="M48" s="91">
        <f ca="1">IF(M31="yes",M44,M33)</f>
        <v>14.186858643909972</v>
      </c>
      <c r="N48" s="91">
        <f ca="1">IF(N31="yes",N44,N33)</f>
        <v>16.21355273589711</v>
      </c>
      <c r="O48" s="91">
        <f ca="1">IF(O31="yes",O44,O33)</f>
        <v>20.266940919871388</v>
      </c>
      <c r="P48" s="91">
        <f ca="1">IF(P31="yes",P44,P33)</f>
        <v>30.400411379807082</v>
      </c>
    </row>
    <row r="49" spans="1:16" x14ac:dyDescent="0.2">
      <c r="A49" s="1"/>
      <c r="B49" s="1" t="s">
        <v>77</v>
      </c>
      <c r="C49" s="1"/>
      <c r="D49" s="1"/>
      <c r="E49" s="1"/>
      <c r="F49" s="1"/>
      <c r="G49" s="1"/>
      <c r="H49" s="1"/>
      <c r="I49" s="91">
        <f ca="1">IF(I36="yes",I44,I38)</f>
        <v>7.4071999999999996</v>
      </c>
      <c r="J49" s="91">
        <f ca="1">IF(J36="yes",J44,J38)</f>
        <v>8.1067763679485552</v>
      </c>
      <c r="K49" s="91">
        <f ca="1">IF(K36="yes",K44,K38)</f>
        <v>10.133470459935694</v>
      </c>
      <c r="L49" s="91">
        <f ca="1">IF(L36="yes",L44,L38)</f>
        <v>12.160164551922833</v>
      </c>
      <c r="M49" s="91">
        <f ca="1">IF(M36="yes",M44,M38)</f>
        <v>14.186858643909972</v>
      </c>
      <c r="N49" s="91">
        <f ca="1">IF(N36="yes",N44,N38)</f>
        <v>16.21355273589711</v>
      </c>
      <c r="O49" s="91">
        <f ca="1">IF(O36="yes",O44,O38)</f>
        <v>20.266940919871388</v>
      </c>
      <c r="P49" s="91">
        <f ca="1">IF(P36="yes",P44,P38)</f>
        <v>30.400411379807082</v>
      </c>
    </row>
    <row r="50" spans="1:16" x14ac:dyDescent="0.2">
      <c r="A50" s="1"/>
      <c r="B50" s="1" t="s">
        <v>82</v>
      </c>
      <c r="C50" s="1"/>
      <c r="D50" s="1"/>
      <c r="E50" s="1"/>
      <c r="F50" s="1"/>
      <c r="G50" s="1"/>
      <c r="H50" s="1"/>
      <c r="I50" s="91">
        <f ca="1">I44</f>
        <v>5.8146583903721298</v>
      </c>
      <c r="J50" s="91">
        <f ca="1">J44</f>
        <v>8.1067763679485552</v>
      </c>
      <c r="K50" s="91">
        <f ca="1">K44</f>
        <v>10.133470459935694</v>
      </c>
      <c r="L50" s="91">
        <f ca="1">L44</f>
        <v>12.160164551922833</v>
      </c>
      <c r="M50" s="91">
        <f ca="1">M44</f>
        <v>14.186858643909972</v>
      </c>
      <c r="N50" s="91">
        <f ca="1">N44</f>
        <v>16.21355273589711</v>
      </c>
      <c r="O50" s="91">
        <f ca="1">O44</f>
        <v>20.266940919871388</v>
      </c>
      <c r="P50" s="91">
        <f ca="1">P44</f>
        <v>30.400411379807082</v>
      </c>
    </row>
    <row r="51" spans="1:16" x14ac:dyDescent="0.2">
      <c r="A51" s="1"/>
      <c r="B51" s="1"/>
      <c r="C51" s="1"/>
      <c r="D51" s="1"/>
      <c r="E51" s="1"/>
      <c r="F51" s="1"/>
      <c r="G51" s="1"/>
      <c r="H51" s="1"/>
      <c r="I51" s="56"/>
      <c r="J51" s="56"/>
      <c r="K51" s="56"/>
      <c r="L51" s="56"/>
      <c r="M51" s="56"/>
      <c r="N51" s="56"/>
      <c r="O51" s="56"/>
      <c r="P51" s="56"/>
    </row>
    <row r="52" spans="1:16" x14ac:dyDescent="0.2">
      <c r="A52" s="1"/>
      <c r="B52" s="3" t="s">
        <v>117</v>
      </c>
      <c r="C52" s="1"/>
      <c r="D52" s="1"/>
      <c r="E52" s="1"/>
      <c r="F52" s="1"/>
      <c r="G52" s="1"/>
      <c r="H52" s="1"/>
      <c r="I52" s="56"/>
      <c r="J52" s="56"/>
      <c r="K52" s="56"/>
      <c r="L52" s="56"/>
      <c r="M52" s="56"/>
      <c r="N52" s="56"/>
      <c r="O52" s="56"/>
      <c r="P52" s="56"/>
    </row>
    <row r="53" spans="1:16" x14ac:dyDescent="0.2">
      <c r="A53" s="1"/>
      <c r="B53" s="1" t="s">
        <v>116</v>
      </c>
      <c r="C53" s="1"/>
      <c r="D53" s="1"/>
      <c r="E53" s="1"/>
      <c r="F53" s="1"/>
      <c r="G53" s="1"/>
      <c r="H53" s="1"/>
      <c r="I53" s="88">
        <f ca="1">I47*$G$19</f>
        <v>13850696.540276514</v>
      </c>
      <c r="J53" s="88">
        <f ca="1">J47*$G$19</f>
        <v>19310592.618520863</v>
      </c>
      <c r="K53" s="88">
        <f ca="1">K47*$G$19</f>
        <v>24138240.773151081</v>
      </c>
      <c r="L53" s="88">
        <f ca="1">L47*$G$19</f>
        <v>28965888.927781299</v>
      </c>
      <c r="M53" s="88">
        <f ca="1">M47*$G$19</f>
        <v>33793537.082411513</v>
      </c>
      <c r="N53" s="88">
        <f ca="1">N47*$G$19</f>
        <v>38621185.237041727</v>
      </c>
      <c r="O53" s="88">
        <f ca="1">O47*$G$19</f>
        <v>48276481.546302162</v>
      </c>
      <c r="P53" s="88">
        <f ca="1">P47*$G$19</f>
        <v>72414722.319453239</v>
      </c>
    </row>
    <row r="54" spans="1:16" x14ac:dyDescent="0.2">
      <c r="A54" s="1"/>
      <c r="B54" s="1" t="s">
        <v>52</v>
      </c>
      <c r="C54" s="1"/>
      <c r="D54" s="1"/>
      <c r="E54" s="1"/>
      <c r="F54" s="1"/>
      <c r="G54" s="1"/>
      <c r="H54" s="1"/>
      <c r="I54" s="88">
        <f ca="1">I48*$G$20</f>
        <v>26964658.418517709</v>
      </c>
      <c r="J54" s="88">
        <f ca="1">J48*$G$20</f>
        <v>37594032.350893542</v>
      </c>
      <c r="K54" s="88">
        <f ca="1">K48*$G$20</f>
        <v>46992540.438616931</v>
      </c>
      <c r="L54" s="88">
        <f ca="1">L48*$G$20</f>
        <v>56391048.526340313</v>
      </c>
      <c r="M54" s="88">
        <f ca="1">M48*$G$20</f>
        <v>65789556.614063703</v>
      </c>
      <c r="N54" s="88">
        <f ca="1">N48*$G$20</f>
        <v>75188064.701787084</v>
      </c>
      <c r="O54" s="88">
        <f ca="1">O48*$G$20</f>
        <v>93985080.877233863</v>
      </c>
      <c r="P54" s="88">
        <f ca="1">P48*$G$20</f>
        <v>140977621.31585079</v>
      </c>
    </row>
    <row r="55" spans="1:16" x14ac:dyDescent="0.2">
      <c r="A55" s="1"/>
      <c r="B55" s="1" t="s">
        <v>77</v>
      </c>
      <c r="C55" s="1"/>
      <c r="D55" s="1"/>
      <c r="E55" s="1"/>
      <c r="F55" s="1"/>
      <c r="G55" s="1"/>
      <c r="H55" s="1"/>
      <c r="I55" s="88">
        <f ca="1">I49*$G$21</f>
        <v>30000004.420799997</v>
      </c>
      <c r="J55" s="88">
        <f ca="1">J49*$G$21</f>
        <v>32833368.462697595</v>
      </c>
      <c r="K55" s="88">
        <f ca="1">K49*$G$21</f>
        <v>41041710.578371994</v>
      </c>
      <c r="L55" s="88">
        <f ca="1">L49*$G$21</f>
        <v>49250052.694046393</v>
      </c>
      <c r="M55" s="88">
        <f ca="1">M49*$G$21</f>
        <v>57458394.809720792</v>
      </c>
      <c r="N55" s="88">
        <f ca="1">N49*$G$21</f>
        <v>65666736.925395191</v>
      </c>
      <c r="O55" s="88">
        <f ca="1">O49*$G$21</f>
        <v>82083421.156743988</v>
      </c>
      <c r="P55" s="88">
        <f ca="1">P49*$G$21</f>
        <v>123125131.73511598</v>
      </c>
    </row>
    <row r="56" spans="1:16" x14ac:dyDescent="0.2">
      <c r="A56" s="1"/>
      <c r="B56" s="1" t="s">
        <v>82</v>
      </c>
      <c r="C56" s="1"/>
      <c r="D56" s="1"/>
      <c r="E56" s="1"/>
      <c r="F56" s="1"/>
      <c r="G56" s="1"/>
      <c r="H56" s="1"/>
      <c r="I56" s="88">
        <f ca="1">I50*('Series A'!$C$13+'Series A'!$L$12+'Series B'!$Q$12)</f>
        <v>76934640.620405763</v>
      </c>
      <c r="J56" s="88">
        <f ca="1">J50*('Series A'!$C$13+'Series A'!$L$12+'Series B'!$Q$12)</f>
        <v>107262006.56788799</v>
      </c>
      <c r="K56" s="88">
        <f ca="1">K50*('Series A'!$C$13+'Series A'!$L$12+'Series B'!$Q$12)</f>
        <v>134077508.20986</v>
      </c>
      <c r="L56" s="88">
        <f ca="1">L50*('Series A'!$C$13+'Series A'!$L$12+'Series B'!$Q$12)</f>
        <v>160893009.851832</v>
      </c>
      <c r="M56" s="88">
        <f ca="1">M50*('Series A'!$C$13+'Series A'!$L$12+'Series B'!$Q$12)</f>
        <v>187708511.49380401</v>
      </c>
      <c r="N56" s="88">
        <f ca="1">N50*('Series A'!$C$13+'Series A'!$L$12+'Series B'!$Q$12)</f>
        <v>214524013.13577598</v>
      </c>
      <c r="O56" s="88">
        <f ca="1">O50*('Series A'!$C$13+'Series A'!$L$12+'Series B'!$Q$12)</f>
        <v>268155016.41971999</v>
      </c>
      <c r="P56" s="88">
        <f ca="1">P50*('Series A'!$C$13+'Series A'!$L$12+'Series B'!$Q$12)</f>
        <v>402232524.62957996</v>
      </c>
    </row>
    <row r="57" spans="1:16" x14ac:dyDescent="0.2">
      <c r="A57" s="1"/>
      <c r="B57" s="1"/>
      <c r="C57" s="1"/>
      <c r="D57" s="1"/>
      <c r="E57" s="1"/>
      <c r="F57" s="1"/>
      <c r="G57" s="1"/>
      <c r="H57" s="1"/>
      <c r="I57" s="88"/>
      <c r="J57" s="88"/>
      <c r="K57" s="88"/>
      <c r="L57" s="88"/>
      <c r="M57" s="88"/>
      <c r="N57" s="88"/>
      <c r="O57" s="88"/>
      <c r="P57" s="88"/>
    </row>
    <row r="58" spans="1:16" x14ac:dyDescent="0.2">
      <c r="A58" s="1"/>
      <c r="B58" s="1" t="s">
        <v>146</v>
      </c>
      <c r="C58" s="1"/>
      <c r="D58" s="1"/>
      <c r="E58" s="1"/>
      <c r="F58" s="1"/>
      <c r="G58" s="1"/>
      <c r="H58" s="1"/>
      <c r="I58" s="88">
        <f ca="1">SUM(I53:I56)-I16</f>
        <v>0</v>
      </c>
      <c r="J58" s="88">
        <f ca="1">SUM(J53:J56)-J16</f>
        <v>0</v>
      </c>
      <c r="K58" s="88">
        <f ca="1">SUM(K53:K56)-K16</f>
        <v>0</v>
      </c>
      <c r="L58" s="88">
        <f ca="1">SUM(L53:L56)-L16</f>
        <v>0</v>
      </c>
      <c r="M58" s="88">
        <f ca="1">SUM(M53:M56)-M16</f>
        <v>0</v>
      </c>
      <c r="N58" s="88">
        <f ca="1">SUM(N53:N56)-N16</f>
        <v>0</v>
      </c>
      <c r="O58" s="88">
        <f ca="1">SUM(O53:O56)-O16</f>
        <v>0</v>
      </c>
      <c r="P58" s="88">
        <f ca="1">SUM(P53:P56)-P16</f>
        <v>0</v>
      </c>
    </row>
    <row r="59" spans="1:16" x14ac:dyDescent="0.2">
      <c r="A59" s="1"/>
      <c r="B59" s="1"/>
      <c r="C59" s="1"/>
      <c r="D59" s="1"/>
      <c r="E59" s="1"/>
      <c r="F59" s="1"/>
      <c r="G59" s="1"/>
      <c r="H59" s="1"/>
      <c r="I59" s="56"/>
      <c r="J59" s="56"/>
      <c r="K59" s="56"/>
      <c r="L59" s="56"/>
      <c r="M59" s="56"/>
      <c r="N59" s="56"/>
      <c r="O59" s="56"/>
      <c r="P59" s="56"/>
    </row>
    <row r="60" spans="1:16" x14ac:dyDescent="0.2">
      <c r="A60" s="1"/>
      <c r="B60" s="3" t="s">
        <v>121</v>
      </c>
      <c r="C60" s="1"/>
      <c r="D60" s="1"/>
      <c r="E60" s="1"/>
      <c r="F60" s="1"/>
      <c r="G60" s="1"/>
      <c r="H60" s="1"/>
      <c r="I60" s="56"/>
      <c r="J60" s="56"/>
      <c r="K60" s="56"/>
      <c r="L60" s="56"/>
      <c r="M60" s="56"/>
      <c r="N60" s="56"/>
      <c r="O60" s="56"/>
      <c r="P60" s="56"/>
    </row>
    <row r="61" spans="1:16" x14ac:dyDescent="0.2">
      <c r="A61" s="1"/>
      <c r="B61" s="1" t="s">
        <v>8</v>
      </c>
      <c r="C61" s="1"/>
      <c r="D61" s="1"/>
      <c r="E61" s="1"/>
      <c r="F61" s="1"/>
      <c r="G61" s="1"/>
      <c r="H61" s="1"/>
      <c r="I61" s="88">
        <f ca="1">I$47*'Series B'!$E8+I$48*'Series B'!$J8+I$49*'Series B'!$O8+I$50*'Series B'!$C8</f>
        <v>20932770.205339666</v>
      </c>
      <c r="J61" s="88">
        <f ca="1">J$47*'Series B'!$E8+J$48*'Series B'!$J8+J$49*'Series B'!$O8+J$50*'Series B'!$C8</f>
        <v>29184394.924614798</v>
      </c>
      <c r="K61" s="88">
        <f ca="1">K$47*'Series B'!$E8+K$48*'Series B'!$J8+K$49*'Series B'!$O8+K$50*'Series B'!$C8</f>
        <v>36480493.655768499</v>
      </c>
      <c r="L61" s="88">
        <f ca="1">L$47*'Series B'!$E8+L$48*'Series B'!$J8+L$49*'Series B'!$O8+L$50*'Series B'!$C8</f>
        <v>43776592.386922196</v>
      </c>
      <c r="M61" s="88">
        <f ca="1">M$47*'Series B'!$E8+M$48*'Series B'!$J8+M$49*'Series B'!$O8+M$50*'Series B'!$C8</f>
        <v>51072691.1180759</v>
      </c>
      <c r="N61" s="88">
        <f ca="1">N$47*'Series B'!$E8+N$48*'Series B'!$J8+N$49*'Series B'!$O8+N$50*'Series B'!$C8</f>
        <v>58368789.849229597</v>
      </c>
      <c r="O61" s="88">
        <f ca="1">O$47*'Series B'!$E8+O$48*'Series B'!$J8+O$49*'Series B'!$O8+O$50*'Series B'!$C8</f>
        <v>72960987.311536998</v>
      </c>
      <c r="P61" s="88">
        <f ca="1">P$47*'Series B'!$E8+P$48*'Series B'!$J8+P$49*'Series B'!$O8+P$50*'Series B'!$C8</f>
        <v>109441480.9673055</v>
      </c>
    </row>
    <row r="62" spans="1:16" x14ac:dyDescent="0.2">
      <c r="A62" s="1"/>
      <c r="B62" s="1" t="s">
        <v>9</v>
      </c>
      <c r="C62" s="1"/>
      <c r="D62" s="1"/>
      <c r="E62" s="1"/>
      <c r="F62" s="1"/>
      <c r="G62" s="1"/>
      <c r="H62" s="1"/>
      <c r="I62" s="88">
        <f ca="1">I$47*'Series B'!$E9+I$48*'Series B'!$J9+I$49*'Series B'!$O9+I$50*'Series B'!$C9</f>
        <v>20932770.205339666</v>
      </c>
      <c r="J62" s="88">
        <f ca="1">J$47*'Series B'!$E9+J$48*'Series B'!$J9+J$49*'Series B'!$O9+J$50*'Series B'!$C9</f>
        <v>29184394.924614798</v>
      </c>
      <c r="K62" s="88">
        <f ca="1">K$47*'Series B'!$E9+K$48*'Series B'!$J9+K$49*'Series B'!$O9+K$50*'Series B'!$C9</f>
        <v>36480493.655768499</v>
      </c>
      <c r="L62" s="88">
        <f ca="1">L$47*'Series B'!$E9+L$48*'Series B'!$J9+L$49*'Series B'!$O9+L$50*'Series B'!$C9</f>
        <v>43776592.386922196</v>
      </c>
      <c r="M62" s="88">
        <f ca="1">M$47*'Series B'!$E9+M$48*'Series B'!$J9+M$49*'Series B'!$O9+M$50*'Series B'!$C9</f>
        <v>51072691.1180759</v>
      </c>
      <c r="N62" s="88">
        <f ca="1">N$47*'Series B'!$E9+N$48*'Series B'!$J9+N$49*'Series B'!$O9+N$50*'Series B'!$C9</f>
        <v>58368789.849229597</v>
      </c>
      <c r="O62" s="88">
        <f ca="1">O$47*'Series B'!$E9+O$48*'Series B'!$J9+O$49*'Series B'!$O9+O$50*'Series B'!$C9</f>
        <v>72960987.311536998</v>
      </c>
      <c r="P62" s="88">
        <f ca="1">P$47*'Series B'!$E9+P$48*'Series B'!$J9+P$49*'Series B'!$O9+P$50*'Series B'!$C9</f>
        <v>109441480.9673055</v>
      </c>
    </row>
    <row r="63" spans="1:16" x14ac:dyDescent="0.2">
      <c r="A63" s="1"/>
      <c r="B63" s="1" t="s">
        <v>157</v>
      </c>
      <c r="C63" s="1"/>
      <c r="D63" s="1"/>
      <c r="E63" s="1"/>
      <c r="F63" s="1"/>
      <c r="G63" s="1"/>
      <c r="H63" s="1"/>
      <c r="I63" s="88">
        <f ca="1">I$47*'Series B'!$E10+I$48*'Series B'!$J10+I$49*'Series B'!$O10+I$50*'Series B'!$C10</f>
        <v>8433667.7492715921</v>
      </c>
      <c r="J63" s="88">
        <f ca="1">J$47*'Series B'!$E10+J$48*'Series B'!$J10+J$49*'Series B'!$O10+J$50*'Series B'!$C10</f>
        <v>11758190.045718104</v>
      </c>
      <c r="K63" s="88">
        <f ca="1">K$47*'Series B'!$E10+K$48*'Series B'!$J10+K$49*'Series B'!$O10+K$50*'Series B'!$C10</f>
        <v>14697737.55714763</v>
      </c>
      <c r="L63" s="88">
        <f ca="1">L$47*'Series B'!$E10+L$48*'Series B'!$J10+L$49*'Series B'!$O10+L$50*'Series B'!$C10</f>
        <v>17637285.068577155</v>
      </c>
      <c r="M63" s="88">
        <f ca="1">M$47*'Series B'!$E10+M$48*'Series B'!$J10+M$49*'Series B'!$O10+M$50*'Series B'!$C10</f>
        <v>20576832.580006681</v>
      </c>
      <c r="N63" s="88">
        <f ca="1">N$47*'Series B'!$E10+N$48*'Series B'!$J10+N$49*'Series B'!$O10+N$50*'Series B'!$C10</f>
        <v>23516380.091436207</v>
      </c>
      <c r="O63" s="88">
        <f ca="1">O$47*'Series B'!$E10+O$48*'Series B'!$J10+O$49*'Series B'!$O10+O$50*'Series B'!$C10</f>
        <v>29395475.114295259</v>
      </c>
      <c r="P63" s="88">
        <f ca="1">P$47*'Series B'!$E10+P$48*'Series B'!$J10+P$49*'Series B'!$O10+P$50*'Series B'!$C10</f>
        <v>44093212.671442889</v>
      </c>
    </row>
    <row r="64" spans="1:16" x14ac:dyDescent="0.2">
      <c r="A64" s="1"/>
      <c r="B64" s="1" t="s">
        <v>158</v>
      </c>
      <c r="C64" s="1"/>
      <c r="D64" s="1"/>
      <c r="E64" s="1"/>
      <c r="F64" s="1"/>
      <c r="G64" s="1"/>
      <c r="H64" s="1"/>
      <c r="I64" s="88">
        <f ca="1">I$47*'Series B'!$E11+I$48*'Series B'!$J11+I$49*'Series B'!$O11+I$50*('Series B'!$C11+'Series B'!$C12+'Series B'!$L12+'Series B'!$Q12)</f>
        <v>26635432.46045484</v>
      </c>
      <c r="J64" s="88">
        <f ca="1">J$47*'Series B'!$E11+J$48*'Series B'!$J11+J$49*'Series B'!$O11+J$50*('Series B'!$C11+'Series B'!$C12+'Series B'!$L12+'Series B'!$Q12)</f>
        <v>37135026.672940299</v>
      </c>
      <c r="K64" s="88">
        <f ca="1">K$47*'Series B'!$E11+K$48*'Series B'!$J11+K$49*'Series B'!$O11+K$50*('Series B'!$C11+'Series B'!$C12+'Series B'!$L12+'Series B'!$Q12)</f>
        <v>46418783.34117537</v>
      </c>
      <c r="L64" s="88">
        <f ca="1">L$47*'Series B'!$E11+L$48*'Series B'!$J11+L$49*'Series B'!$O11+L$50*('Series B'!$C11+'Series B'!$C12+'Series B'!$L12+'Series B'!$Q12)</f>
        <v>55702540.009410448</v>
      </c>
      <c r="M64" s="88">
        <f ca="1">M$47*'Series B'!$E11+M$48*'Series B'!$J11+M$49*'Series B'!$O11+M$50*('Series B'!$C11+'Series B'!$C12+'Series B'!$L12+'Series B'!$Q12)</f>
        <v>64986296.677645519</v>
      </c>
      <c r="N64" s="88">
        <f ca="1">N$47*'Series B'!$E11+N$48*'Series B'!$J11+N$49*'Series B'!$O11+N$50*('Series B'!$C11+'Series B'!$C12+'Series B'!$L12+'Series B'!$Q12)</f>
        <v>74270053.345880598</v>
      </c>
      <c r="O64" s="88">
        <f ca="1">O$47*'Series B'!$E11+O$48*'Series B'!$J11+O$49*'Series B'!$O11+O$50*('Series B'!$C11+'Series B'!$C12+'Series B'!$L12+'Series B'!$Q12)</f>
        <v>92837566.68235074</v>
      </c>
      <c r="P64" s="88">
        <f ca="1">P$47*'Series B'!$E11+P$48*'Series B'!$J11+P$49*'Series B'!$O11+P$50*('Series B'!$C11+'Series B'!$C12+'Series B'!$L12+'Series B'!$Q12)</f>
        <v>139256350.0235261</v>
      </c>
    </row>
    <row r="65" spans="1:16" x14ac:dyDescent="0.2">
      <c r="A65" s="1"/>
      <c r="B65" s="1" t="s">
        <v>42</v>
      </c>
      <c r="C65" s="1"/>
      <c r="D65" s="1"/>
      <c r="E65" s="1"/>
      <c r="F65" s="1"/>
      <c r="G65" s="1"/>
      <c r="H65" s="1"/>
      <c r="I65" s="88">
        <f ca="1">I$47*'Series B'!$E15+I$48*'Series B'!$J15+I$49*'Series B'!$O15+I$50*'Series B'!$C15</f>
        <v>24641255.718132924</v>
      </c>
      <c r="J65" s="88">
        <f ca="1">J$47*'Series B'!$E15+J$48*'Series B'!$J15+J$49*'Series B'!$O15+J$50*'Series B'!$C15</f>
        <v>32369750.028990984</v>
      </c>
      <c r="K65" s="88">
        <f ca="1">K$47*'Series B'!$E15+K$48*'Series B'!$J15+K$49*'Series B'!$O15+K$50*'Series B'!$C15</f>
        <v>40462187.53623873</v>
      </c>
      <c r="L65" s="88">
        <f ca="1">L$47*'Series B'!$E15+L$48*'Series B'!$J15+L$49*'Series B'!$O15+L$50*'Series B'!$C15</f>
        <v>48554625.043486476</v>
      </c>
      <c r="M65" s="88">
        <f ca="1">M$47*'Series B'!$E15+M$48*'Series B'!$J15+M$49*'Series B'!$O15+M$50*'Series B'!$C15</f>
        <v>56647062.550734229</v>
      </c>
      <c r="N65" s="88">
        <f ca="1">N$47*'Series B'!$E15+N$48*'Series B'!$J15+N$49*'Series B'!$O15+N$50*'Series B'!$C15</f>
        <v>64739500.057981968</v>
      </c>
      <c r="O65" s="88">
        <f ca="1">O$47*'Series B'!$E15+O$48*'Series B'!$J15+O$49*'Series B'!$O15+O$50*'Series B'!$C15</f>
        <v>80924375.07247746</v>
      </c>
      <c r="P65" s="88">
        <f ca="1">P$47*'Series B'!$E15+P$48*'Series B'!$J15+P$49*'Series B'!$O15+P$50*'Series B'!$C15</f>
        <v>121386562.60871619</v>
      </c>
    </row>
    <row r="66" spans="1:16" x14ac:dyDescent="0.2">
      <c r="A66" s="1"/>
      <c r="B66" s="1" t="s">
        <v>87</v>
      </c>
      <c r="C66" s="1"/>
      <c r="D66" s="1"/>
      <c r="E66" s="1"/>
      <c r="F66" s="1"/>
      <c r="G66" s="1"/>
      <c r="H66" s="1"/>
      <c r="I66" s="88">
        <f ca="1">I$47*'Series B'!$E16+I$48*'Series B'!$J16+I$49*'Series B'!$O16+I$50*'Series B'!$C16</f>
        <v>3518298.6828376139</v>
      </c>
      <c r="J66" s="88">
        <f ca="1">J$47*'Series B'!$E16+J$48*'Series B'!$J16+J$49*'Series B'!$O16+J$50*'Series B'!$C16</f>
        <v>4621778.5954602547</v>
      </c>
      <c r="K66" s="88">
        <f ca="1">K$47*'Series B'!$E16+K$48*'Series B'!$J16+K$49*'Series B'!$O16+K$50*'Series B'!$C16</f>
        <v>5777223.2443253184</v>
      </c>
      <c r="L66" s="88">
        <f ca="1">L$47*'Series B'!$E16+L$48*'Series B'!$J16+L$49*'Series B'!$O16+L$50*'Series B'!$C16</f>
        <v>6932667.893190382</v>
      </c>
      <c r="M66" s="88">
        <f ca="1">M$47*'Series B'!$E16+M$48*'Series B'!$J16+M$49*'Series B'!$O16+M$50*'Series B'!$C16</f>
        <v>8088112.5420554457</v>
      </c>
      <c r="N66" s="88">
        <f ca="1">N$47*'Series B'!$E16+N$48*'Series B'!$J16+N$49*'Series B'!$O16+N$50*'Series B'!$C16</f>
        <v>9243557.1909205094</v>
      </c>
      <c r="O66" s="88">
        <f ca="1">O$47*'Series B'!$E16+O$48*'Series B'!$J16+O$49*'Series B'!$O16+O$50*'Series B'!$C16</f>
        <v>11554446.488650637</v>
      </c>
      <c r="P66" s="88">
        <f ca="1">P$47*'Series B'!$E16+P$48*'Series B'!$J16+P$49*'Series B'!$O16+P$50*'Series B'!$C16</f>
        <v>17331669.732975956</v>
      </c>
    </row>
    <row r="67" spans="1:16" x14ac:dyDescent="0.2">
      <c r="A67" s="1"/>
      <c r="B67" s="1" t="s">
        <v>67</v>
      </c>
      <c r="C67" s="1"/>
      <c r="D67" s="1"/>
      <c r="E67" s="1"/>
      <c r="F67" s="1"/>
      <c r="G67" s="1"/>
      <c r="H67" s="1"/>
      <c r="I67" s="88">
        <f ca="1">I$47*'Series B'!$E17+I$48*'Series B'!$J17+I$49*'Series B'!$O17+I$50*'Series B'!$C17</f>
        <v>22124641.051647268</v>
      </c>
      <c r="J67" s="88">
        <f ca="1">J$47*'Series B'!$E17+J$48*'Series B'!$J17+J$49*'Series B'!$O17+J$50*'Series B'!$C17</f>
        <v>29063822.839694299</v>
      </c>
      <c r="K67" s="88">
        <f ca="1">K$47*'Series B'!$E17+K$48*'Series B'!$J17+K$49*'Series B'!$O17+K$50*'Series B'!$C17</f>
        <v>36329778.549617872</v>
      </c>
      <c r="L67" s="88">
        <f ca="1">L$47*'Series B'!$E17+L$48*'Series B'!$J17+L$49*'Series B'!$O17+L$50*'Series B'!$C17</f>
        <v>43595734.259541452</v>
      </c>
      <c r="M67" s="88">
        <f ca="1">M$47*'Series B'!$E17+M$48*'Series B'!$J17+M$49*'Series B'!$O17+M$50*'Series B'!$C17</f>
        <v>50861689.969465025</v>
      </c>
      <c r="N67" s="88">
        <f ca="1">N$47*'Series B'!$E17+N$48*'Series B'!$J17+N$49*'Series B'!$O17+N$50*'Series B'!$C17</f>
        <v>58127645.679388598</v>
      </c>
      <c r="O67" s="88">
        <f ca="1">O$47*'Series B'!$E17+O$48*'Series B'!$J17+O$49*'Series B'!$O17+O$50*'Series B'!$C17</f>
        <v>72659557.099235743</v>
      </c>
      <c r="P67" s="88">
        <f ca="1">P$47*'Series B'!$E17+P$48*'Series B'!$J17+P$49*'Series B'!$O17+P$50*'Series B'!$C17</f>
        <v>108989335.64885363</v>
      </c>
    </row>
    <row r="68" spans="1:16" x14ac:dyDescent="0.2">
      <c r="A68" s="1"/>
      <c r="B68" s="1" t="s">
        <v>68</v>
      </c>
      <c r="C68" s="1"/>
      <c r="D68" s="1"/>
      <c r="E68" s="1"/>
      <c r="F68" s="1"/>
      <c r="G68" s="1"/>
      <c r="H68" s="1"/>
      <c r="I68" s="88">
        <f ca="1">I$47*'Series B'!$E18+I$48*'Series B'!$J18+I$49*'Series B'!$O18+I$50*'Series B'!$C18</f>
        <v>5531161.7165764151</v>
      </c>
      <c r="J68" s="88">
        <f ca="1">J$47*'Series B'!$E18+J$48*'Series B'!$J18+J$49*'Series B'!$O18+J$50*'Series B'!$C18</f>
        <v>7265957.7366176676</v>
      </c>
      <c r="K68" s="88">
        <f ca="1">K$47*'Series B'!$E18+K$48*'Series B'!$J18+K$49*'Series B'!$O18+K$50*'Series B'!$C18</f>
        <v>9082447.1707720831</v>
      </c>
      <c r="L68" s="88">
        <f ca="1">L$47*'Series B'!$E18+L$48*'Series B'!$J18+L$49*'Series B'!$O18+L$50*'Series B'!$C18</f>
        <v>10898936.6049265</v>
      </c>
      <c r="M68" s="88">
        <f ca="1">M$47*'Series B'!$E18+M$48*'Series B'!$J18+M$49*'Series B'!$O18+M$50*'Series B'!$C18</f>
        <v>12715426.039080918</v>
      </c>
      <c r="N68" s="88">
        <f ca="1">N$47*'Series B'!$E18+N$48*'Series B'!$J18+N$49*'Series B'!$O18+N$50*'Series B'!$C18</f>
        <v>14531915.473235335</v>
      </c>
      <c r="O68" s="88">
        <f ca="1">O$47*'Series B'!$E18+O$48*'Series B'!$J18+O$49*'Series B'!$O18+O$50*'Series B'!$C18</f>
        <v>18164894.341544166</v>
      </c>
      <c r="P68" s="88">
        <f ca="1">P$47*'Series B'!$E18+P$48*'Series B'!$J18+P$49*'Series B'!$O18+P$50*'Series B'!$C18</f>
        <v>27247341.512316253</v>
      </c>
    </row>
    <row r="69" spans="1:16" x14ac:dyDescent="0.2">
      <c r="A69" s="1"/>
      <c r="B69" s="1" t="s">
        <v>88</v>
      </c>
      <c r="C69" s="1"/>
      <c r="D69" s="1"/>
      <c r="E69" s="1"/>
      <c r="F69" s="1"/>
      <c r="G69" s="1"/>
      <c r="H69" s="1"/>
      <c r="I69" s="88">
        <f ca="1">I$47*'Series B'!$E19+I$48*'Series B'!$J19+I$49*'Series B'!$O19+I$50*'Series B'!$C19</f>
        <v>15000002.210399998</v>
      </c>
      <c r="J69" s="88">
        <f ca="1">J$47*'Series B'!$E19+J$48*'Series B'!$J19+J$49*'Series B'!$O19+J$50*'Series B'!$C19</f>
        <v>16416684.231348798</v>
      </c>
      <c r="K69" s="88">
        <f ca="1">K$47*'Series B'!$E19+K$48*'Series B'!$J19+K$49*'Series B'!$O19+K$50*'Series B'!$C19</f>
        <v>20520855.289185997</v>
      </c>
      <c r="L69" s="88">
        <f ca="1">L$47*'Series B'!$E19+L$48*'Series B'!$J19+L$49*'Series B'!$O19+L$50*'Series B'!$C19</f>
        <v>24625026.347023197</v>
      </c>
      <c r="M69" s="88">
        <f ca="1">M$47*'Series B'!$E19+M$48*'Series B'!$J19+M$49*'Series B'!$O19+M$50*'Series B'!$C19</f>
        <v>28729197.404860396</v>
      </c>
      <c r="N69" s="88">
        <f ca="1">N$47*'Series B'!$E19+N$48*'Series B'!$J19+N$49*'Series B'!$O19+N$50*'Series B'!$C19</f>
        <v>32833368.462697595</v>
      </c>
      <c r="O69" s="88">
        <f ca="1">O$47*'Series B'!$E19+O$48*'Series B'!$J19+O$49*'Series B'!$O19+O$50*'Series B'!$C19</f>
        <v>41041710.578371994</v>
      </c>
      <c r="P69" s="88">
        <f ca="1">P$47*'Series B'!$E19+P$48*'Series B'!$J19+P$49*'Series B'!$O19+P$50*'Series B'!$C19</f>
        <v>61562565.867557988</v>
      </c>
    </row>
    <row r="70" spans="1:16" x14ac:dyDescent="0.2">
      <c r="A70" s="1"/>
      <c r="B70" s="1"/>
      <c r="C70" s="1"/>
      <c r="D70" s="1"/>
      <c r="E70" s="1"/>
      <c r="F70" s="1"/>
      <c r="G70" s="1"/>
      <c r="H70" s="1"/>
      <c r="I70" s="88"/>
      <c r="J70" s="88"/>
      <c r="K70" s="88"/>
      <c r="L70" s="88"/>
      <c r="M70" s="88"/>
      <c r="N70" s="88"/>
      <c r="O70" s="88"/>
      <c r="P70" s="88"/>
    </row>
    <row r="71" spans="1:16" x14ac:dyDescent="0.2">
      <c r="A71" s="1"/>
      <c r="B71" s="1" t="s">
        <v>147</v>
      </c>
      <c r="C71" s="1"/>
      <c r="D71" s="1"/>
      <c r="E71" s="1"/>
      <c r="F71" s="1"/>
      <c r="G71" s="1"/>
      <c r="H71" s="1"/>
      <c r="I71" s="88">
        <f ca="1">SUM(I61:I69)-I16</f>
        <v>0</v>
      </c>
      <c r="J71" s="88">
        <f ca="1">SUM(J61:J69)-J16</f>
        <v>0</v>
      </c>
      <c r="K71" s="88">
        <f ca="1">SUM(K61:K69)-K16</f>
        <v>0</v>
      </c>
      <c r="L71" s="88">
        <f ca="1">SUM(L61:L69)-L16</f>
        <v>0</v>
      </c>
      <c r="M71" s="88">
        <f ca="1">SUM(M61:M69)-M16</f>
        <v>0</v>
      </c>
      <c r="N71" s="88">
        <f ca="1">SUM(N61:N69)-N16</f>
        <v>0</v>
      </c>
      <c r="O71" s="88">
        <f ca="1">SUM(O61:O69)-O16</f>
        <v>0</v>
      </c>
      <c r="P71" s="88">
        <f ca="1">SUM(P61:P69)-P16</f>
        <v>0</v>
      </c>
    </row>
    <row r="72" spans="1:16" x14ac:dyDescent="0.2">
      <c r="A72" s="1"/>
      <c r="B72" s="1"/>
      <c r="C72" s="1"/>
      <c r="D72" s="1"/>
      <c r="E72" s="1"/>
      <c r="F72" s="1"/>
      <c r="G72" s="1"/>
      <c r="H72" s="1"/>
      <c r="I72" s="56"/>
      <c r="J72" s="56"/>
      <c r="K72" s="56"/>
      <c r="L72" s="56"/>
      <c r="M72" s="56"/>
      <c r="N72" s="56"/>
      <c r="O72" s="56"/>
      <c r="P72" s="56"/>
    </row>
    <row r="73" spans="1:16" x14ac:dyDescent="0.2">
      <c r="A73" s="1"/>
      <c r="B73" s="17" t="s">
        <v>148</v>
      </c>
      <c r="C73" s="95"/>
      <c r="D73" s="95"/>
      <c r="E73" s="95"/>
      <c r="F73" s="95"/>
      <c r="G73" s="95"/>
      <c r="H73" s="95"/>
      <c r="I73" s="96"/>
      <c r="J73" s="96"/>
      <c r="K73" s="96"/>
      <c r="L73" s="96"/>
      <c r="M73" s="96"/>
      <c r="N73" s="96"/>
      <c r="O73" s="96"/>
      <c r="P73" s="96"/>
    </row>
    <row r="74" spans="1:16" x14ac:dyDescent="0.2">
      <c r="A74" s="1"/>
      <c r="B74" s="1"/>
      <c r="C74" s="1"/>
      <c r="D74" s="1"/>
      <c r="E74" s="1"/>
      <c r="F74" s="1"/>
      <c r="G74" s="1"/>
      <c r="H74" s="1"/>
      <c r="I74" s="56"/>
      <c r="J74" s="56"/>
      <c r="K74" s="56"/>
      <c r="L74" s="56"/>
      <c r="M74" s="56"/>
      <c r="N74" s="56"/>
      <c r="O74" s="56"/>
      <c r="P74" s="56"/>
    </row>
    <row r="75" spans="1:16" x14ac:dyDescent="0.2">
      <c r="A75" s="1"/>
      <c r="B75" s="1" t="s">
        <v>149</v>
      </c>
      <c r="C75" s="1"/>
      <c r="D75" s="1"/>
      <c r="E75" s="1"/>
      <c r="F75" s="1"/>
      <c r="G75" s="1"/>
      <c r="H75" s="1"/>
      <c r="I75" s="88">
        <f ca="1">I67</f>
        <v>22124641.051647268</v>
      </c>
      <c r="J75" s="88">
        <f ca="1">J67</f>
        <v>29063822.839694299</v>
      </c>
      <c r="K75" s="88">
        <f ca="1">K67</f>
        <v>36329778.549617872</v>
      </c>
      <c r="L75" s="88">
        <f ca="1">L67</f>
        <v>43595734.259541452</v>
      </c>
      <c r="M75" s="88">
        <f ca="1">M67</f>
        <v>50861689.969465025</v>
      </c>
      <c r="N75" s="88">
        <f ca="1">N67</f>
        <v>58127645.679388598</v>
      </c>
      <c r="O75" s="88">
        <f ca="1">O67</f>
        <v>72659557.099235743</v>
      </c>
      <c r="P75" s="88">
        <f ca="1">P67</f>
        <v>108989335.64885363</v>
      </c>
    </row>
    <row r="76" spans="1:16" x14ac:dyDescent="0.2">
      <c r="A76" s="1"/>
      <c r="B76" s="1" t="s">
        <v>159</v>
      </c>
      <c r="C76" s="1"/>
      <c r="D76" s="1"/>
      <c r="E76" s="1"/>
      <c r="F76" s="1"/>
      <c r="G76" s="1"/>
      <c r="H76" s="1"/>
      <c r="I76" s="97">
        <f ca="1">'Series A'!$I$17+'Series B'!$N$17</f>
        <v>17945847.858574606</v>
      </c>
      <c r="J76" s="97">
        <f ca="1">'Series A'!$I$17+'Series B'!$N$17</f>
        <v>17945847.858574606</v>
      </c>
      <c r="K76" s="97">
        <f ca="1">'Series A'!$I$17+'Series B'!$N$17</f>
        <v>17945847.858574606</v>
      </c>
      <c r="L76" s="97">
        <f ca="1">'Series A'!$I$17+'Series B'!$N$17</f>
        <v>17945847.858574606</v>
      </c>
      <c r="M76" s="97">
        <f ca="1">'Series A'!$I$17+'Series B'!$N$17</f>
        <v>17945847.858574606</v>
      </c>
      <c r="N76" s="97">
        <f ca="1">'Series A'!$I$17+'Series B'!$N$17</f>
        <v>17945847.858574606</v>
      </c>
      <c r="O76" s="97">
        <f ca="1">'Series A'!$I$17+'Series B'!$N$17</f>
        <v>17945847.858574606</v>
      </c>
      <c r="P76" s="97">
        <f ca="1">'Series A'!$I$17+'Series B'!$N$17</f>
        <v>17945847.858574606</v>
      </c>
    </row>
    <row r="77" spans="1:16" x14ac:dyDescent="0.2">
      <c r="A77" s="1"/>
      <c r="B77" s="1" t="s">
        <v>122</v>
      </c>
      <c r="C77" s="1"/>
      <c r="D77" s="1"/>
      <c r="E77" s="1"/>
      <c r="F77" s="1"/>
      <c r="G77" s="1"/>
      <c r="H77" s="1"/>
      <c r="I77" s="88">
        <f ca="1">I75-I76</f>
        <v>4178793.1930726618</v>
      </c>
      <c r="J77" s="88">
        <f ca="1">J75-J76</f>
        <v>11117974.981119692</v>
      </c>
      <c r="K77" s="88">
        <f ca="1">K75-K76</f>
        <v>18383930.691043265</v>
      </c>
      <c r="L77" s="88">
        <f ca="1">L75-L76</f>
        <v>25649886.400966845</v>
      </c>
      <c r="M77" s="88">
        <f ca="1">M75-M76</f>
        <v>32915842.110890418</v>
      </c>
      <c r="N77" s="88">
        <f ca="1">N75-N76</f>
        <v>40181797.820813991</v>
      </c>
      <c r="O77" s="88">
        <f ca="1">O75-O76</f>
        <v>54713709.240661137</v>
      </c>
      <c r="P77" s="88">
        <f ca="1">P75-P76</f>
        <v>91043487.790279031</v>
      </c>
    </row>
    <row r="78" spans="1:16" x14ac:dyDescent="0.2">
      <c r="A78" s="1"/>
      <c r="B78" s="1" t="s">
        <v>151</v>
      </c>
      <c r="C78" s="1"/>
      <c r="D78" s="1"/>
      <c r="E78" s="1"/>
      <c r="F78" s="1"/>
      <c r="G78" s="1"/>
      <c r="H78" s="1"/>
      <c r="I78" s="92">
        <f ca="1">I75/I76</f>
        <v>1.2328557126976876</v>
      </c>
      <c r="J78" s="92">
        <f ca="1">J75/J76</f>
        <v>1.6195291004769927</v>
      </c>
      <c r="K78" s="92">
        <f ca="1">K75/K76</f>
        <v>2.024411375596241</v>
      </c>
      <c r="L78" s="92">
        <f ca="1">L75/L76</f>
        <v>2.4292936507154894</v>
      </c>
      <c r="M78" s="92">
        <f ca="1">M75/M76</f>
        <v>2.8341759258347374</v>
      </c>
      <c r="N78" s="92">
        <f ca="1">N75/N76</f>
        <v>3.2390582009539854</v>
      </c>
      <c r="O78" s="92">
        <f ca="1">O75/O76</f>
        <v>4.0488227511924819</v>
      </c>
      <c r="P78" s="92">
        <f ca="1">P75/P76</f>
        <v>6.0732341267887229</v>
      </c>
    </row>
    <row r="79" spans="1:16" x14ac:dyDescent="0.2">
      <c r="A79" s="1"/>
      <c r="B79" s="1" t="s">
        <v>152</v>
      </c>
      <c r="C79" s="1"/>
      <c r="D79" s="1"/>
      <c r="E79" s="1"/>
      <c r="F79" s="1"/>
      <c r="G79" s="1"/>
      <c r="H79" s="1"/>
      <c r="I79" s="92">
        <f ca="1">I48/'Series A'!$J$22</f>
        <v>1.3482327931673459</v>
      </c>
      <c r="J79" s="92">
        <f ca="1">J48/'Series A'!$J$22</f>
        <v>1.8797014394241687</v>
      </c>
      <c r="K79" s="92">
        <f ca="1">K48/'Series A'!$J$22</f>
        <v>2.3496267992802107</v>
      </c>
      <c r="L79" s="92">
        <f ca="1">L48/'Series A'!$J$22</f>
        <v>2.8195521591362529</v>
      </c>
      <c r="M79" s="92">
        <f ca="1">M48/'Series A'!$J$22</f>
        <v>3.2894775189922951</v>
      </c>
      <c r="N79" s="92">
        <f ca="1">N48/'Series A'!$J$22</f>
        <v>3.7594028788483373</v>
      </c>
      <c r="O79" s="92">
        <f ca="1">O48/'Series A'!$J$22</f>
        <v>4.6992535985604214</v>
      </c>
      <c r="P79" s="92">
        <f ca="1">P48/'Series A'!$J$22</f>
        <v>7.0488803978406329</v>
      </c>
    </row>
    <row r="80" spans="1:16" x14ac:dyDescent="0.2">
      <c r="A80" s="1"/>
      <c r="B80" s="1"/>
      <c r="C80" s="1"/>
      <c r="D80" s="1"/>
      <c r="E80" s="1"/>
      <c r="F80" s="1"/>
      <c r="G80" s="1"/>
      <c r="H80" s="1"/>
      <c r="I80" s="56"/>
      <c r="J80" s="56"/>
      <c r="K80" s="56"/>
      <c r="L80" s="56"/>
      <c r="M80" s="56"/>
      <c r="N80" s="56"/>
      <c r="O80" s="56"/>
      <c r="P80" s="56"/>
    </row>
    <row r="81" spans="1:16" x14ac:dyDescent="0.2">
      <c r="A81" s="1"/>
      <c r="B81" s="1" t="s">
        <v>123</v>
      </c>
      <c r="C81" s="1"/>
      <c r="D81" s="1"/>
      <c r="E81" s="1"/>
      <c r="F81" s="1"/>
      <c r="G81" s="1"/>
      <c r="H81" s="1"/>
      <c r="I81" s="93">
        <f ca="1">XIRR(I83:I85,$D$83:$D$85)</f>
        <v>5.8570984005928042E-2</v>
      </c>
      <c r="J81" s="93">
        <f ca="1">XIRR(J83:J85,$D$83:$D$85)</f>
        <v>0.13975443243980409</v>
      </c>
      <c r="K81" s="93">
        <f ca="1">XIRR(K83:K85,$D$83:$D$85)</f>
        <v>0.21048800349235539</v>
      </c>
      <c r="L81" s="93">
        <f ca="1">XIRR(L83:L85,$D$83:$D$85)</f>
        <v>0.27133831381797791</v>
      </c>
      <c r="M81" s="93">
        <f ca="1">XIRR(M83:M85,$D$83:$D$85)</f>
        <v>0.32503222823143008</v>
      </c>
      <c r="N81" s="93">
        <f ca="1">XIRR(N83:N85,$D$83:$D$85)</f>
        <v>0.37327285408973698</v>
      </c>
      <c r="O81" s="93">
        <f ca="1">XIRR(O83:O85,$D$83:$D$85)</f>
        <v>0.45762366652488717</v>
      </c>
      <c r="P81" s="93">
        <f ca="1">XIRR(P83:P85,$D$83:$D$85)</f>
        <v>0.62363980412483222</v>
      </c>
    </row>
    <row r="82" spans="1:16" x14ac:dyDescent="0.2">
      <c r="A82" s="1"/>
      <c r="B82" s="1"/>
      <c r="C82" s="1"/>
      <c r="D82" s="1"/>
      <c r="E82" s="1"/>
      <c r="F82" s="1"/>
      <c r="G82" s="1"/>
      <c r="H82" s="1"/>
      <c r="I82" s="56"/>
      <c r="J82" s="56"/>
      <c r="K82" s="56"/>
      <c r="L82" s="56"/>
      <c r="M82" s="56"/>
      <c r="N82" s="56"/>
      <c r="O82" s="56"/>
      <c r="P82" s="56"/>
    </row>
    <row r="83" spans="1:16" x14ac:dyDescent="0.2">
      <c r="A83" s="1"/>
      <c r="B83" s="1" t="s">
        <v>124</v>
      </c>
      <c r="C83" s="1" t="s">
        <v>52</v>
      </c>
      <c r="D83" s="84">
        <v>46113</v>
      </c>
      <c r="E83" s="1"/>
      <c r="F83" s="1"/>
      <c r="G83" s="1"/>
      <c r="H83" s="1"/>
      <c r="I83" s="88">
        <f>-'Series A'!$I$17</f>
        <v>-12000000</v>
      </c>
      <c r="J83" s="88">
        <f>-'Series A'!$I$17</f>
        <v>-12000000</v>
      </c>
      <c r="K83" s="88">
        <f>-'Series A'!$I$17</f>
        <v>-12000000</v>
      </c>
      <c r="L83" s="88">
        <f>-'Series A'!$I$17</f>
        <v>-12000000</v>
      </c>
      <c r="M83" s="88">
        <f>-'Series A'!$I$17</f>
        <v>-12000000</v>
      </c>
      <c r="N83" s="88">
        <f>-'Series A'!$I$17</f>
        <v>-12000000</v>
      </c>
      <c r="O83" s="88">
        <f>-'Series A'!$I$17</f>
        <v>-12000000</v>
      </c>
      <c r="P83" s="88">
        <f>-'Series A'!$I$17</f>
        <v>-12000000</v>
      </c>
    </row>
    <row r="84" spans="1:16" x14ac:dyDescent="0.2">
      <c r="A84" s="1"/>
      <c r="B84" s="1"/>
      <c r="C84" s="1" t="s">
        <v>77</v>
      </c>
      <c r="D84" s="52">
        <v>46478</v>
      </c>
      <c r="E84" s="1"/>
      <c r="F84" s="1"/>
      <c r="G84" s="1"/>
      <c r="H84" s="1"/>
      <c r="I84" s="88">
        <f ca="1">-'Series B'!$N$17</f>
        <v>-5945847.8585746055</v>
      </c>
      <c r="J84" s="88">
        <f ca="1">-'Series B'!$N$17</f>
        <v>-5945847.8585746055</v>
      </c>
      <c r="K84" s="88">
        <f ca="1">-'Series B'!$N$17</f>
        <v>-5945847.8585746055</v>
      </c>
      <c r="L84" s="88">
        <f ca="1">-'Series B'!$N$17</f>
        <v>-5945847.8585746055</v>
      </c>
      <c r="M84" s="88">
        <f ca="1">-'Series B'!$N$17</f>
        <v>-5945847.8585746055</v>
      </c>
      <c r="N84" s="88">
        <f ca="1">-'Series B'!$N$17</f>
        <v>-5945847.8585746055</v>
      </c>
      <c r="O84" s="88">
        <f ca="1">-'Series B'!$N$17</f>
        <v>-5945847.8585746055</v>
      </c>
      <c r="P84" s="88">
        <f ca="1">-'Series B'!$N$17</f>
        <v>-5945847.8585746055</v>
      </c>
    </row>
    <row r="85" spans="1:16" x14ac:dyDescent="0.2">
      <c r="A85" s="1"/>
      <c r="B85" s="1"/>
      <c r="C85" s="1" t="s">
        <v>125</v>
      </c>
      <c r="D85" s="52">
        <f>DATE(YEAR(D84)+3,MONTH(D84),DAY(D84))</f>
        <v>47574</v>
      </c>
      <c r="E85" s="1"/>
      <c r="F85" s="1"/>
      <c r="G85" s="1"/>
      <c r="H85" s="1"/>
      <c r="I85" s="88">
        <f ca="1">I75</f>
        <v>22124641.051647268</v>
      </c>
      <c r="J85" s="88">
        <f ca="1">J75</f>
        <v>29063822.839694299</v>
      </c>
      <c r="K85" s="88">
        <f ca="1">K75</f>
        <v>36329778.549617872</v>
      </c>
      <c r="L85" s="88">
        <f ca="1">L75</f>
        <v>43595734.259541452</v>
      </c>
      <c r="M85" s="88">
        <f ca="1">M75</f>
        <v>50861689.969465025</v>
      </c>
      <c r="N85" s="88">
        <f ca="1">N75</f>
        <v>58127645.679388598</v>
      </c>
      <c r="O85" s="88">
        <f ca="1">O75</f>
        <v>72659557.099235743</v>
      </c>
      <c r="P85" s="88">
        <f ca="1">P75</f>
        <v>108989335.64885363</v>
      </c>
    </row>
    <row r="86" spans="1:1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__temp__</vt:lpstr>
      <vt:lpstr>Detailed Cap Table</vt:lpstr>
      <vt:lpstr>SAFE Investments</vt:lpstr>
      <vt:lpstr>PreA</vt:lpstr>
      <vt:lpstr>Series A</vt:lpstr>
      <vt:lpstr>Series B</vt:lpstr>
      <vt:lpstr>Post A Returns</vt:lpstr>
      <vt:lpstr>Post B 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2026-04-14T16:43:21Z</dcterms:modified>
</cp:coreProperties>
</file>