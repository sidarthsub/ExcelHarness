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var/folders/pk/d3fxz1r57v334zbrzvw1g9pw0000gn/T/"/>
    </mc:Choice>
  </mc:AlternateContent>
  <xr:revisionPtr revIDLastSave="0" documentId="8_{79731E4C-1106-EF41-943B-B218D84FEA9D}" xr6:coauthVersionLast="47" xr6:coauthVersionMax="47" xr10:uidLastSave="{00000000-0000-0000-0000-000000000000}"/>
  <bookViews>
    <workbookView xWindow="0" yWindow="760" windowWidth="29400" windowHeight="17180" activeTab="5" xr2:uid="{00000000-000D-0000-FFFF-FFFF00000000}"/>
  </bookViews>
  <sheets>
    <sheet name="__temp__" sheetId="119" r:id="rId1"/>
    <sheet name="Detailed Cap Table" sheetId="120" r:id="rId2"/>
    <sheet name="SAFE Investments" sheetId="122" r:id="rId3"/>
    <sheet name="PreA" sheetId="123" r:id="rId4"/>
    <sheet name="Series A" sheetId="124" r:id="rId5"/>
    <sheet name="Series B" sheetId="125" r:id="rId6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2" i="125" l="1"/>
  <c r="N19" i="125" s="1"/>
  <c r="C32" i="125"/>
  <c r="C30" i="125"/>
  <c r="J26" i="125"/>
  <c r="O26" i="125"/>
  <c r="J25" i="125"/>
  <c r="G22" i="125"/>
  <c r="E22" i="125"/>
  <c r="C22" i="125"/>
  <c r="L18" i="125"/>
  <c r="I18" i="125"/>
  <c r="G18" i="125"/>
  <c r="E18" i="125"/>
  <c r="D18" i="125"/>
  <c r="C18" i="125"/>
  <c r="L17" i="125"/>
  <c r="I17" i="125"/>
  <c r="G17" i="125"/>
  <c r="E17" i="125"/>
  <c r="D17" i="125"/>
  <c r="C17" i="125"/>
  <c r="L16" i="125"/>
  <c r="J16" i="125"/>
  <c r="I16" i="125"/>
  <c r="G16" i="125"/>
  <c r="E16" i="125"/>
  <c r="D16" i="125"/>
  <c r="C16" i="125"/>
  <c r="L15" i="125"/>
  <c r="I15" i="125"/>
  <c r="G15" i="125"/>
  <c r="E15" i="125"/>
  <c r="D15" i="125"/>
  <c r="C15" i="125"/>
  <c r="O13" i="125"/>
  <c r="N13" i="125"/>
  <c r="J13" i="125"/>
  <c r="I13" i="125"/>
  <c r="I22" i="125" s="1"/>
  <c r="G13" i="125"/>
  <c r="E13" i="125"/>
  <c r="D13" i="125"/>
  <c r="D22" i="125" s="1"/>
  <c r="C13" i="125"/>
  <c r="S11" i="125"/>
  <c r="S10" i="125"/>
  <c r="S9" i="125"/>
  <c r="S8" i="125"/>
  <c r="J12" i="125"/>
  <c r="G12" i="125"/>
  <c r="E12" i="125"/>
  <c r="C12" i="125"/>
  <c r="L11" i="125"/>
  <c r="J11" i="125"/>
  <c r="G11" i="125"/>
  <c r="E11" i="125"/>
  <c r="C11" i="125"/>
  <c r="L10" i="125"/>
  <c r="J10" i="125"/>
  <c r="G10" i="125"/>
  <c r="E10" i="125"/>
  <c r="C10" i="125"/>
  <c r="L9" i="125"/>
  <c r="J9" i="125"/>
  <c r="G9" i="125"/>
  <c r="E9" i="125"/>
  <c r="C9" i="125"/>
  <c r="L8" i="125"/>
  <c r="J8" i="125"/>
  <c r="G8" i="125"/>
  <c r="E8" i="125"/>
  <c r="C8" i="125"/>
  <c r="G21" i="124"/>
  <c r="E21" i="124"/>
  <c r="D21" i="124"/>
  <c r="C21" i="124"/>
  <c r="C34" i="124"/>
  <c r="C33" i="124"/>
  <c r="C32" i="124"/>
  <c r="C30" i="124"/>
  <c r="C29" i="124"/>
  <c r="J24" i="124"/>
  <c r="E22" i="124"/>
  <c r="E16" i="124" s="1"/>
  <c r="N16" i="124" s="1"/>
  <c r="I18" i="124"/>
  <c r="D16" i="124"/>
  <c r="D15" i="124"/>
  <c r="J13" i="124"/>
  <c r="I13" i="124"/>
  <c r="G13" i="124"/>
  <c r="E13" i="124"/>
  <c r="D13" i="124"/>
  <c r="C13" i="124"/>
  <c r="C12" i="124"/>
  <c r="N11" i="124"/>
  <c r="C11" i="124"/>
  <c r="N10" i="124"/>
  <c r="C10" i="124"/>
  <c r="N9" i="124"/>
  <c r="C9" i="124"/>
  <c r="N8" i="124"/>
  <c r="C8" i="124"/>
  <c r="F18" i="123"/>
  <c r="F17" i="123"/>
  <c r="C23" i="123"/>
  <c r="C13" i="123"/>
  <c r="F13" i="123" s="1"/>
  <c r="F15" i="123" s="1"/>
  <c r="F21" i="123" s="1"/>
  <c r="D21" i="123"/>
  <c r="D18" i="123"/>
  <c r="D17" i="123"/>
  <c r="C15" i="123"/>
  <c r="C21" i="123" s="1"/>
  <c r="F14" i="123"/>
  <c r="C14" i="123"/>
  <c r="F12" i="123"/>
  <c r="C12" i="123"/>
  <c r="F11" i="123"/>
  <c r="C11" i="123"/>
  <c r="F10" i="123"/>
  <c r="C10" i="123"/>
  <c r="C27" i="122"/>
  <c r="C23" i="120"/>
  <c r="D23" i="120"/>
  <c r="E23" i="120"/>
  <c r="F23" i="120"/>
  <c r="G23" i="120"/>
  <c r="H13" i="120" s="1"/>
  <c r="H21" i="120"/>
  <c r="G21" i="120"/>
  <c r="H20" i="120"/>
  <c r="G20" i="120"/>
  <c r="H19" i="120"/>
  <c r="G19" i="120"/>
  <c r="G18" i="120"/>
  <c r="G17" i="120"/>
  <c r="H16" i="120"/>
  <c r="G16" i="120"/>
  <c r="H15" i="120"/>
  <c r="G15" i="120"/>
  <c r="H14" i="120"/>
  <c r="G14" i="120"/>
  <c r="G13" i="120"/>
  <c r="G12" i="120"/>
  <c r="H11" i="120"/>
  <c r="G11" i="120"/>
  <c r="H10" i="120"/>
  <c r="G10" i="120"/>
  <c r="H9" i="120"/>
  <c r="G9" i="120"/>
  <c r="G8" i="120"/>
  <c r="G7" i="120"/>
  <c r="H6" i="120"/>
  <c r="G6" i="120"/>
  <c r="H5" i="120"/>
  <c r="G5" i="120"/>
  <c r="H4" i="120"/>
  <c r="G4" i="120"/>
  <c r="E15" i="124" l="1"/>
  <c r="G18" i="123"/>
  <c r="C25" i="123"/>
  <c r="G14" i="123"/>
  <c r="G17" i="123"/>
  <c r="G12" i="123"/>
  <c r="G11" i="123"/>
  <c r="G10" i="123"/>
  <c r="G21" i="123" s="1"/>
  <c r="G13" i="123"/>
  <c r="H12" i="120"/>
  <c r="H17" i="120"/>
  <c r="H8" i="120"/>
  <c r="H18" i="120"/>
  <c r="H7" i="120"/>
  <c r="G15" i="123" l="1"/>
  <c r="O8" i="124" l="1"/>
  <c r="O9" i="124"/>
  <c r="O10" i="124"/>
  <c r="O11" i="124"/>
  <c r="L12" i="124"/>
  <c r="N12" i="124"/>
  <c r="O12" i="124"/>
  <c r="L13" i="124"/>
  <c r="N13" i="124"/>
  <c r="O13" i="124"/>
  <c r="J15" i="124"/>
  <c r="N15" i="124"/>
  <c r="O15" i="124"/>
  <c r="O16" i="124"/>
  <c r="J17" i="124"/>
  <c r="N17" i="124"/>
  <c r="O17" i="124"/>
  <c r="J18" i="124"/>
  <c r="N18" i="124"/>
  <c r="O18" i="124"/>
  <c r="J21" i="124"/>
  <c r="L21" i="124"/>
  <c r="N21" i="124"/>
  <c r="O21" i="124"/>
  <c r="J22" i="124"/>
  <c r="E25" i="124"/>
  <c r="J25" i="124"/>
  <c r="T8" i="125"/>
  <c r="T9" i="125"/>
  <c r="T10" i="125"/>
  <c r="T11" i="125"/>
  <c r="L12" i="125"/>
  <c r="Q12" i="125"/>
  <c r="S12" i="125"/>
  <c r="T12" i="125"/>
  <c r="L13" i="125"/>
  <c r="Q13" i="125"/>
  <c r="S13" i="125"/>
  <c r="T13" i="125"/>
  <c r="J15" i="125"/>
  <c r="N15" i="125"/>
  <c r="O15" i="125"/>
  <c r="S15" i="125"/>
  <c r="T15" i="125"/>
  <c r="N16" i="125"/>
  <c r="O16" i="125"/>
  <c r="S16" i="125"/>
  <c r="T16" i="125"/>
  <c r="J17" i="125"/>
  <c r="N17" i="125"/>
  <c r="O17" i="125"/>
  <c r="S17" i="125"/>
  <c r="T17" i="125"/>
  <c r="J18" i="125"/>
  <c r="N18" i="125"/>
  <c r="O18" i="125"/>
  <c r="S18" i="125"/>
  <c r="T18" i="125"/>
  <c r="O19" i="125"/>
  <c r="S19" i="125"/>
  <c r="T19" i="125"/>
  <c r="J22" i="125"/>
  <c r="L22" i="125"/>
  <c r="O22" i="125"/>
  <c r="Q22" i="125"/>
  <c r="S22" i="125"/>
  <c r="T22" i="125"/>
  <c r="J24" i="125"/>
  <c r="O24" i="125"/>
</calcChain>
</file>

<file path=xl/sharedStrings.xml><?xml version="1.0" encoding="utf-8"?>
<sst xmlns="http://schemas.openxmlformats.org/spreadsheetml/2006/main" count="199" uniqueCount="105">
  <si>
    <t>Total</t>
  </si>
  <si>
    <t>Current</t>
  </si>
  <si>
    <t>Shareholder</t>
  </si>
  <si>
    <t>Founders CS</t>
  </si>
  <si>
    <t>RSA</t>
  </si>
  <si>
    <t>Options</t>
  </si>
  <si>
    <t>Exercised Options</t>
  </si>
  <si>
    <t>% FDS</t>
  </si>
  <si>
    <t>Brian Hazzard</t>
  </si>
  <si>
    <t>David Wolpoff</t>
  </si>
  <si>
    <t>Ian Lee</t>
  </si>
  <si>
    <t>Kyle Haugsness</t>
  </si>
  <si>
    <t>Paul Riegle</t>
  </si>
  <si>
    <t>Chris Butts</t>
  </si>
  <si>
    <t>Maurice Granfield</t>
  </si>
  <si>
    <t>Pawan Lakshmanan</t>
  </si>
  <si>
    <t>Matthew Howe</t>
  </si>
  <si>
    <t>Andrew Ethan  Boyce-Lewis</t>
  </si>
  <si>
    <t>Eric McIntyre</t>
  </si>
  <si>
    <t>Patrick Heath</t>
  </si>
  <si>
    <t>Chris Lord</t>
  </si>
  <si>
    <t>Eric Freedman</t>
  </si>
  <si>
    <t>Miguel Bollar</t>
  </si>
  <si>
    <t>Bradly Matheson</t>
  </si>
  <si>
    <t>Cole  Proctor</t>
  </si>
  <si>
    <t>Available Options</t>
  </si>
  <si>
    <t>SAFE</t>
  </si>
  <si>
    <t>Notes</t>
  </si>
  <si>
    <t>IRA is actual investor</t>
  </si>
  <si>
    <t>Accomplice Founder Fund, L.P.</t>
  </si>
  <si>
    <t>Accomplice Fund IV, L.P</t>
  </si>
  <si>
    <t>Amir Bagherzadeh</t>
  </si>
  <si>
    <t>Elizabeth A. Donaghey Irrevocable Trust 2016</t>
  </si>
  <si>
    <t>Gunderson Partners</t>
  </si>
  <si>
    <t>Joe Arcadi</t>
  </si>
  <si>
    <t>Kamal Ravikant Capital, LP - E4</t>
  </si>
  <si>
    <t>Navel</t>
  </si>
  <si>
    <t>Maria Cirino</t>
  </si>
  <si>
    <t>Mike Viscuso</t>
  </si>
  <si>
    <t>Mozart Holdings, LLC</t>
  </si>
  <si>
    <t>Orcinus Generational Irrevocable Trust - 2024</t>
  </si>
  <si>
    <t>Owl Rock Capital III, LLC</t>
  </si>
  <si>
    <t>Accomplice</t>
  </si>
  <si>
    <t>Ralph Folz</t>
  </si>
  <si>
    <t>Ravikant Capital, LP - F3</t>
  </si>
  <si>
    <t>Sean Leach</t>
  </si>
  <si>
    <t>The Francis V. Castellucci Trust - 2020</t>
  </si>
  <si>
    <t>The Patrick M. Morley 1999 Trust,</t>
  </si>
  <si>
    <t>Tom Barsi</t>
  </si>
  <si>
    <t>Travis MacInnes</t>
  </si>
  <si>
    <t>UWS West End Family Trust</t>
  </si>
  <si>
    <t>Mark Lotke</t>
  </si>
  <si>
    <t>Series A</t>
  </si>
  <si>
    <t>Total Capitalization</t>
  </si>
  <si>
    <t># of</t>
  </si>
  <si>
    <t>$</t>
  </si>
  <si>
    <t>Preferred</t>
  </si>
  <si>
    <t>Pool +</t>
  </si>
  <si>
    <t>Total FD</t>
  </si>
  <si>
    <t>%</t>
  </si>
  <si>
    <t>Shares</t>
  </si>
  <si>
    <t>SAFE Shares</t>
  </si>
  <si>
    <t>Pre A</t>
  </si>
  <si>
    <t>FD</t>
  </si>
  <si>
    <t>Common Stock and Options:</t>
  </si>
  <si>
    <t>Total Common</t>
  </si>
  <si>
    <t>Preferred Rounds</t>
  </si>
  <si>
    <t>1011 Ventures</t>
  </si>
  <si>
    <t>Other Series A Investors</t>
  </si>
  <si>
    <t>Totals</t>
  </si>
  <si>
    <t>Price per Share</t>
  </si>
  <si>
    <t>Pre-Money Valuation</t>
  </si>
  <si>
    <t>Post-Money Valuation</t>
  </si>
  <si>
    <t>Series A Assumptions:</t>
  </si>
  <si>
    <t>Total Raised</t>
  </si>
  <si>
    <t>1011 Ventures Investment</t>
  </si>
  <si>
    <t>SAFE Post-Money Valuation Cap</t>
  </si>
  <si>
    <t>Series B</t>
  </si>
  <si>
    <t>Pre B</t>
  </si>
  <si>
    <t>Series B Assumptions:</t>
  </si>
  <si>
    <t>% Ownership</t>
  </si>
  <si>
    <t>Pre-Money Valuation Step-up</t>
  </si>
  <si>
    <t>Common</t>
  </si>
  <si>
    <t>Option</t>
  </si>
  <si>
    <t>Pre SAFE</t>
  </si>
  <si>
    <t>Other Common Shareholders</t>
  </si>
  <si>
    <t>ESOP Available</t>
  </si>
  <si>
    <t>Other SAFE Investors</t>
  </si>
  <si>
    <t>Other Series B Investors</t>
  </si>
  <si>
    <t>Invested</t>
  </si>
  <si>
    <t>Transfer from Owl Rocl Capital II, LLC (Accomplice)</t>
  </si>
  <si>
    <t>THINK MORE SECURITY &amp; 1011 VENTURES PRE-SERIES A</t>
  </si>
  <si>
    <t>PRE-SERIES A CAPITALIZATION</t>
  </si>
  <si>
    <t>ESOP Outstanding</t>
  </si>
  <si>
    <t>SAFE Investors:</t>
  </si>
  <si>
    <t>Implied Price per Share</t>
  </si>
  <si>
    <t>Company Capitalization (pre-A)</t>
  </si>
  <si>
    <t>THINK MORE SECURITY</t>
  </si>
  <si>
    <t>1011 VENTURES SERIES A</t>
  </si>
  <si>
    <t>% Ownership Check</t>
  </si>
  <si>
    <t>Option Pool Expansion (% of post-money FD)</t>
  </si>
  <si>
    <t>Accomplice New Money</t>
  </si>
  <si>
    <t>1011 VENTURES SERIES B</t>
  </si>
  <si>
    <t>% New Money</t>
  </si>
  <si>
    <t>Option Pool (gross % of post-B FD)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</si>
</sst>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164" formatCode="&quot;$&quot;#,##0"/>
    <numFmt numFmtId="165" formatCode="0.0%"/>
    <numFmt numFmtId="166" formatCode="&quot;$&quot;#,##0.0000"/>
    <numFmt numFmtId="169" formatCode="0.0%_);\(0.0%\);0.0%_);@_)"/>
    <numFmt numFmtId="178" formatCode="_(&quot;$&quot;* #,##0_);_(&quot;$&quot;* \(#,##0\);_(&quot;$&quot;* &quot;-&quot;??_);_(@_)"/>
  </numFmts>
  <fonts count="2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Garamond"/>
      <family val="1"/>
    </font>
    <font>
      <b/>
      <sz val="10"/>
      <color theme="1"/>
      <name val="Garamond"/>
      <family val="1"/>
    </font>
    <font>
      <sz val="10"/>
      <color rgb="FF0000FF"/>
      <name val="Garamond"/>
      <family val="1"/>
    </font>
    <font>
      <sz val="10"/>
      <color rgb="FF008000"/>
      <name val="Garamond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Garamond"/>
      <family val="1"/>
    </font>
    <font>
      <b/>
      <sz val="10"/>
      <color rgb="FF0000FF"/>
      <name val="Garamond"/>
      <family val="1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7">
    <xf numFmtId="0" fontId="0" fillId="0" borderId="0" xfId="0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  <xf numFmtId="164" fontId="18" fillId="0" borderId="0" xfId="0" applyNumberFormat="1" applyFont="1"/>
    <xf numFmtId="165" fontId="18" fillId="0" borderId="0" xfId="0" applyNumberFormat="1" applyFont="1"/>
    <xf numFmtId="3" fontId="21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3" fontId="18" fillId="0" borderId="0" xfId="0" applyNumberFormat="1" applyFont="1" applyAlignment="1">
      <alignment horizontal="center"/>
    </xf>
    <xf numFmtId="3" fontId="19" fillId="0" borderId="0" xfId="0" applyNumberFormat="1" applyFont="1" applyAlignment="1">
      <alignment horizontal="center"/>
    </xf>
    <xf numFmtId="164" fontId="21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166" fontId="18" fillId="0" borderId="0" xfId="0" applyNumberFormat="1" applyFont="1" applyAlignment="1">
      <alignment horizontal="center"/>
    </xf>
    <xf numFmtId="3" fontId="19" fillId="0" borderId="10" xfId="0" applyNumberFormat="1" applyFont="1" applyBorder="1" applyAlignment="1">
      <alignment horizontal="center"/>
    </xf>
    <xf numFmtId="3" fontId="19" fillId="0" borderId="11" xfId="0" applyNumberFormat="1" applyFont="1" applyBorder="1" applyAlignment="1">
      <alignment horizontal="center"/>
    </xf>
    <xf numFmtId="164" fontId="19" fillId="0" borderId="11" xfId="0" applyNumberFormat="1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3" fontId="22" fillId="0" borderId="0" xfId="0" applyNumberFormat="1" applyFont="1" applyAlignment="1">
      <alignment horizontal="center"/>
    </xf>
    <xf numFmtId="10" fontId="22" fillId="0" borderId="0" xfId="0" applyNumberFormat="1" applyFont="1" applyAlignment="1">
      <alignment horizontal="center"/>
    </xf>
    <xf numFmtId="164" fontId="20" fillId="0" borderId="0" xfId="0" applyNumberFormat="1" applyFont="1"/>
    <xf numFmtId="164" fontId="20" fillId="0" borderId="0" xfId="0" applyNumberFormat="1" applyFont="1" applyAlignment="1">
      <alignment horizontal="center"/>
    </xf>
    <xf numFmtId="164" fontId="22" fillId="0" borderId="0" xfId="0" applyNumberFormat="1" applyFont="1" applyAlignment="1">
      <alignment horizontal="center"/>
    </xf>
    <xf numFmtId="165" fontId="20" fillId="0" borderId="0" xfId="0" applyNumberFormat="1" applyFont="1"/>
    <xf numFmtId="0" fontId="19" fillId="0" borderId="0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4" fillId="0" borderId="0" xfId="0" applyFont="1" applyAlignment="1">
      <alignment horizontal="centerContinuous"/>
    </xf>
    <xf numFmtId="0" fontId="19" fillId="0" borderId="12" xfId="0" applyFont="1" applyBorder="1" applyAlignment="1">
      <alignment horizontal="center"/>
    </xf>
    <xf numFmtId="0" fontId="18" fillId="0" borderId="15" xfId="0" applyFont="1" applyBorder="1"/>
    <xf numFmtId="0" fontId="19" fillId="0" borderId="15" xfId="0" applyFont="1" applyBorder="1"/>
    <xf numFmtId="0" fontId="18" fillId="0" borderId="14" xfId="0" applyFont="1" applyBorder="1"/>
    <xf numFmtId="169" fontId="18" fillId="0" borderId="17" xfId="0" applyNumberFormat="1" applyFont="1" applyBorder="1" applyAlignment="1">
      <alignment horizontal="center"/>
    </xf>
    <xf numFmtId="0" fontId="19" fillId="0" borderId="20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22" xfId="0" applyFont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164" fontId="26" fillId="0" borderId="0" xfId="0" applyNumberFormat="1" applyFont="1" applyAlignment="1">
      <alignment horizontal="center"/>
    </xf>
    <xf numFmtId="165" fontId="18" fillId="0" borderId="17" xfId="0" applyNumberFormat="1" applyFont="1" applyBorder="1" applyAlignment="1">
      <alignment horizontal="center"/>
    </xf>
    <xf numFmtId="165" fontId="19" fillId="0" borderId="17" xfId="0" applyNumberFormat="1" applyFont="1" applyBorder="1" applyAlignment="1">
      <alignment horizontal="center"/>
    </xf>
    <xf numFmtId="0" fontId="19" fillId="0" borderId="14" xfId="0" applyFont="1" applyBorder="1"/>
    <xf numFmtId="3" fontId="23" fillId="0" borderId="0" xfId="0" applyNumberFormat="1" applyFont="1" applyAlignment="1">
      <alignment horizontal="center"/>
    </xf>
    <xf numFmtId="0" fontId="19" fillId="0" borderId="20" xfId="0" applyFont="1" applyBorder="1"/>
    <xf numFmtId="0" fontId="18" fillId="0" borderId="25" xfId="0" applyFont="1" applyBorder="1" applyAlignment="1">
      <alignment horizontal="center"/>
    </xf>
    <xf numFmtId="3" fontId="21" fillId="0" borderId="10" xfId="0" applyNumberFormat="1" applyFont="1" applyBorder="1" applyAlignment="1">
      <alignment horizontal="center"/>
    </xf>
    <xf numFmtId="3" fontId="18" fillId="0" borderId="10" xfId="0" applyNumberFormat="1" applyFont="1" applyBorder="1" applyAlignment="1">
      <alignment horizontal="center"/>
    </xf>
    <xf numFmtId="165" fontId="18" fillId="0" borderId="18" xfId="0" applyNumberFormat="1" applyFont="1" applyBorder="1" applyAlignment="1">
      <alignment horizontal="center"/>
    </xf>
    <xf numFmtId="165" fontId="19" fillId="0" borderId="19" xfId="0" applyNumberFormat="1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0" borderId="21" xfId="0" applyFont="1" applyBorder="1" applyAlignment="1">
      <alignment horizontal="center"/>
    </xf>
    <xf numFmtId="165" fontId="18" fillId="0" borderId="13" xfId="0" applyNumberFormat="1" applyFont="1" applyBorder="1" applyAlignment="1">
      <alignment horizontal="center"/>
    </xf>
    <xf numFmtId="165" fontId="19" fillId="0" borderId="18" xfId="0" applyNumberFormat="1" applyFont="1" applyBorder="1" applyAlignment="1">
      <alignment horizontal="center"/>
    </xf>
    <xf numFmtId="164" fontId="25" fillId="0" borderId="11" xfId="0" applyNumberFormat="1" applyFont="1" applyBorder="1" applyAlignment="1">
      <alignment horizontal="center"/>
    </xf>
    <xf numFmtId="164" fontId="18" fillId="0" borderId="13" xfId="0" applyNumberFormat="1" applyFont="1" applyBorder="1" applyAlignment="1">
      <alignment horizontal="center"/>
    </xf>
    <xf numFmtId="41" fontId="21" fillId="0" borderId="0" xfId="0" applyNumberFormat="1" applyFont="1" applyAlignment="1">
      <alignment horizontal="center"/>
    </xf>
    <xf numFmtId="41" fontId="19" fillId="0" borderId="10" xfId="0" applyNumberFormat="1" applyFont="1" applyBorder="1" applyAlignment="1">
      <alignment horizontal="center"/>
    </xf>
    <xf numFmtId="41" fontId="18" fillId="0" borderId="0" xfId="0" applyNumberFormat="1" applyFont="1" applyAlignment="1">
      <alignment horizontal="center"/>
    </xf>
    <xf numFmtId="41" fontId="19" fillId="0" borderId="11" xfId="0" applyNumberFormat="1" applyFont="1" applyBorder="1" applyAlignment="1">
      <alignment horizontal="center"/>
    </xf>
    <xf numFmtId="41" fontId="19" fillId="0" borderId="0" xfId="0" applyNumberFormat="1" applyFont="1" applyAlignment="1">
      <alignment horizontal="center"/>
    </xf>
    <xf numFmtId="178" fontId="0" fillId="0" borderId="0" xfId="0" applyNumberFormat="1"/>
    <xf numFmtId="178" fontId="19" fillId="0" borderId="0" xfId="0" applyNumberFormat="1" applyFont="1" applyAlignment="1">
      <alignment horizontal="center"/>
    </xf>
    <xf numFmtId="178" fontId="18" fillId="0" borderId="0" xfId="0" applyNumberFormat="1" applyFont="1" applyAlignment="1">
      <alignment horizontal="center"/>
    </xf>
    <xf numFmtId="178" fontId="21" fillId="0" borderId="0" xfId="0" applyNumberFormat="1" applyFont="1" applyAlignment="1">
      <alignment horizontal="center"/>
    </xf>
    <xf numFmtId="178" fontId="19" fillId="0" borderId="11" xfId="0" applyNumberFormat="1" applyFont="1" applyBorder="1" applyAlignment="1">
      <alignment horizontal="center"/>
    </xf>
    <xf numFmtId="178" fontId="25" fillId="0" borderId="11" xfId="0" applyNumberFormat="1" applyFont="1" applyBorder="1" applyAlignment="1">
      <alignment horizontal="center"/>
    </xf>
    <xf numFmtId="169" fontId="19" fillId="0" borderId="17" xfId="0" applyNumberFormat="1" applyFont="1" applyBorder="1" applyAlignment="1">
      <alignment horizontal="center"/>
    </xf>
    <xf numFmtId="169" fontId="19" fillId="0" borderId="19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1b2c3d4-e5f6-7890-abcd-ef1234567890}">
  <we:reference id="a1b2c3d4-e5f6-7890-abcd-ef1234567890" version="1.0.0.0" store="developer" storeType="Registry"/>
  <we:alternateReferences/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A53FA-5F8D-0B43-9D16-145B52097F3D}">
  <dimension ref="A1"/>
  <sheetViews>
    <sheetView workbookViewId="0"/>
  </sheetViews>
  <sheetFormatPr baseColWidth="10" defaultRowHeight="16" x14ac:dyDescent="0.2"/>
  <sheetData/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7D2D1-6603-6C44-8416-0CA331E9A7F9}">
  <dimension ref="A1:K23"/>
  <sheetViews>
    <sheetView workbookViewId="0"/>
  </sheetViews>
  <sheetFormatPr baseColWidth="10" defaultRowHeight="16" x14ac:dyDescent="0.2"/>
  <cols>
    <col min="1" max="1" width="11.5" customWidth="1"/>
    <col min="2" max="2" width="32.83203125" customWidth="1"/>
    <col min="3" max="3" width="15.5" customWidth="1"/>
    <col min="4" max="4" width="9.5" customWidth="1"/>
    <col min="5" max="5" width="13.5" customWidth="1"/>
    <col min="6" max="6" width="22.1640625" customWidth="1"/>
    <col min="7" max="7" width="14" customWidth="1"/>
    <col min="8" max="8" width="12" customWidth="1"/>
    <col min="9" max="9" width="3.33203125" customWidth="1"/>
    <col min="10" max="10" width="10.6640625" customWidth="1"/>
  </cols>
  <sheetData>
    <row r="1" spans="1:11" x14ac:dyDescent="0.2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">
      <c r="A2" s="17"/>
      <c r="B2" s="17"/>
      <c r="C2" s="17"/>
      <c r="D2" s="17"/>
      <c r="E2" s="17"/>
      <c r="F2" s="17"/>
      <c r="G2" s="17"/>
      <c r="H2" s="18" t="s">
        <v>1</v>
      </c>
      <c r="I2" s="17"/>
      <c r="J2" s="17"/>
      <c r="K2" s="17"/>
    </row>
    <row r="3" spans="1:11" x14ac:dyDescent="0.2">
      <c r="A3" s="17"/>
      <c r="B3" s="18" t="s">
        <v>2</v>
      </c>
      <c r="C3" s="18" t="s">
        <v>3</v>
      </c>
      <c r="D3" s="18" t="s">
        <v>4</v>
      </c>
      <c r="E3" s="18" t="s">
        <v>5</v>
      </c>
      <c r="F3" s="18" t="s">
        <v>6</v>
      </c>
      <c r="G3" s="18" t="s">
        <v>0</v>
      </c>
      <c r="H3" s="18" t="s">
        <v>7</v>
      </c>
      <c r="I3" s="17"/>
      <c r="J3" s="17"/>
      <c r="K3" s="17"/>
    </row>
    <row r="4" spans="1:11" x14ac:dyDescent="0.2">
      <c r="A4" s="17"/>
      <c r="B4" s="17" t="s">
        <v>8</v>
      </c>
      <c r="C4" s="19">
        <v>3600000</v>
      </c>
      <c r="D4" s="19"/>
      <c r="E4" s="19"/>
      <c r="F4" s="19"/>
      <c r="G4" s="19">
        <f>SUM(C4:F4)</f>
        <v>3600000</v>
      </c>
      <c r="H4" s="20">
        <f>G4/$G$23</f>
        <v>0.36959987630724139</v>
      </c>
      <c r="I4" s="17"/>
      <c r="J4" s="17"/>
      <c r="K4" s="17"/>
    </row>
    <row r="5" spans="1:11" x14ac:dyDescent="0.2">
      <c r="A5" s="17"/>
      <c r="B5" s="17" t="s">
        <v>9</v>
      </c>
      <c r="C5" s="19">
        <v>3600000</v>
      </c>
      <c r="D5" s="19"/>
      <c r="E5" s="19"/>
      <c r="F5" s="19"/>
      <c r="G5" s="19">
        <f>SUM(C5:F5)</f>
        <v>3600000</v>
      </c>
      <c r="H5" s="20">
        <f>G5/$G$23</f>
        <v>0.36959987630724139</v>
      </c>
      <c r="I5" s="17"/>
      <c r="J5" s="17"/>
      <c r="K5" s="17"/>
    </row>
    <row r="6" spans="1:11" x14ac:dyDescent="0.2">
      <c r="A6" s="17"/>
      <c r="B6" s="17" t="s">
        <v>10</v>
      </c>
      <c r="C6" s="19">
        <v>222187</v>
      </c>
      <c r="D6" s="19"/>
      <c r="E6" s="19"/>
      <c r="F6" s="19"/>
      <c r="G6" s="19">
        <f>SUM(C6:F6)</f>
        <v>222187</v>
      </c>
      <c r="H6" s="20">
        <f>G6/$G$23</f>
        <v>2.28111910325214E-2</v>
      </c>
      <c r="I6" s="17"/>
      <c r="J6" s="17"/>
      <c r="K6" s="17"/>
    </row>
    <row r="7" spans="1:11" x14ac:dyDescent="0.2">
      <c r="A7" s="17"/>
      <c r="B7" s="17" t="s">
        <v>11</v>
      </c>
      <c r="C7" s="19">
        <v>592500</v>
      </c>
      <c r="D7" s="19"/>
      <c r="E7" s="19"/>
      <c r="F7" s="19"/>
      <c r="G7" s="19">
        <f>SUM(C7:F7)</f>
        <v>592500</v>
      </c>
      <c r="H7" s="20">
        <f>G7/$G$23</f>
        <v>6.0829979642233481E-2</v>
      </c>
      <c r="I7" s="17"/>
      <c r="J7" s="17"/>
      <c r="K7" s="17"/>
    </row>
    <row r="8" spans="1:11" x14ac:dyDescent="0.2">
      <c r="A8" s="17"/>
      <c r="B8" s="17" t="s">
        <v>12</v>
      </c>
      <c r="C8" s="19">
        <v>592500</v>
      </c>
      <c r="D8" s="19"/>
      <c r="E8" s="19"/>
      <c r="F8" s="19"/>
      <c r="G8" s="19">
        <f>SUM(C8:F8)</f>
        <v>592500</v>
      </c>
      <c r="H8" s="20">
        <f>G8/$G$23</f>
        <v>6.0829979642233481E-2</v>
      </c>
      <c r="I8" s="17"/>
      <c r="J8" s="17"/>
      <c r="K8" s="17"/>
    </row>
    <row r="9" spans="1:11" x14ac:dyDescent="0.2">
      <c r="A9" s="17"/>
      <c r="B9" s="17" t="s">
        <v>13</v>
      </c>
      <c r="C9" s="19">
        <v>13500</v>
      </c>
      <c r="D9" s="19">
        <v>98900</v>
      </c>
      <c r="E9" s="19"/>
      <c r="F9" s="19"/>
      <c r="G9" s="19">
        <f>SUM(C9:F9)</f>
        <v>112400</v>
      </c>
      <c r="H9" s="20">
        <f>G9/$G$23</f>
        <v>1.1539729471370537E-2</v>
      </c>
      <c r="I9" s="17"/>
      <c r="J9" s="17"/>
      <c r="K9" s="17"/>
    </row>
    <row r="10" spans="1:11" x14ac:dyDescent="0.2">
      <c r="A10" s="17"/>
      <c r="B10" s="17" t="s">
        <v>14</v>
      </c>
      <c r="C10" s="19">
        <v>9000</v>
      </c>
      <c r="D10" s="19"/>
      <c r="E10" s="19"/>
      <c r="F10" s="19"/>
      <c r="G10" s="19">
        <f>SUM(C10:F10)</f>
        <v>9000</v>
      </c>
      <c r="H10" s="20">
        <f>G10/$G$23</f>
        <v>9.2399969076810353E-4</v>
      </c>
      <c r="I10" s="17"/>
      <c r="J10" s="17"/>
      <c r="K10" s="17"/>
    </row>
    <row r="11" spans="1:11" x14ac:dyDescent="0.2">
      <c r="A11" s="17"/>
      <c r="B11" s="17" t="s">
        <v>15</v>
      </c>
      <c r="C11" s="19"/>
      <c r="D11" s="19">
        <v>95000</v>
      </c>
      <c r="E11" s="19"/>
      <c r="F11" s="19"/>
      <c r="G11" s="19">
        <f>SUM(C11:F11)</f>
        <v>95000</v>
      </c>
      <c r="H11" s="20">
        <f>G11/$G$23</f>
        <v>9.7533300692188695E-3</v>
      </c>
      <c r="I11" s="17"/>
      <c r="J11" s="17"/>
      <c r="K11" s="17"/>
    </row>
    <row r="12" spans="1:11" x14ac:dyDescent="0.2">
      <c r="A12" s="17"/>
      <c r="B12" s="17" t="s">
        <v>16</v>
      </c>
      <c r="C12" s="19"/>
      <c r="D12" s="19"/>
      <c r="E12" s="19">
        <v>25000</v>
      </c>
      <c r="F12" s="19"/>
      <c r="G12" s="19">
        <f>SUM(C12:F12)</f>
        <v>25000</v>
      </c>
      <c r="H12" s="20">
        <f>G12/$G$23</f>
        <v>2.5666658076891765E-3</v>
      </c>
      <c r="I12" s="17"/>
      <c r="J12" s="17"/>
      <c r="K12" s="17"/>
    </row>
    <row r="13" spans="1:11" x14ac:dyDescent="0.2">
      <c r="A13" s="17"/>
      <c r="B13" s="17" t="s">
        <v>17</v>
      </c>
      <c r="C13" s="19"/>
      <c r="D13" s="19"/>
      <c r="E13" s="19">
        <v>41562</v>
      </c>
      <c r="F13" s="19"/>
      <c r="G13" s="19">
        <f>SUM(C13:F13)</f>
        <v>41562</v>
      </c>
      <c r="H13" s="20">
        <f>G13/$G$23</f>
        <v>4.2670305719671019E-3</v>
      </c>
      <c r="I13" s="17"/>
      <c r="J13" s="17"/>
      <c r="K13" s="17"/>
    </row>
    <row r="14" spans="1:11" x14ac:dyDescent="0.2">
      <c r="A14" s="17"/>
      <c r="B14" s="17" t="s">
        <v>18</v>
      </c>
      <c r="C14" s="19"/>
      <c r="D14" s="19">
        <v>285000</v>
      </c>
      <c r="E14" s="19"/>
      <c r="F14" s="19"/>
      <c r="G14" s="19">
        <f>SUM(C14:F14)</f>
        <v>285000</v>
      </c>
      <c r="H14" s="20">
        <f>G14/$G$23</f>
        <v>2.925999020765661E-2</v>
      </c>
      <c r="I14" s="17"/>
      <c r="J14" s="17"/>
      <c r="K14" s="17"/>
    </row>
    <row r="15" spans="1:11" x14ac:dyDescent="0.2">
      <c r="A15" s="17"/>
      <c r="B15" s="17" t="s">
        <v>19</v>
      </c>
      <c r="C15" s="19"/>
      <c r="D15" s="19">
        <v>50000</v>
      </c>
      <c r="E15" s="19"/>
      <c r="F15" s="19"/>
      <c r="G15" s="19">
        <f>SUM(C15:F15)</f>
        <v>50000</v>
      </c>
      <c r="H15" s="20">
        <f>G15/$G$23</f>
        <v>5.133331615378353E-3</v>
      </c>
      <c r="I15" s="17"/>
      <c r="J15" s="17"/>
      <c r="K15" s="17"/>
    </row>
    <row r="16" spans="1:11" x14ac:dyDescent="0.2">
      <c r="A16" s="17"/>
      <c r="B16" s="17" t="s">
        <v>20</v>
      </c>
      <c r="C16" s="19"/>
      <c r="D16" s="19">
        <v>285000</v>
      </c>
      <c r="E16" s="19"/>
      <c r="F16" s="19"/>
      <c r="G16" s="19">
        <f>SUM(C16:F16)</f>
        <v>285000</v>
      </c>
      <c r="H16" s="20">
        <f>G16/$G$23</f>
        <v>2.925999020765661E-2</v>
      </c>
      <c r="I16" s="17"/>
      <c r="J16" s="17"/>
      <c r="K16" s="17"/>
    </row>
    <row r="17" spans="1:11" x14ac:dyDescent="0.2">
      <c r="A17" s="17"/>
      <c r="B17" s="17" t="s">
        <v>21</v>
      </c>
      <c r="C17" s="19"/>
      <c r="D17" s="19"/>
      <c r="E17" s="19">
        <v>96186</v>
      </c>
      <c r="F17" s="19"/>
      <c r="G17" s="19">
        <f>SUM(C17:F17)</f>
        <v>96186</v>
      </c>
      <c r="H17" s="20">
        <f>G17/$G$23</f>
        <v>9.8750926951356455E-3</v>
      </c>
      <c r="I17" s="17"/>
      <c r="J17" s="17"/>
      <c r="K17" s="17"/>
    </row>
    <row r="18" spans="1:11" x14ac:dyDescent="0.2">
      <c r="A18" s="17"/>
      <c r="B18" s="17" t="s">
        <v>22</v>
      </c>
      <c r="C18" s="19"/>
      <c r="D18" s="19"/>
      <c r="E18" s="19">
        <v>48095</v>
      </c>
      <c r="F18" s="19"/>
      <c r="G18" s="19">
        <f>SUM(C18:F18)</f>
        <v>48095</v>
      </c>
      <c r="H18" s="20">
        <f>G18/$G$23</f>
        <v>4.9377516808324371E-3</v>
      </c>
      <c r="I18" s="17"/>
      <c r="J18" s="17"/>
      <c r="K18" s="17"/>
    </row>
    <row r="19" spans="1:11" x14ac:dyDescent="0.2">
      <c r="A19" s="17"/>
      <c r="B19" s="17" t="s">
        <v>23</v>
      </c>
      <c r="C19" s="19"/>
      <c r="D19" s="19"/>
      <c r="E19" s="19"/>
      <c r="F19" s="19">
        <v>12395</v>
      </c>
      <c r="G19" s="19">
        <f>SUM(C19:F19)</f>
        <v>12395</v>
      </c>
      <c r="H19" s="20">
        <f>G19/$G$23</f>
        <v>1.2725529074522936E-3</v>
      </c>
      <c r="I19" s="17"/>
      <c r="J19" s="17"/>
      <c r="K19" s="17"/>
    </row>
    <row r="20" spans="1:11" x14ac:dyDescent="0.2">
      <c r="A20" s="17"/>
      <c r="B20" s="17" t="s">
        <v>24</v>
      </c>
      <c r="C20" s="19"/>
      <c r="D20" s="19"/>
      <c r="E20" s="19"/>
      <c r="F20" s="19">
        <v>8333</v>
      </c>
      <c r="G20" s="19">
        <f>SUM(C20:F20)</f>
        <v>8333</v>
      </c>
      <c r="H20" s="20">
        <f>G20/$G$23</f>
        <v>8.5552104701895626E-4</v>
      </c>
      <c r="I20" s="17"/>
      <c r="J20" s="17"/>
      <c r="K20" s="17"/>
    </row>
    <row r="21" spans="1:11" ht="15.75" customHeight="1" x14ac:dyDescent="0.2">
      <c r="A21" s="17"/>
      <c r="B21" s="17" t="s">
        <v>25</v>
      </c>
      <c r="C21" s="19"/>
      <c r="D21" s="19">
        <v>65105</v>
      </c>
      <c r="E21" s="19"/>
      <c r="F21" s="19"/>
      <c r="G21" s="19">
        <f>SUM(C21:F21)</f>
        <v>65105</v>
      </c>
      <c r="H21" s="20">
        <f>G21/$G$23</f>
        <v>6.6841110963841528E-3</v>
      </c>
      <c r="I21" s="17"/>
      <c r="J21" s="17"/>
      <c r="K21" s="17"/>
    </row>
    <row r="22" spans="1:11" ht="15.75" customHeight="1" x14ac:dyDescent="0.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</row>
    <row r="23" spans="1:11" ht="15.75" customHeight="1" x14ac:dyDescent="0.2">
      <c r="A23" s="17"/>
      <c r="B23" s="18" t="s">
        <v>0</v>
      </c>
      <c r="C23" s="50">
        <f>SUM(C4:C21)</f>
        <v>8629687</v>
      </c>
      <c r="D23" s="50">
        <f>SUM(D4:D21)</f>
        <v>879005</v>
      </c>
      <c r="E23" s="50">
        <f>SUM(E4:E21)</f>
        <v>210843</v>
      </c>
      <c r="F23" s="50">
        <f>SUM(F4:F21)</f>
        <v>20728</v>
      </c>
      <c r="G23" s="50">
        <f>SUM(G4:G21)</f>
        <v>9740263</v>
      </c>
      <c r="H23" s="17"/>
      <c r="I23" s="17"/>
      <c r="J23" s="17"/>
      <c r="K23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8E999-F2CD-614B-8425-B965A824D8B8}">
  <dimension ref="A1:K27"/>
  <sheetViews>
    <sheetView workbookViewId="0"/>
  </sheetViews>
  <sheetFormatPr baseColWidth="10" defaultRowHeight="16" x14ac:dyDescent="0.2"/>
  <cols>
    <col min="1" max="1" width="11.5" customWidth="1"/>
    <col min="2" max="2" width="51.5" customWidth="1"/>
    <col min="3" max="3" width="12.33203125" customWidth="1"/>
    <col min="4" max="4" width="3.33203125" customWidth="1"/>
    <col min="5" max="5" width="60.1640625" customWidth="1"/>
    <col min="6" max="6" width="10.6640625" customWidth="1"/>
  </cols>
  <sheetData>
    <row r="1" spans="1:11" x14ac:dyDescent="0.2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x14ac:dyDescent="0.2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1" x14ac:dyDescent="0.2">
      <c r="A3" s="26"/>
      <c r="B3" s="18" t="s">
        <v>2</v>
      </c>
      <c r="C3" s="18" t="s">
        <v>26</v>
      </c>
      <c r="D3" s="26"/>
      <c r="E3" s="18" t="s">
        <v>27</v>
      </c>
      <c r="F3" s="26"/>
      <c r="G3" s="26"/>
      <c r="H3" s="26"/>
      <c r="I3" s="26"/>
      <c r="J3" s="26"/>
      <c r="K3" s="26"/>
    </row>
    <row r="4" spans="1:11" x14ac:dyDescent="0.2">
      <c r="A4" s="26"/>
      <c r="B4" s="17" t="s">
        <v>13</v>
      </c>
      <c r="C4" s="23">
        <v>25000</v>
      </c>
      <c r="D4" s="17"/>
      <c r="E4" s="17" t="s">
        <v>28</v>
      </c>
      <c r="F4" s="26"/>
      <c r="G4" s="26"/>
      <c r="H4" s="26"/>
      <c r="I4" s="26"/>
      <c r="J4" s="26"/>
      <c r="K4" s="26"/>
    </row>
    <row r="5" spans="1:11" x14ac:dyDescent="0.2">
      <c r="A5" s="26"/>
      <c r="B5" s="17" t="s">
        <v>14</v>
      </c>
      <c r="C5" s="23">
        <v>25000</v>
      </c>
      <c r="D5" s="17"/>
      <c r="E5" s="17"/>
      <c r="F5" s="26"/>
      <c r="G5" s="26"/>
      <c r="H5" s="26"/>
      <c r="I5" s="26"/>
      <c r="J5" s="26"/>
      <c r="K5" s="26"/>
    </row>
    <row r="6" spans="1:11" ht="15.75" customHeight="1" x14ac:dyDescent="0.2">
      <c r="A6" s="26"/>
      <c r="B6" s="17" t="s">
        <v>29</v>
      </c>
      <c r="C6" s="23">
        <v>137170.75</v>
      </c>
      <c r="D6" s="17"/>
      <c r="E6" s="17"/>
      <c r="F6" s="26"/>
      <c r="G6" s="26"/>
      <c r="H6" s="26"/>
      <c r="I6" s="26"/>
      <c r="J6" s="26"/>
      <c r="K6" s="26"/>
    </row>
    <row r="7" spans="1:11" ht="15.75" customHeight="1" x14ac:dyDescent="0.2">
      <c r="A7" s="26"/>
      <c r="B7" s="17" t="s">
        <v>30</v>
      </c>
      <c r="C7" s="23">
        <v>3846829.25</v>
      </c>
      <c r="D7" s="17"/>
      <c r="E7" s="17"/>
      <c r="F7" s="26"/>
      <c r="G7" s="26"/>
      <c r="H7" s="26"/>
      <c r="I7" s="26"/>
      <c r="J7" s="26"/>
      <c r="K7" s="26"/>
    </row>
    <row r="8" spans="1:11" ht="15.75" customHeight="1" x14ac:dyDescent="0.2">
      <c r="A8" s="26"/>
      <c r="B8" s="17" t="s">
        <v>31</v>
      </c>
      <c r="C8" s="23">
        <v>16566</v>
      </c>
      <c r="D8" s="17"/>
      <c r="E8" s="17" t="s">
        <v>90</v>
      </c>
      <c r="F8" s="26"/>
      <c r="G8" s="26"/>
      <c r="H8" s="26"/>
      <c r="I8" s="26"/>
      <c r="J8" s="26"/>
      <c r="K8" s="26"/>
    </row>
    <row r="9" spans="1:11" ht="15.75" customHeight="1" x14ac:dyDescent="0.2">
      <c r="A9" s="26"/>
      <c r="B9" s="17" t="s">
        <v>32</v>
      </c>
      <c r="C9" s="23">
        <v>250000</v>
      </c>
      <c r="D9" s="17"/>
      <c r="E9" s="17"/>
      <c r="F9" s="26"/>
      <c r="G9" s="26"/>
      <c r="H9" s="26"/>
      <c r="I9" s="26"/>
      <c r="J9" s="26"/>
      <c r="K9" s="26"/>
    </row>
    <row r="10" spans="1:11" ht="15.75" customHeight="1" x14ac:dyDescent="0.2">
      <c r="A10" s="26"/>
      <c r="B10" s="17" t="s">
        <v>33</v>
      </c>
      <c r="C10" s="23">
        <v>100000</v>
      </c>
      <c r="D10" s="17"/>
      <c r="E10" s="17"/>
      <c r="F10" s="26"/>
      <c r="G10" s="26"/>
      <c r="H10" s="26"/>
      <c r="I10" s="26"/>
      <c r="J10" s="26"/>
      <c r="K10" s="26"/>
    </row>
    <row r="11" spans="1:11" ht="15.75" customHeight="1" x14ac:dyDescent="0.2">
      <c r="A11" s="26"/>
      <c r="B11" s="17" t="s">
        <v>34</v>
      </c>
      <c r="C11" s="23">
        <v>300000</v>
      </c>
      <c r="D11" s="17"/>
      <c r="E11" s="17" t="s">
        <v>28</v>
      </c>
      <c r="F11" s="26"/>
      <c r="G11" s="26"/>
      <c r="H11" s="26"/>
      <c r="I11" s="26"/>
      <c r="J11" s="26"/>
      <c r="K11" s="26"/>
    </row>
    <row r="12" spans="1:11" ht="15.75" customHeight="1" x14ac:dyDescent="0.2">
      <c r="A12" s="26"/>
      <c r="B12" s="17" t="s">
        <v>35</v>
      </c>
      <c r="C12" s="23">
        <v>37500</v>
      </c>
      <c r="D12" s="17"/>
      <c r="E12" s="17" t="s">
        <v>36</v>
      </c>
      <c r="F12" s="26"/>
      <c r="G12" s="26"/>
      <c r="H12" s="26"/>
      <c r="I12" s="26"/>
      <c r="J12" s="26"/>
      <c r="K12" s="26"/>
    </row>
    <row r="13" spans="1:11" ht="15.75" customHeight="1" x14ac:dyDescent="0.2">
      <c r="A13" s="26"/>
      <c r="B13" s="17" t="s">
        <v>37</v>
      </c>
      <c r="C13" s="23">
        <v>250000</v>
      </c>
      <c r="D13" s="17"/>
      <c r="E13" s="17"/>
      <c r="F13" s="26"/>
      <c r="G13" s="26"/>
      <c r="H13" s="26"/>
      <c r="I13" s="26"/>
      <c r="J13" s="26"/>
      <c r="K13" s="26"/>
    </row>
    <row r="14" spans="1:11" ht="15.75" customHeight="1" x14ac:dyDescent="0.2">
      <c r="A14" s="26"/>
      <c r="B14" s="17" t="s">
        <v>38</v>
      </c>
      <c r="C14" s="23">
        <v>100000</v>
      </c>
      <c r="D14" s="17"/>
      <c r="E14" s="17"/>
      <c r="F14" s="26"/>
      <c r="G14" s="26"/>
      <c r="H14" s="26"/>
      <c r="I14" s="26"/>
      <c r="J14" s="26"/>
      <c r="K14" s="26"/>
    </row>
    <row r="15" spans="1:11" ht="15.75" customHeight="1" x14ac:dyDescent="0.2">
      <c r="A15" s="26"/>
      <c r="B15" s="17" t="s">
        <v>39</v>
      </c>
      <c r="C15" s="23">
        <v>41164</v>
      </c>
      <c r="D15" s="17"/>
      <c r="E15" s="17" t="s">
        <v>90</v>
      </c>
      <c r="F15" s="26"/>
      <c r="G15" s="26"/>
      <c r="H15" s="26"/>
      <c r="I15" s="26"/>
      <c r="J15" s="26"/>
      <c r="K15" s="26"/>
    </row>
    <row r="16" spans="1:11" ht="15.75" customHeight="1" x14ac:dyDescent="0.2">
      <c r="A16" s="26"/>
      <c r="B16" s="17" t="s">
        <v>40</v>
      </c>
      <c r="C16" s="23">
        <v>2328778</v>
      </c>
      <c r="D16" s="17"/>
      <c r="E16" s="17" t="s">
        <v>90</v>
      </c>
      <c r="F16" s="26"/>
      <c r="G16" s="26"/>
      <c r="H16" s="26"/>
      <c r="I16" s="26"/>
      <c r="J16" s="26"/>
      <c r="K16" s="26"/>
    </row>
    <row r="17" spans="1:11" ht="15.75" customHeight="1" x14ac:dyDescent="0.2">
      <c r="A17" s="26"/>
      <c r="B17" s="17" t="s">
        <v>41</v>
      </c>
      <c r="C17" s="23">
        <v>1506000</v>
      </c>
      <c r="D17" s="17"/>
      <c r="E17" s="17" t="s">
        <v>42</v>
      </c>
      <c r="F17" s="26"/>
      <c r="G17" s="26"/>
      <c r="H17" s="26"/>
      <c r="I17" s="26"/>
      <c r="J17" s="26"/>
      <c r="K17" s="26"/>
    </row>
    <row r="18" spans="1:11" ht="15.75" customHeight="1" x14ac:dyDescent="0.2">
      <c r="A18" s="26"/>
      <c r="B18" s="17" t="s">
        <v>43</v>
      </c>
      <c r="C18" s="23">
        <v>50000</v>
      </c>
      <c r="D18" s="17"/>
      <c r="E18" s="17"/>
      <c r="F18" s="26"/>
      <c r="G18" s="26"/>
      <c r="H18" s="26"/>
      <c r="I18" s="26"/>
      <c r="J18" s="26"/>
      <c r="K18" s="26"/>
    </row>
    <row r="19" spans="1:11" ht="15.75" customHeight="1" x14ac:dyDescent="0.2">
      <c r="A19" s="26"/>
      <c r="B19" s="17" t="s">
        <v>44</v>
      </c>
      <c r="C19" s="23">
        <v>212500</v>
      </c>
      <c r="D19" s="17"/>
      <c r="E19" s="17" t="s">
        <v>36</v>
      </c>
      <c r="F19" s="26"/>
      <c r="G19" s="26"/>
      <c r="H19" s="26"/>
      <c r="I19" s="26"/>
      <c r="J19" s="26"/>
      <c r="K19" s="26"/>
    </row>
    <row r="20" spans="1:11" ht="15.75" customHeight="1" x14ac:dyDescent="0.2">
      <c r="A20" s="26"/>
      <c r="B20" s="17" t="s">
        <v>45</v>
      </c>
      <c r="C20" s="23">
        <v>25000</v>
      </c>
      <c r="D20" s="17"/>
      <c r="E20" s="17"/>
      <c r="F20" s="26"/>
      <c r="G20" s="26"/>
      <c r="H20" s="26"/>
      <c r="I20" s="26"/>
      <c r="J20" s="26"/>
      <c r="K20" s="26"/>
    </row>
    <row r="21" spans="1:11" ht="15.75" customHeight="1" x14ac:dyDescent="0.2">
      <c r="A21" s="26"/>
      <c r="B21" s="17" t="s">
        <v>46</v>
      </c>
      <c r="C21" s="23">
        <v>61746</v>
      </c>
      <c r="D21" s="17"/>
      <c r="E21" s="17" t="s">
        <v>90</v>
      </c>
      <c r="F21" s="26"/>
      <c r="G21" s="26"/>
      <c r="H21" s="26"/>
      <c r="I21" s="26"/>
      <c r="J21" s="26"/>
      <c r="K21" s="26"/>
    </row>
    <row r="22" spans="1:11" ht="15.75" customHeight="1" x14ac:dyDescent="0.2">
      <c r="A22" s="26"/>
      <c r="B22" s="17" t="s">
        <v>47</v>
      </c>
      <c r="C22" s="23">
        <v>100000</v>
      </c>
      <c r="D22" s="17"/>
      <c r="E22" s="17"/>
      <c r="F22" s="26"/>
      <c r="G22" s="26"/>
      <c r="H22" s="26"/>
      <c r="I22" s="26"/>
      <c r="J22" s="26"/>
      <c r="K22" s="26"/>
    </row>
    <row r="23" spans="1:11" ht="15.75" customHeight="1" x14ac:dyDescent="0.2">
      <c r="A23" s="26"/>
      <c r="B23" s="17" t="s">
        <v>48</v>
      </c>
      <c r="C23" s="23">
        <v>100000</v>
      </c>
      <c r="D23" s="17"/>
      <c r="E23" s="17"/>
      <c r="F23" s="26"/>
      <c r="G23" s="26"/>
      <c r="H23" s="26"/>
      <c r="I23" s="26"/>
      <c r="J23" s="26"/>
      <c r="K23" s="26"/>
    </row>
    <row r="24" spans="1:11" ht="15.75" customHeight="1" x14ac:dyDescent="0.2">
      <c r="A24" s="26"/>
      <c r="B24" s="17" t="s">
        <v>49</v>
      </c>
      <c r="C24" s="23">
        <v>61746</v>
      </c>
      <c r="D24" s="17"/>
      <c r="E24" s="17" t="s">
        <v>90</v>
      </c>
      <c r="F24" s="26"/>
      <c r="G24" s="26"/>
      <c r="H24" s="26"/>
      <c r="I24" s="26"/>
      <c r="J24" s="26"/>
      <c r="K24" s="26"/>
    </row>
    <row r="25" spans="1:11" ht="15.75" customHeight="1" x14ac:dyDescent="0.2">
      <c r="A25" s="26"/>
      <c r="B25" s="17" t="s">
        <v>50</v>
      </c>
      <c r="C25" s="23">
        <v>250000</v>
      </c>
      <c r="D25" s="17"/>
      <c r="E25" s="17" t="s">
        <v>51</v>
      </c>
      <c r="F25" s="26"/>
      <c r="G25" s="26"/>
      <c r="H25" s="26"/>
      <c r="I25" s="26"/>
      <c r="J25" s="26"/>
      <c r="K25" s="26"/>
    </row>
    <row r="26" spans="1:11" ht="15.75" customHeight="1" x14ac:dyDescent="0.2">
      <c r="A26" s="26"/>
      <c r="B26" s="26"/>
      <c r="C26" s="46"/>
      <c r="D26" s="26"/>
      <c r="E26" s="26"/>
      <c r="F26" s="26"/>
      <c r="G26" s="26"/>
      <c r="H26" s="26"/>
      <c r="I26" s="26"/>
      <c r="J26" s="26"/>
      <c r="K26" s="26"/>
    </row>
    <row r="27" spans="1:11" ht="15.75" customHeight="1" x14ac:dyDescent="0.2">
      <c r="A27" s="26"/>
      <c r="B27" s="17" t="s">
        <v>0</v>
      </c>
      <c r="C27" s="23">
        <f>SUM(C4:C25)</f>
        <v>9825000</v>
      </c>
      <c r="D27" s="26"/>
      <c r="E27" s="26"/>
      <c r="F27" s="26"/>
      <c r="G27" s="26"/>
      <c r="H27" s="26"/>
      <c r="I27" s="26"/>
      <c r="J27" s="26"/>
      <c r="K27" s="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25570-B131-A546-AB8D-19A0B295BDA7}">
  <dimension ref="A1:G30"/>
  <sheetViews>
    <sheetView showGridLines="0" workbookViewId="0"/>
  </sheetViews>
  <sheetFormatPr baseColWidth="10" defaultRowHeight="16" x14ac:dyDescent="0.2"/>
  <cols>
    <col min="1" max="1" width="6.33203125" customWidth="1"/>
    <col min="2" max="2" width="35.5" customWidth="1"/>
    <col min="3" max="3" width="16.83203125" customWidth="1"/>
    <col min="4" max="4" width="17.6640625" customWidth="1"/>
    <col min="5" max="5" width="0.5" customWidth="1"/>
    <col min="6" max="6" width="13.83203125" customWidth="1"/>
    <col min="7" max="7" width="9.33203125" customWidth="1"/>
  </cols>
  <sheetData>
    <row r="1" spans="1:7" x14ac:dyDescent="0.2">
      <c r="A1" s="1"/>
      <c r="B1" s="1"/>
      <c r="C1" s="1"/>
      <c r="D1" s="1"/>
      <c r="E1" s="1"/>
      <c r="F1" s="1"/>
      <c r="G1" s="1"/>
    </row>
    <row r="2" spans="1:7" x14ac:dyDescent="0.2">
      <c r="A2" s="1"/>
      <c r="B2" s="1"/>
      <c r="C2" s="1"/>
      <c r="D2" s="1"/>
      <c r="E2" s="1"/>
      <c r="F2" s="1"/>
      <c r="G2" s="1"/>
    </row>
    <row r="3" spans="1:7" x14ac:dyDescent="0.2">
      <c r="A3" s="1"/>
      <c r="B3" s="1"/>
      <c r="C3" s="1"/>
      <c r="D3" s="1"/>
      <c r="E3" s="1"/>
      <c r="F3" s="1"/>
      <c r="G3" s="1"/>
    </row>
    <row r="4" spans="1:7" ht="15.5" customHeight="1" x14ac:dyDescent="0.2">
      <c r="A4" s="1"/>
      <c r="B4" s="27" t="s">
        <v>91</v>
      </c>
      <c r="C4" s="27"/>
      <c r="D4" s="27"/>
      <c r="E4" s="27"/>
      <c r="F4" s="27"/>
      <c r="G4" s="27"/>
    </row>
    <row r="5" spans="1:7" ht="16.25" customHeight="1" thickBot="1" x14ac:dyDescent="0.25">
      <c r="A5" s="1"/>
      <c r="B5" s="27" t="s">
        <v>92</v>
      </c>
      <c r="C5" s="27"/>
      <c r="D5" s="27"/>
      <c r="E5" s="27"/>
      <c r="F5" s="27"/>
      <c r="G5" s="27"/>
    </row>
    <row r="6" spans="1:7" ht="13.75" customHeight="1" x14ac:dyDescent="0.2">
      <c r="A6" s="1"/>
      <c r="B6" s="1"/>
      <c r="C6" s="33" t="s">
        <v>82</v>
      </c>
      <c r="D6" s="35" t="s">
        <v>26</v>
      </c>
      <c r="E6" s="7"/>
      <c r="F6" s="33" t="s">
        <v>53</v>
      </c>
      <c r="G6" s="43"/>
    </row>
    <row r="7" spans="1:7" x14ac:dyDescent="0.2">
      <c r="A7" s="1"/>
      <c r="B7" s="1"/>
      <c r="C7" s="40" t="s">
        <v>54</v>
      </c>
      <c r="D7" s="3" t="s">
        <v>55</v>
      </c>
      <c r="E7" s="7"/>
      <c r="F7" s="40" t="s">
        <v>58</v>
      </c>
      <c r="G7" s="57" t="s">
        <v>59</v>
      </c>
    </row>
    <row r="8" spans="1:7" ht="13.75" customHeight="1" thickBot="1" x14ac:dyDescent="0.25">
      <c r="A8" s="1"/>
      <c r="B8" s="1"/>
      <c r="C8" s="34" t="s">
        <v>60</v>
      </c>
      <c r="D8" s="36" t="s">
        <v>89</v>
      </c>
      <c r="E8" s="7"/>
      <c r="F8" s="34" t="s">
        <v>60</v>
      </c>
      <c r="G8" s="58" t="s">
        <v>63</v>
      </c>
    </row>
    <row r="9" spans="1:7" x14ac:dyDescent="0.2">
      <c r="A9" s="1"/>
      <c r="B9" s="51" t="s">
        <v>64</v>
      </c>
      <c r="C9" s="39"/>
      <c r="D9" s="39"/>
      <c r="E9" s="37"/>
      <c r="F9" s="39"/>
      <c r="G9" s="42"/>
    </row>
    <row r="10" spans="1:7" x14ac:dyDescent="0.2">
      <c r="A10" s="1"/>
      <c r="B10" s="29" t="s">
        <v>8</v>
      </c>
      <c r="C10" s="6">
        <f>'Detailed Cap Table'!C4</f>
        <v>3600000</v>
      </c>
      <c r="D10" s="7"/>
      <c r="E10" s="7"/>
      <c r="F10" s="8">
        <f>C10</f>
        <v>3600000</v>
      </c>
      <c r="G10" s="47">
        <f>F10/$F$21</f>
        <v>0.36959987630724139</v>
      </c>
    </row>
    <row r="11" spans="1:7" x14ac:dyDescent="0.2">
      <c r="A11" s="1"/>
      <c r="B11" s="29" t="s">
        <v>9</v>
      </c>
      <c r="C11" s="6">
        <f>'Detailed Cap Table'!C5</f>
        <v>3600000</v>
      </c>
      <c r="D11" s="7"/>
      <c r="E11" s="7"/>
      <c r="F11" s="8">
        <f>C11</f>
        <v>3600000</v>
      </c>
      <c r="G11" s="47">
        <f>F11/$F$21</f>
        <v>0.36959987630724139</v>
      </c>
    </row>
    <row r="12" spans="1:7" x14ac:dyDescent="0.2">
      <c r="A12" s="1"/>
      <c r="B12" s="29" t="s">
        <v>85</v>
      </c>
      <c r="C12" s="6">
        <f>'Detailed Cap Table'!C6+'Detailed Cap Table'!C7+'Detailed Cap Table'!C8+'Detailed Cap Table'!C9+'Detailed Cap Table'!C10+'Detailed Cap Table'!F19+'Detailed Cap Table'!F20</f>
        <v>1450415</v>
      </c>
      <c r="D12" s="7"/>
      <c r="E12" s="7"/>
      <c r="F12" s="8">
        <f>C12</f>
        <v>1450415</v>
      </c>
      <c r="G12" s="47">
        <f>F12/$F$21</f>
        <v>0.14890922349837987</v>
      </c>
    </row>
    <row r="13" spans="1:7" x14ac:dyDescent="0.2">
      <c r="A13" s="1"/>
      <c r="B13" s="29" t="s">
        <v>93</v>
      </c>
      <c r="C13" s="6">
        <f>SUM('Detailed Cap Table'!D4:D20)+SUM('Detailed Cap Table'!E4:E20)</f>
        <v>1024743</v>
      </c>
      <c r="D13" s="7"/>
      <c r="E13" s="7"/>
      <c r="F13" s="8">
        <f>C13</f>
        <v>1024743</v>
      </c>
      <c r="G13" s="47">
        <f>F13/$F$21</f>
        <v>0.10520691279075318</v>
      </c>
    </row>
    <row r="14" spans="1:7" x14ac:dyDescent="0.2">
      <c r="A14" s="1"/>
      <c r="B14" s="29" t="s">
        <v>86</v>
      </c>
      <c r="C14" s="53">
        <f>'Detailed Cap Table'!D21</f>
        <v>65105</v>
      </c>
      <c r="D14" s="38"/>
      <c r="E14" s="38"/>
      <c r="F14" s="54">
        <f>C14</f>
        <v>65105</v>
      </c>
      <c r="G14" s="55">
        <f>F14/$F$21</f>
        <v>6.6841110963841528E-3</v>
      </c>
    </row>
    <row r="15" spans="1:7" x14ac:dyDescent="0.2">
      <c r="A15" s="1"/>
      <c r="B15" s="30" t="s">
        <v>65</v>
      </c>
      <c r="C15" s="9">
        <f>SUM(C10:C14)</f>
        <v>9740263</v>
      </c>
      <c r="D15" s="3"/>
      <c r="E15" s="3"/>
      <c r="F15" s="9">
        <f>SUM(F10:F14)</f>
        <v>9740263</v>
      </c>
      <c r="G15" s="48">
        <f>SUM(G10:G14)</f>
        <v>1</v>
      </c>
    </row>
    <row r="16" spans="1:7" x14ac:dyDescent="0.2">
      <c r="A16" s="1"/>
      <c r="B16" s="30" t="s">
        <v>94</v>
      </c>
      <c r="C16" s="8"/>
      <c r="D16" s="7"/>
      <c r="E16" s="7"/>
      <c r="F16" s="8"/>
      <c r="G16" s="47"/>
    </row>
    <row r="17" spans="1:7" x14ac:dyDescent="0.2">
      <c r="A17" s="1"/>
      <c r="B17" s="29" t="s">
        <v>42</v>
      </c>
      <c r="C17" s="8"/>
      <c r="D17" s="10">
        <f>'SAFE Investments'!C6+'SAFE Investments'!C7+'SAFE Investments'!C8+'SAFE Investments'!C15+'SAFE Investments'!C16+'SAFE Investments'!C17+'SAFE Investments'!C21+'SAFE Investments'!C24</f>
        <v>8000000</v>
      </c>
      <c r="E17" s="7"/>
      <c r="F17" s="8">
        <f>C17</f>
        <v>0</v>
      </c>
      <c r="G17" s="47">
        <f>F17/$F$21</f>
        <v>0</v>
      </c>
    </row>
    <row r="18" spans="1:7" x14ac:dyDescent="0.2">
      <c r="A18" s="1"/>
      <c r="B18" s="29" t="s">
        <v>87</v>
      </c>
      <c r="C18" s="8"/>
      <c r="D18" s="10">
        <f>'SAFE Investments'!C27-D17</f>
        <v>1825000</v>
      </c>
      <c r="E18" s="7"/>
      <c r="F18" s="8">
        <f>C18</f>
        <v>0</v>
      </c>
      <c r="G18" s="47">
        <f>F18/$F$21</f>
        <v>0</v>
      </c>
    </row>
    <row r="19" spans="1:7" x14ac:dyDescent="0.2">
      <c r="A19" s="1"/>
      <c r="B19" s="29"/>
      <c r="C19" s="8"/>
      <c r="D19" s="11"/>
      <c r="E19" s="7"/>
      <c r="F19" s="8"/>
      <c r="G19" s="47"/>
    </row>
    <row r="20" spans="1:7" x14ac:dyDescent="0.2">
      <c r="A20" s="1"/>
      <c r="B20" s="29"/>
      <c r="C20" s="8"/>
      <c r="D20" s="11"/>
      <c r="E20" s="7"/>
      <c r="F20" s="8"/>
      <c r="G20" s="47"/>
    </row>
    <row r="21" spans="1:7" ht="17" thickBot="1" x14ac:dyDescent="0.25">
      <c r="A21" s="1"/>
      <c r="B21" s="49" t="s">
        <v>69</v>
      </c>
      <c r="C21" s="14">
        <f>C15</f>
        <v>9740263</v>
      </c>
      <c r="D21" s="15">
        <f>SUM(D17:D18)</f>
        <v>9825000</v>
      </c>
      <c r="E21" s="16"/>
      <c r="F21" s="14">
        <f>F15</f>
        <v>9740263</v>
      </c>
      <c r="G21" s="56">
        <f>SUM(G10:G14)</f>
        <v>1</v>
      </c>
    </row>
    <row r="22" spans="1:7" ht="13.75" customHeight="1" x14ac:dyDescent="0.2">
      <c r="A22" s="1"/>
      <c r="B22" s="1"/>
      <c r="C22" s="7"/>
      <c r="D22" s="7"/>
      <c r="E22" s="7"/>
      <c r="F22" s="7"/>
      <c r="G22" s="7"/>
    </row>
    <row r="23" spans="1:7" ht="13.75" customHeight="1" x14ac:dyDescent="0.2">
      <c r="A23" s="1"/>
      <c r="B23" s="1" t="s">
        <v>95</v>
      </c>
      <c r="C23" s="12">
        <f>D24/C25</f>
        <v>5.1333316153783528</v>
      </c>
      <c r="D23" s="7"/>
      <c r="E23" s="7"/>
      <c r="F23" s="7"/>
      <c r="G23" s="7"/>
    </row>
    <row r="24" spans="1:7" x14ac:dyDescent="0.2">
      <c r="A24" s="1"/>
      <c r="B24" s="1" t="s">
        <v>76</v>
      </c>
      <c r="C24" s="7"/>
      <c r="D24" s="22">
        <v>50000000</v>
      </c>
      <c r="E24" s="7"/>
      <c r="F24" s="7"/>
      <c r="G24" s="7"/>
    </row>
    <row r="25" spans="1:7" ht="13.75" customHeight="1" x14ac:dyDescent="0.2">
      <c r="A25" s="1"/>
      <c r="B25" s="1" t="s">
        <v>96</v>
      </c>
      <c r="C25" s="8">
        <f>F21</f>
        <v>9740263</v>
      </c>
      <c r="D25" s="7"/>
      <c r="E25" s="7"/>
      <c r="F25" s="7"/>
      <c r="G25" s="7"/>
    </row>
    <row r="26" spans="1:7" x14ac:dyDescent="0.2">
      <c r="A26" s="1"/>
      <c r="B26" s="1"/>
      <c r="C26" s="1"/>
      <c r="D26" s="1"/>
      <c r="E26" s="1"/>
      <c r="F26" s="1"/>
      <c r="G26" s="1"/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/>
      <c r="B28" s="1"/>
      <c r="C28" s="1"/>
      <c r="D28" s="1"/>
      <c r="E28" s="1"/>
      <c r="F28" s="1"/>
      <c r="G28" s="1"/>
    </row>
    <row r="29" spans="1:7" x14ac:dyDescent="0.2">
      <c r="A29" s="1"/>
      <c r="B29" s="1"/>
      <c r="C29" s="1"/>
      <c r="D29" s="1"/>
      <c r="E29" s="1"/>
      <c r="F29" s="1"/>
      <c r="G29" s="1"/>
    </row>
    <row r="30" spans="1:7" x14ac:dyDescent="0.2">
      <c r="A30" s="1"/>
      <c r="B30" s="1"/>
      <c r="C30" s="1"/>
      <c r="D30" s="1"/>
      <c r="E30" s="1"/>
      <c r="F30" s="1"/>
      <c r="G3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CBE17-48C8-184C-81EE-49F5A5033C50}">
  <dimension ref="A1:O35"/>
  <sheetViews>
    <sheetView showGridLines="0" workbookViewId="0"/>
  </sheetViews>
  <sheetFormatPr baseColWidth="10" defaultRowHeight="16" x14ac:dyDescent="0.2"/>
  <cols>
    <col min="1" max="1" width="6.33203125" customWidth="1"/>
    <col min="2" max="2" width="35.5" customWidth="1"/>
    <col min="3" max="3" width="16.83203125" customWidth="1"/>
    <col min="4" max="4" width="17.6640625" customWidth="1"/>
    <col min="5" max="5" width="16.83203125" customWidth="1"/>
    <col min="6" max="6" width="0.5" customWidth="1"/>
    <col min="7" max="7" width="13.83203125" customWidth="1"/>
    <col min="8" max="8" width="0.5" customWidth="1"/>
    <col min="9" max="9" width="15.5" customWidth="1"/>
    <col min="10" max="10" width="16.83203125" customWidth="1"/>
    <col min="11" max="11" width="0.5" customWidth="1"/>
    <col min="12" max="12" width="13.83203125" customWidth="1"/>
    <col min="13" max="13" width="0.5" customWidth="1"/>
    <col min="14" max="14" width="14.33203125" customWidth="1"/>
    <col min="15" max="15" width="9.33203125" customWidth="1"/>
  </cols>
  <sheetData>
    <row r="1" spans="1:15" x14ac:dyDescent="0.2">
      <c r="A1" s="1"/>
      <c r="B1" s="27" t="s">
        <v>97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1"/>
    </row>
    <row r="2" spans="1:15" ht="15.5" customHeight="1" x14ac:dyDescent="0.2">
      <c r="A2" s="1"/>
      <c r="B2" s="27" t="s">
        <v>98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1"/>
    </row>
    <row r="3" spans="1:15" ht="16.25" customHeight="1" thickBo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3.75" customHeight="1" thickBot="1" x14ac:dyDescent="0.25">
      <c r="A4" s="1"/>
      <c r="B4" s="1"/>
      <c r="C4" s="33" t="s">
        <v>82</v>
      </c>
      <c r="D4" s="35" t="s">
        <v>26</v>
      </c>
      <c r="E4" s="43"/>
      <c r="F4" s="7"/>
      <c r="G4" s="35" t="s">
        <v>83</v>
      </c>
      <c r="H4" s="7"/>
      <c r="I4" s="33" t="s">
        <v>52</v>
      </c>
      <c r="J4" s="43"/>
      <c r="K4" s="7"/>
      <c r="L4" s="35" t="s">
        <v>83</v>
      </c>
      <c r="M4" s="7"/>
      <c r="N4" s="33" t="s">
        <v>53</v>
      </c>
      <c r="O4" s="43"/>
    </row>
    <row r="5" spans="1:15" x14ac:dyDescent="0.2">
      <c r="A5" s="1"/>
      <c r="B5" s="1"/>
      <c r="C5" s="33" t="s">
        <v>54</v>
      </c>
      <c r="D5" s="35" t="s">
        <v>55</v>
      </c>
      <c r="E5" s="43" t="s">
        <v>56</v>
      </c>
      <c r="F5" s="7"/>
      <c r="G5" s="41" t="s">
        <v>57</v>
      </c>
      <c r="H5" s="7"/>
      <c r="I5" s="33" t="s">
        <v>55</v>
      </c>
      <c r="J5" s="43" t="s">
        <v>56</v>
      </c>
      <c r="K5" s="7"/>
      <c r="L5" s="41" t="s">
        <v>57</v>
      </c>
      <c r="M5" s="7"/>
      <c r="N5" s="33" t="s">
        <v>58</v>
      </c>
      <c r="O5" s="43" t="s">
        <v>59</v>
      </c>
    </row>
    <row r="6" spans="1:15" ht="13.75" customHeight="1" thickBot="1" x14ac:dyDescent="0.25">
      <c r="A6" s="1"/>
      <c r="B6" s="1"/>
      <c r="C6" s="40" t="s">
        <v>60</v>
      </c>
      <c r="D6" s="40" t="s">
        <v>89</v>
      </c>
      <c r="E6" s="57" t="s">
        <v>61</v>
      </c>
      <c r="F6" s="7"/>
      <c r="G6" s="41" t="s">
        <v>84</v>
      </c>
      <c r="H6" s="7"/>
      <c r="I6" s="40" t="s">
        <v>89</v>
      </c>
      <c r="J6" s="57" t="s">
        <v>60</v>
      </c>
      <c r="K6" s="7"/>
      <c r="L6" s="41" t="s">
        <v>62</v>
      </c>
      <c r="M6" s="7"/>
      <c r="N6" s="40" t="s">
        <v>60</v>
      </c>
      <c r="O6" s="57" t="s">
        <v>63</v>
      </c>
    </row>
    <row r="7" spans="1:15" x14ac:dyDescent="0.2">
      <c r="A7" s="1"/>
      <c r="B7" s="51" t="s">
        <v>64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52"/>
    </row>
    <row r="8" spans="1:15" x14ac:dyDescent="0.2">
      <c r="A8" s="1"/>
      <c r="B8" s="29" t="s">
        <v>8</v>
      </c>
      <c r="C8" s="6">
        <f>PreA!C10</f>
        <v>3600000</v>
      </c>
      <c r="D8" s="7"/>
      <c r="E8" s="8"/>
      <c r="F8" s="7"/>
      <c r="G8" s="8"/>
      <c r="H8" s="7"/>
      <c r="I8" s="7"/>
      <c r="J8" s="8"/>
      <c r="K8" s="7"/>
      <c r="L8" s="8"/>
      <c r="M8" s="7"/>
      <c r="N8" s="8">
        <f>C8+E8+G8+J8+L8</f>
        <v>3600000</v>
      </c>
      <c r="O8" s="47">
        <f ca="1">N8/$N$21</f>
        <v>0.19407533292814716</v>
      </c>
    </row>
    <row r="9" spans="1:15" x14ac:dyDescent="0.2">
      <c r="A9" s="1"/>
      <c r="B9" s="29" t="s">
        <v>9</v>
      </c>
      <c r="C9" s="6">
        <f>PreA!C11</f>
        <v>3600000</v>
      </c>
      <c r="D9" s="7"/>
      <c r="E9" s="8"/>
      <c r="F9" s="7"/>
      <c r="G9" s="8"/>
      <c r="H9" s="7"/>
      <c r="I9" s="7"/>
      <c r="J9" s="8"/>
      <c r="K9" s="7"/>
      <c r="L9" s="8"/>
      <c r="M9" s="7"/>
      <c r="N9" s="8">
        <f>C9+E9+G9+J9+L9</f>
        <v>3600000</v>
      </c>
      <c r="O9" s="47">
        <f ca="1">N9/$N$21</f>
        <v>0.19407533292814716</v>
      </c>
    </row>
    <row r="10" spans="1:15" x14ac:dyDescent="0.2">
      <c r="A10" s="1"/>
      <c r="B10" s="29" t="s">
        <v>85</v>
      </c>
      <c r="C10" s="6">
        <f>PreA!C12</f>
        <v>1450415</v>
      </c>
      <c r="D10" s="7"/>
      <c r="E10" s="8"/>
      <c r="F10" s="7"/>
      <c r="G10" s="8"/>
      <c r="H10" s="7"/>
      <c r="I10" s="7"/>
      <c r="J10" s="8"/>
      <c r="K10" s="7"/>
      <c r="L10" s="8"/>
      <c r="M10" s="7"/>
      <c r="N10" s="8">
        <f>C10+E10+G10+J10+L10</f>
        <v>1450415</v>
      </c>
      <c r="O10" s="47">
        <f ca="1">N10/$N$21</f>
        <v>7.8191603891382938E-2</v>
      </c>
    </row>
    <row r="11" spans="1:15" x14ac:dyDescent="0.2">
      <c r="A11" s="1"/>
      <c r="B11" s="29" t="s">
        <v>93</v>
      </c>
      <c r="C11" s="6">
        <f>PreA!C13</f>
        <v>1024743</v>
      </c>
      <c r="D11" s="7"/>
      <c r="E11" s="8"/>
      <c r="F11" s="7"/>
      <c r="G11" s="8"/>
      <c r="H11" s="7"/>
      <c r="I11" s="7"/>
      <c r="J11" s="8"/>
      <c r="K11" s="7"/>
      <c r="L11" s="8"/>
      <c r="M11" s="7"/>
      <c r="N11" s="8">
        <f>C11+E11+G11+J11+L11</f>
        <v>1024743</v>
      </c>
      <c r="O11" s="47">
        <f ca="1">N11/$N$21</f>
        <v>5.5243705247441197E-2</v>
      </c>
    </row>
    <row r="12" spans="1:15" x14ac:dyDescent="0.2">
      <c r="A12" s="1"/>
      <c r="B12" s="29" t="s">
        <v>86</v>
      </c>
      <c r="C12" s="6">
        <f>PreA!C14</f>
        <v>65105</v>
      </c>
      <c r="D12" s="7"/>
      <c r="E12" s="8"/>
      <c r="F12" s="7"/>
      <c r="H12" s="7"/>
      <c r="I12" s="7"/>
      <c r="J12" s="8"/>
      <c r="K12" s="7"/>
      <c r="L12" s="8">
        <f ca="1">ROUND((C31*(C13+E21+J21)-C12)/(1-C31),0)</f>
        <v>1789845</v>
      </c>
      <c r="M12" s="7"/>
      <c r="N12" s="8">
        <f ca="1">C12+E12+G12+J12+L12</f>
        <v>1854950</v>
      </c>
      <c r="O12" s="47">
        <f ca="1">N12/$N$21</f>
        <v>0.10000001078196294</v>
      </c>
    </row>
    <row r="13" spans="1:15" ht="13.5" customHeight="1" x14ac:dyDescent="0.2">
      <c r="A13" s="1"/>
      <c r="B13" s="30" t="s">
        <v>65</v>
      </c>
      <c r="C13" s="13">
        <f>SUM(C8:C12)</f>
        <v>9740263</v>
      </c>
      <c r="D13" s="3">
        <f>SUM(D8:D12)</f>
        <v>0</v>
      </c>
      <c r="E13" s="9">
        <f>SUM(E8:E12)</f>
        <v>0</v>
      </c>
      <c r="F13" s="3"/>
      <c r="G13" s="13">
        <f>SUM(G8:G12)</f>
        <v>0</v>
      </c>
      <c r="H13" s="3"/>
      <c r="I13" s="3">
        <f>SUM(I8:I12)</f>
        <v>0</v>
      </c>
      <c r="J13" s="9">
        <f>SUM(J8:J12)</f>
        <v>0</v>
      </c>
      <c r="K13" s="3"/>
      <c r="L13" s="13">
        <f ca="1">SUM(L8:L12)</f>
        <v>1789845</v>
      </c>
      <c r="M13" s="3"/>
      <c r="N13" s="13">
        <f ca="1">SUM(N8:N12)</f>
        <v>11530108</v>
      </c>
      <c r="O13" s="61">
        <f ca="1">N13/$N$21</f>
        <v>0.62158598577708135</v>
      </c>
    </row>
    <row r="14" spans="1:15" x14ac:dyDescent="0.2">
      <c r="A14" s="1"/>
      <c r="B14" s="30" t="s">
        <v>66</v>
      </c>
      <c r="C14" s="8"/>
      <c r="D14" s="7"/>
      <c r="E14" s="8"/>
      <c r="F14" s="7"/>
      <c r="G14" s="8"/>
      <c r="H14" s="7"/>
      <c r="I14" s="7"/>
      <c r="J14" s="8"/>
      <c r="K14" s="7"/>
      <c r="L14" s="8"/>
      <c r="M14" s="7"/>
      <c r="N14" s="8"/>
      <c r="O14" s="47"/>
    </row>
    <row r="15" spans="1:15" x14ac:dyDescent="0.2">
      <c r="A15" s="1"/>
      <c r="B15" s="29" t="s">
        <v>42</v>
      </c>
      <c r="C15" s="8"/>
      <c r="D15" s="10">
        <f>PreA!D17</f>
        <v>8000000</v>
      </c>
      <c r="E15" s="8">
        <f>IFERROR(ROUND(D15/$E$22,0),0)</f>
        <v>1939567</v>
      </c>
      <c r="F15" s="7"/>
      <c r="G15" s="8"/>
      <c r="H15" s="7"/>
      <c r="I15" s="22">
        <v>5000000</v>
      </c>
      <c r="J15" s="8">
        <f ca="1">IFERROR(ROUND(I15/$J$22,0),0)</f>
        <v>1159340</v>
      </c>
      <c r="K15" s="7"/>
      <c r="L15" s="8"/>
      <c r="M15" s="7"/>
      <c r="N15" s="8">
        <f ca="1">C15+E15+G15+J15+L15</f>
        <v>3098907</v>
      </c>
      <c r="O15" s="47">
        <f ca="1">N15/$N$21</f>
        <v>0.16706150214954604</v>
      </c>
    </row>
    <row r="16" spans="1:15" x14ac:dyDescent="0.2">
      <c r="A16" s="1"/>
      <c r="B16" s="29" t="s">
        <v>87</v>
      </c>
      <c r="C16" s="8"/>
      <c r="D16" s="10">
        <f>PreA!D18</f>
        <v>1825000</v>
      </c>
      <c r="E16" s="8">
        <f>IFERROR(ROUND(D16/$E$22,0),0)</f>
        <v>442464</v>
      </c>
      <c r="F16" s="7"/>
      <c r="G16" s="8"/>
      <c r="H16" s="7"/>
      <c r="I16" s="11"/>
      <c r="J16" s="8"/>
      <c r="K16" s="7"/>
      <c r="L16" s="8"/>
      <c r="M16" s="7"/>
      <c r="N16" s="8">
        <f>C16+E16+G16+J16+L16</f>
        <v>442464</v>
      </c>
      <c r="O16" s="47">
        <f ca="1">N16/$N$21</f>
        <v>2.3853152252422141E-2</v>
      </c>
    </row>
    <row r="17" spans="1:15" x14ac:dyDescent="0.2">
      <c r="A17" s="1"/>
      <c r="B17" s="29" t="s">
        <v>67</v>
      </c>
      <c r="C17" s="8"/>
      <c r="D17" s="11"/>
      <c r="E17" s="8"/>
      <c r="F17" s="7"/>
      <c r="G17" s="8"/>
      <c r="H17" s="7"/>
      <c r="I17" s="22">
        <v>12000000</v>
      </c>
      <c r="J17" s="8">
        <f ca="1">IFERROR(ROUND(I17/$J$22,0),0)</f>
        <v>2782415</v>
      </c>
      <c r="K17" s="7"/>
      <c r="L17" s="8"/>
      <c r="M17" s="7"/>
      <c r="N17" s="8">
        <f ca="1">C17+E17+G17+J17+L17</f>
        <v>2782415</v>
      </c>
      <c r="O17" s="47">
        <f ca="1">N17/$N$21</f>
        <v>0.14999947707479738</v>
      </c>
    </row>
    <row r="18" spans="1:15" x14ac:dyDescent="0.2">
      <c r="A18" s="1"/>
      <c r="B18" s="29" t="s">
        <v>68</v>
      </c>
      <c r="C18" s="8"/>
      <c r="D18" s="11"/>
      <c r="E18" s="8"/>
      <c r="F18" s="7"/>
      <c r="G18" s="8"/>
      <c r="H18" s="7"/>
      <c r="I18" s="11">
        <f>I21-I15-I17</f>
        <v>3000000</v>
      </c>
      <c r="J18" s="8">
        <f ca="1">IFERROR(ROUND(I18/$J$22,0),0)</f>
        <v>695604</v>
      </c>
      <c r="K18" s="7"/>
      <c r="L18" s="8"/>
      <c r="M18" s="7"/>
      <c r="N18" s="8">
        <f ca="1">C18+E18+G18+J18+L18</f>
        <v>695604</v>
      </c>
      <c r="O18" s="47">
        <f ca="1">N18/$N$21</f>
        <v>3.749988274615302E-2</v>
      </c>
    </row>
    <row r="19" spans="1:15" x14ac:dyDescent="0.2">
      <c r="A19" s="1"/>
      <c r="B19" s="29"/>
      <c r="C19" s="8"/>
      <c r="D19" s="11"/>
      <c r="E19" s="8"/>
      <c r="F19" s="7"/>
      <c r="G19" s="8"/>
      <c r="H19" s="7"/>
      <c r="I19" s="11"/>
      <c r="J19" s="8"/>
      <c r="K19" s="7"/>
      <c r="L19" s="8"/>
      <c r="M19" s="7"/>
      <c r="N19" s="8"/>
      <c r="O19" s="47"/>
    </row>
    <row r="20" spans="1:15" x14ac:dyDescent="0.2">
      <c r="A20" s="1"/>
      <c r="B20" s="29"/>
      <c r="C20" s="8"/>
      <c r="D20" s="11"/>
      <c r="E20" s="8"/>
      <c r="F20" s="7"/>
      <c r="G20" s="8"/>
      <c r="H20" s="7"/>
      <c r="I20" s="11"/>
      <c r="J20" s="8"/>
      <c r="K20" s="7"/>
      <c r="L20" s="8"/>
      <c r="M20" s="7"/>
      <c r="N20" s="8"/>
      <c r="O20" s="47"/>
    </row>
    <row r="21" spans="1:15" x14ac:dyDescent="0.2">
      <c r="A21" s="1"/>
      <c r="B21" s="30" t="s">
        <v>69</v>
      </c>
      <c r="C21" s="14">
        <f>C13+SUM(C15:C18)</f>
        <v>9740263</v>
      </c>
      <c r="D21" s="15">
        <f>D13+SUM(D15:D18)</f>
        <v>9825000</v>
      </c>
      <c r="E21" s="14">
        <f>E13+SUM(E15:E18)</f>
        <v>2382031</v>
      </c>
      <c r="F21" s="16"/>
      <c r="G21" s="14">
        <f>G13+SUM(G15:G18)</f>
        <v>0</v>
      </c>
      <c r="H21" s="16"/>
      <c r="I21" s="62">
        <v>20000000</v>
      </c>
      <c r="J21" s="14">
        <f ca="1">SUM(J15:J18)</f>
        <v>4637359</v>
      </c>
      <c r="K21" s="16"/>
      <c r="L21" s="14">
        <f ca="1">L13+SUM(L15:L18)</f>
        <v>1789845</v>
      </c>
      <c r="M21" s="16"/>
      <c r="N21" s="14">
        <f ca="1">N13+SUM(N15:N18)</f>
        <v>18549498</v>
      </c>
      <c r="O21" s="56">
        <f ca="1">SUM(O13,O15:O18)</f>
        <v>1</v>
      </c>
    </row>
    <row r="22" spans="1:15" ht="13.75" customHeight="1" x14ac:dyDescent="0.2">
      <c r="A22" s="1"/>
      <c r="B22" s="29" t="s">
        <v>70</v>
      </c>
      <c r="C22" s="7"/>
      <c r="D22" s="7"/>
      <c r="E22" s="12">
        <f>(C28-D21)/PreA!F21</f>
        <v>4.1246319529565065</v>
      </c>
      <c r="F22" s="7"/>
      <c r="G22" s="7"/>
      <c r="H22" s="7"/>
      <c r="I22" s="7"/>
      <c r="J22" s="12">
        <f ca="1">IFERROR(ROUND(J23/(C13+E21+L12),4),0)</f>
        <v>4.3128000000000002</v>
      </c>
      <c r="K22" s="7"/>
      <c r="L22" s="7"/>
      <c r="M22" s="7"/>
      <c r="N22" s="7"/>
      <c r="O22" s="42"/>
    </row>
    <row r="23" spans="1:15" ht="13.75" customHeight="1" x14ac:dyDescent="0.2">
      <c r="A23" s="1"/>
      <c r="B23" s="29" t="s">
        <v>71</v>
      </c>
      <c r="C23" s="7"/>
      <c r="D23" s="7"/>
      <c r="E23" s="7"/>
      <c r="F23" s="7"/>
      <c r="G23" s="7"/>
      <c r="H23" s="7"/>
      <c r="I23" s="7"/>
      <c r="J23" s="22">
        <v>60000000</v>
      </c>
      <c r="K23" s="7"/>
      <c r="L23" s="7"/>
      <c r="M23" s="7"/>
      <c r="N23" s="7"/>
      <c r="O23" s="42"/>
    </row>
    <row r="24" spans="1:15" x14ac:dyDescent="0.2">
      <c r="A24" s="1"/>
      <c r="B24" s="29" t="s">
        <v>72</v>
      </c>
      <c r="C24" s="7"/>
      <c r="D24" s="7"/>
      <c r="E24" s="7"/>
      <c r="F24" s="7"/>
      <c r="G24" s="7"/>
      <c r="H24" s="7"/>
      <c r="I24" s="7"/>
      <c r="J24" s="11">
        <f>J23+I21</f>
        <v>80000000</v>
      </c>
      <c r="K24" s="7"/>
      <c r="L24" s="7"/>
      <c r="M24" s="7"/>
      <c r="N24" s="7"/>
      <c r="O24" s="42"/>
    </row>
    <row r="25" spans="1:15" ht="13.75" customHeight="1" thickBot="1" x14ac:dyDescent="0.25">
      <c r="A25" s="1"/>
      <c r="B25" s="31" t="s">
        <v>99</v>
      </c>
      <c r="C25" s="44"/>
      <c r="D25" s="44"/>
      <c r="E25" s="60">
        <f ca="1">E21/(E21+C13+L12)</f>
        <v>0.17121960900476915</v>
      </c>
      <c r="F25" s="44"/>
      <c r="G25" s="44"/>
      <c r="H25" s="44"/>
      <c r="I25" s="44"/>
      <c r="J25" s="60">
        <f ca="1">J21/N21</f>
        <v>0.24999916439787212</v>
      </c>
      <c r="K25" s="44"/>
      <c r="L25" s="44"/>
      <c r="M25" s="44"/>
      <c r="N25" s="44"/>
      <c r="O25" s="45"/>
    </row>
    <row r="26" spans="1:1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2">
      <c r="A27" s="1"/>
      <c r="B27" s="2" t="s">
        <v>73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2">
      <c r="A28" s="1"/>
      <c r="B28" s="1" t="s">
        <v>76</v>
      </c>
      <c r="C28" s="21">
        <v>50000000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2">
      <c r="A29" s="1"/>
      <c r="B29" s="1" t="s">
        <v>71</v>
      </c>
      <c r="C29" s="4">
        <f>J23</f>
        <v>60000000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2">
      <c r="A30" s="1"/>
      <c r="B30" s="1" t="s">
        <v>74</v>
      </c>
      <c r="C30" s="4">
        <f>I21</f>
        <v>20000000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2">
      <c r="A31" s="1"/>
      <c r="B31" s="1" t="s">
        <v>100</v>
      </c>
      <c r="C31" s="24">
        <v>0.1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2">
      <c r="A32" s="1"/>
      <c r="B32" s="1" t="s">
        <v>75</v>
      </c>
      <c r="C32" s="4">
        <f>I17</f>
        <v>12000000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2">
      <c r="A33" s="1"/>
      <c r="B33" s="1" t="s">
        <v>101</v>
      </c>
      <c r="C33" s="4">
        <f>I15</f>
        <v>5000000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2">
      <c r="A34" s="1"/>
      <c r="B34" s="1" t="s">
        <v>68</v>
      </c>
      <c r="C34" s="4">
        <f>I18</f>
        <v>3000000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7087C-AF9C-134D-862F-ACFABDF57E2D}">
  <dimension ref="A1:T40"/>
  <sheetViews>
    <sheetView showGridLines="0" tabSelected="1" topLeftCell="B3" workbookViewId="0"/>
  </sheetViews>
  <sheetFormatPr baseColWidth="10" defaultRowHeight="16" x14ac:dyDescent="0.2"/>
  <cols>
    <col min="1" max="1" width="6.33203125" customWidth="1"/>
    <col min="2" max="2" width="33.83203125" customWidth="1"/>
    <col min="3" max="3" width="14.33203125" customWidth="1"/>
    <col min="4" max="4" width="11.83203125" customWidth="1"/>
    <col min="5" max="5" width="12.5" customWidth="1"/>
    <col min="6" max="6" width="0.5" customWidth="1"/>
    <col min="7" max="7" width="11.83203125" customWidth="1"/>
    <col min="8" max="8" width="0.5" customWidth="1"/>
    <col min="9" max="9" width="14.33203125" customWidth="1"/>
    <col min="10" max="10" width="15.5" customWidth="1"/>
    <col min="11" max="11" width="0.5" customWidth="1"/>
    <col min="12" max="12" width="11.83203125" customWidth="1"/>
    <col min="13" max="13" width="0.5" customWidth="1"/>
    <col min="14" max="14" width="15.5" customWidth="1"/>
    <col min="15" max="15" width="16.83203125" customWidth="1"/>
    <col min="16" max="16" width="0.5" customWidth="1"/>
    <col min="17" max="17" width="11.83203125" customWidth="1"/>
    <col min="18" max="18" width="0.5" customWidth="1"/>
    <col min="19" max="19" width="13" customWidth="1"/>
    <col min="20" max="20" width="8" customWidth="1"/>
  </cols>
  <sheetData>
    <row r="1" spans="1:20" x14ac:dyDescent="0.2">
      <c r="A1" s="1"/>
      <c r="B1" s="27" t="s">
        <v>97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1"/>
    </row>
    <row r="2" spans="1:20" ht="15.5" customHeight="1" x14ac:dyDescent="0.2">
      <c r="A2" s="1"/>
      <c r="B2" s="27" t="s">
        <v>102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1"/>
    </row>
    <row r="3" spans="1:20" ht="16.25" customHeight="1" thickBo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3.75" customHeight="1" thickBot="1" x14ac:dyDescent="0.25">
      <c r="A4" s="1"/>
      <c r="B4" s="1"/>
      <c r="C4" s="59" t="s">
        <v>82</v>
      </c>
      <c r="D4" s="28" t="s">
        <v>26</v>
      </c>
      <c r="E4" s="43"/>
      <c r="F4" s="3"/>
      <c r="G4" s="35" t="s">
        <v>83</v>
      </c>
      <c r="H4" s="3"/>
      <c r="I4" s="59" t="s">
        <v>52</v>
      </c>
      <c r="J4" s="43"/>
      <c r="K4" s="3"/>
      <c r="L4" s="35" t="s">
        <v>83</v>
      </c>
      <c r="M4" s="3"/>
      <c r="N4" s="59" t="s">
        <v>77</v>
      </c>
      <c r="O4" s="43"/>
      <c r="P4" s="3"/>
      <c r="Q4" s="35" t="s">
        <v>83</v>
      </c>
      <c r="R4" s="3"/>
      <c r="S4" s="59" t="s">
        <v>53</v>
      </c>
      <c r="T4" s="43"/>
    </row>
    <row r="5" spans="1:20" x14ac:dyDescent="0.2">
      <c r="A5" s="1"/>
      <c r="B5" s="1"/>
      <c r="C5" s="40" t="s">
        <v>54</v>
      </c>
      <c r="D5" s="28" t="s">
        <v>55</v>
      </c>
      <c r="E5" s="43" t="s">
        <v>56</v>
      </c>
      <c r="F5" s="3"/>
      <c r="G5" s="41" t="s">
        <v>57</v>
      </c>
      <c r="H5" s="3"/>
      <c r="I5" s="40" t="s">
        <v>55</v>
      </c>
      <c r="J5" s="43" t="s">
        <v>56</v>
      </c>
      <c r="K5" s="3"/>
      <c r="L5" s="41" t="s">
        <v>57</v>
      </c>
      <c r="M5" s="3"/>
      <c r="N5" s="40" t="s">
        <v>55</v>
      </c>
      <c r="O5" s="43" t="s">
        <v>56</v>
      </c>
      <c r="P5" s="3"/>
      <c r="Q5" s="41" t="s">
        <v>57</v>
      </c>
      <c r="R5" s="3"/>
      <c r="S5" s="40" t="s">
        <v>58</v>
      </c>
      <c r="T5" s="43" t="s">
        <v>59</v>
      </c>
    </row>
    <row r="6" spans="1:20" ht="13.75" customHeight="1" thickBot="1" x14ac:dyDescent="0.25">
      <c r="A6" s="1"/>
      <c r="B6" s="1"/>
      <c r="C6" s="40" t="s">
        <v>60</v>
      </c>
      <c r="D6" s="25" t="s">
        <v>89</v>
      </c>
      <c r="E6" s="57" t="s">
        <v>61</v>
      </c>
      <c r="F6" s="3"/>
      <c r="G6" s="41" t="s">
        <v>84</v>
      </c>
      <c r="H6" s="3"/>
      <c r="I6" s="40" t="s">
        <v>89</v>
      </c>
      <c r="J6" s="57" t="s">
        <v>60</v>
      </c>
      <c r="K6" s="3"/>
      <c r="L6" s="41" t="s">
        <v>62</v>
      </c>
      <c r="M6" s="3"/>
      <c r="N6" s="40" t="s">
        <v>89</v>
      </c>
      <c r="O6" s="57" t="s">
        <v>60</v>
      </c>
      <c r="P6" s="3"/>
      <c r="Q6" s="41" t="s">
        <v>78</v>
      </c>
      <c r="R6" s="3"/>
      <c r="S6" s="40" t="s">
        <v>60</v>
      </c>
      <c r="T6" s="57" t="s">
        <v>63</v>
      </c>
    </row>
    <row r="7" spans="1:20" x14ac:dyDescent="0.2">
      <c r="A7" s="1"/>
      <c r="B7" s="51" t="s">
        <v>64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52"/>
    </row>
    <row r="8" spans="1:20" x14ac:dyDescent="0.2">
      <c r="A8" s="1"/>
      <c r="B8" s="29" t="s">
        <v>8</v>
      </c>
      <c r="C8" s="64">
        <f>'Series A'!C8</f>
        <v>3600000</v>
      </c>
      <c r="D8" s="69"/>
      <c r="E8" s="64">
        <f>'Series A'!E8</f>
        <v>0</v>
      </c>
      <c r="F8" s="7"/>
      <c r="G8" s="64">
        <f>'Series A'!G8</f>
        <v>0</v>
      </c>
      <c r="H8" s="7"/>
      <c r="I8" s="69"/>
      <c r="J8" s="64">
        <f>'Series A'!J8</f>
        <v>0</v>
      </c>
      <c r="K8" s="7"/>
      <c r="L8" s="64">
        <f>'Series A'!L8</f>
        <v>0</v>
      </c>
      <c r="M8" s="7"/>
      <c r="N8" s="71"/>
      <c r="O8" s="66"/>
      <c r="P8" s="7"/>
      <c r="Q8" s="66"/>
      <c r="R8" s="7"/>
      <c r="S8" s="66">
        <f>C8+E8+G8+J8+L8+O8+Q8</f>
        <v>3600000</v>
      </c>
      <c r="T8" s="32">
        <f ca="1">S8/$S$22</f>
        <v>0.14814413667317156</v>
      </c>
    </row>
    <row r="9" spans="1:20" x14ac:dyDescent="0.2">
      <c r="A9" s="1"/>
      <c r="B9" s="29" t="s">
        <v>9</v>
      </c>
      <c r="C9" s="64">
        <f>'Series A'!C9</f>
        <v>3600000</v>
      </c>
      <c r="D9" s="69"/>
      <c r="E9" s="64">
        <f>'Series A'!E9</f>
        <v>0</v>
      </c>
      <c r="F9" s="7"/>
      <c r="G9" s="64">
        <f>'Series A'!G9</f>
        <v>0</v>
      </c>
      <c r="H9" s="7"/>
      <c r="I9" s="69"/>
      <c r="J9" s="64">
        <f>'Series A'!J9</f>
        <v>0</v>
      </c>
      <c r="K9" s="7"/>
      <c r="L9" s="64">
        <f>'Series A'!L9</f>
        <v>0</v>
      </c>
      <c r="M9" s="7"/>
      <c r="N9" s="71"/>
      <c r="O9" s="66"/>
      <c r="P9" s="7"/>
      <c r="Q9" s="66"/>
      <c r="R9" s="7"/>
      <c r="S9" s="66">
        <f>C9+E9+G9+J9+L9+O9+Q9</f>
        <v>3600000</v>
      </c>
      <c r="T9" s="32">
        <f ca="1">S9/$S$22</f>
        <v>0.14814413667317156</v>
      </c>
    </row>
    <row r="10" spans="1:20" x14ac:dyDescent="0.2">
      <c r="A10" s="1"/>
      <c r="B10" s="29" t="s">
        <v>85</v>
      </c>
      <c r="C10" s="64">
        <f>'Series A'!C10</f>
        <v>1450415</v>
      </c>
      <c r="D10" s="69"/>
      <c r="E10" s="64">
        <f>'Series A'!E10</f>
        <v>0</v>
      </c>
      <c r="F10" s="7"/>
      <c r="G10" s="64">
        <f>'Series A'!G10</f>
        <v>0</v>
      </c>
      <c r="H10" s="7"/>
      <c r="I10" s="69"/>
      <c r="J10" s="64">
        <f>'Series A'!J10</f>
        <v>0</v>
      </c>
      <c r="K10" s="7"/>
      <c r="L10" s="64">
        <f>'Series A'!L10</f>
        <v>0</v>
      </c>
      <c r="M10" s="7"/>
      <c r="N10" s="71"/>
      <c r="O10" s="66"/>
      <c r="P10" s="7"/>
      <c r="Q10" s="66"/>
      <c r="R10" s="7"/>
      <c r="S10" s="66">
        <f>C10+E10+G10+J10+L10+O10+Q10</f>
        <v>1450415</v>
      </c>
      <c r="T10" s="32">
        <f ca="1">S10/$S$22</f>
        <v>5.9686243886893926E-2</v>
      </c>
    </row>
    <row r="11" spans="1:20" x14ac:dyDescent="0.2">
      <c r="A11" s="1"/>
      <c r="B11" s="29" t="s">
        <v>93</v>
      </c>
      <c r="C11" s="64">
        <f>'Series A'!C11</f>
        <v>1024743</v>
      </c>
      <c r="D11" s="69"/>
      <c r="E11" s="64">
        <f>'Series A'!E11</f>
        <v>0</v>
      </c>
      <c r="F11" s="7"/>
      <c r="G11" s="64">
        <f>'Series A'!G11</f>
        <v>0</v>
      </c>
      <c r="H11" s="7"/>
      <c r="I11" s="69"/>
      <c r="J11" s="64">
        <f>'Series A'!J11</f>
        <v>0</v>
      </c>
      <c r="K11" s="7"/>
      <c r="L11" s="64">
        <f>'Series A'!L11</f>
        <v>0</v>
      </c>
      <c r="M11" s="7"/>
      <c r="N11" s="71"/>
      <c r="O11" s="66"/>
      <c r="P11" s="7"/>
      <c r="Q11" s="66"/>
      <c r="R11" s="7"/>
      <c r="S11" s="66">
        <f>C11+E11+G11+J11+L11+O11+Q11</f>
        <v>1024743</v>
      </c>
      <c r="T11" s="32">
        <f ca="1">S11/$S$22</f>
        <v>4.2169351957465517E-2</v>
      </c>
    </row>
    <row r="12" spans="1:20" x14ac:dyDescent="0.2">
      <c r="A12" s="1"/>
      <c r="B12" s="29" t="s">
        <v>86</v>
      </c>
      <c r="C12" s="64">
        <f>'Series A'!C12</f>
        <v>65105</v>
      </c>
      <c r="D12" s="69"/>
      <c r="E12" s="64">
        <f>'Series A'!E12</f>
        <v>0</v>
      </c>
      <c r="F12" s="7"/>
      <c r="G12" s="64">
        <f>'Series A'!G12</f>
        <v>0</v>
      </c>
      <c r="H12" s="7"/>
      <c r="I12" s="69"/>
      <c r="J12" s="64">
        <f>'Series A'!J12</f>
        <v>0</v>
      </c>
      <c r="K12" s="7"/>
      <c r="L12" s="64">
        <f ca="1">'Series A'!L12</f>
        <v>1789845</v>
      </c>
      <c r="M12" s="7"/>
      <c r="N12" s="71"/>
      <c r="O12" s="66"/>
      <c r="P12" s="7"/>
      <c r="Q12" s="66">
        <f ca="1">ROUND(C34*S22,0)</f>
        <v>1701046</v>
      </c>
      <c r="R12" s="7"/>
      <c r="S12" s="66">
        <f ca="1">C12+E12+G12+J12+L12+O12+Q12</f>
        <v>3555996</v>
      </c>
      <c r="T12" s="32">
        <f ca="1">S12/$S$22</f>
        <v>0.1463333215092365</v>
      </c>
    </row>
    <row r="13" spans="1:20" ht="13.5" customHeight="1" x14ac:dyDescent="0.2">
      <c r="A13" s="1"/>
      <c r="B13" s="30" t="s">
        <v>65</v>
      </c>
      <c r="C13" s="65">
        <f>SUM(C8:C12)</f>
        <v>9740263</v>
      </c>
      <c r="D13" s="70">
        <f>SUM(D8:D12)</f>
        <v>0</v>
      </c>
      <c r="E13" s="68">
        <f>SUM(E8:E12)</f>
        <v>0</v>
      </c>
      <c r="F13" s="3"/>
      <c r="G13" s="68">
        <f>SUM(G8:G12)</f>
        <v>0</v>
      </c>
      <c r="H13" s="3"/>
      <c r="I13" s="70">
        <f>SUM(I8:I12)</f>
        <v>0</v>
      </c>
      <c r="J13" s="68">
        <f>SUM(J8:J12)</f>
        <v>0</v>
      </c>
      <c r="K13" s="3"/>
      <c r="L13" s="68">
        <f ca="1">SUM(L8:L12)</f>
        <v>1789845</v>
      </c>
      <c r="M13" s="3"/>
      <c r="N13" s="70">
        <f>SUM(N8:N12)</f>
        <v>0</v>
      </c>
      <c r="O13" s="68">
        <f>SUM(O8:O12)</f>
        <v>0</v>
      </c>
      <c r="P13" s="3"/>
      <c r="Q13" s="68">
        <f ca="1">SUM(Q8:Q12)</f>
        <v>1701046</v>
      </c>
      <c r="R13" s="3"/>
      <c r="S13" s="68">
        <f ca="1">SUM(S8:S12)</f>
        <v>13231154</v>
      </c>
      <c r="T13" s="75">
        <f ca="1">S13/$S$22</f>
        <v>0.54447719069993905</v>
      </c>
    </row>
    <row r="14" spans="1:20" x14ac:dyDescent="0.2">
      <c r="A14" s="1"/>
      <c r="B14" s="30" t="s">
        <v>66</v>
      </c>
      <c r="C14" s="66"/>
      <c r="D14" s="71"/>
      <c r="E14" s="66"/>
      <c r="F14" s="7"/>
      <c r="G14" s="66"/>
      <c r="H14" s="7"/>
      <c r="I14" s="71"/>
      <c r="J14" s="66"/>
      <c r="K14" s="7"/>
      <c r="L14" s="66"/>
      <c r="M14" s="7"/>
      <c r="N14" s="71"/>
      <c r="O14" s="66"/>
      <c r="P14" s="7"/>
      <c r="Q14" s="66"/>
      <c r="R14" s="7"/>
      <c r="S14" s="66"/>
      <c r="T14" s="32"/>
    </row>
    <row r="15" spans="1:20" x14ac:dyDescent="0.2">
      <c r="A15" s="1"/>
      <c r="B15" s="29" t="s">
        <v>42</v>
      </c>
      <c r="C15" s="64">
        <f>'Series A'!C15</f>
        <v>0</v>
      </c>
      <c r="D15" s="72">
        <f>'Series A'!D15</f>
        <v>8000000</v>
      </c>
      <c r="E15" s="64">
        <f>'Series A'!E15</f>
        <v>1939567</v>
      </c>
      <c r="F15" s="7"/>
      <c r="G15" s="64">
        <f>'Series A'!G15</f>
        <v>0</v>
      </c>
      <c r="H15" s="7"/>
      <c r="I15" s="72">
        <f>'Series A'!I15</f>
        <v>5000000</v>
      </c>
      <c r="J15" s="64">
        <f ca="1">'Series A'!J15</f>
        <v>1159340</v>
      </c>
      <c r="K15" s="7"/>
      <c r="L15" s="64">
        <f>'Series A'!L15</f>
        <v>0</v>
      </c>
      <c r="M15" s="7"/>
      <c r="N15" s="71">
        <f ca="1">N22*(1-C33)*('Series A'!E15+'Series A'!J15)/('Series A'!E21+'Series A'!J21)</f>
        <v>6622171.5847103521</v>
      </c>
      <c r="O15" s="66">
        <f ca="1">IFERROR(ROUND(N15/$O$24,0),0)</f>
        <v>894018</v>
      </c>
      <c r="P15" s="7"/>
      <c r="Q15" s="66"/>
      <c r="R15" s="7"/>
      <c r="S15" s="66">
        <f ca="1">C15+E15+G15+J15+L15+O15+Q15</f>
        <v>3992925</v>
      </c>
      <c r="T15" s="32">
        <f ca="1">S15/$S$22</f>
        <v>0.16431345192381211</v>
      </c>
    </row>
    <row r="16" spans="1:20" x14ac:dyDescent="0.2">
      <c r="A16" s="1"/>
      <c r="B16" s="29" t="s">
        <v>87</v>
      </c>
      <c r="C16" s="64">
        <f>'Series A'!C16</f>
        <v>0</v>
      </c>
      <c r="D16" s="72">
        <f>'Series A'!D16</f>
        <v>1825000</v>
      </c>
      <c r="E16" s="64">
        <f>'Series A'!E16</f>
        <v>442464</v>
      </c>
      <c r="F16" s="7"/>
      <c r="G16" s="64">
        <f>'Series A'!G16</f>
        <v>0</v>
      </c>
      <c r="H16" s="7"/>
      <c r="I16" s="72">
        <f>'Series A'!I16</f>
        <v>0</v>
      </c>
      <c r="J16" s="64">
        <f>'Series A'!J16</f>
        <v>0</v>
      </c>
      <c r="K16" s="7"/>
      <c r="L16" s="64">
        <f>'Series A'!L16</f>
        <v>0</v>
      </c>
      <c r="M16" s="7"/>
      <c r="N16" s="71">
        <f ca="1">N22*(1-C33)*('Series A'!E16+'Series A'!J16)/('Series A'!E21+'Series A'!J21)</f>
        <v>945518.05783693457</v>
      </c>
      <c r="O16" s="66">
        <f ca="1">IFERROR(ROUND(N16/$O$24,0),0)</f>
        <v>127649</v>
      </c>
      <c r="P16" s="7"/>
      <c r="Q16" s="66"/>
      <c r="R16" s="7"/>
      <c r="S16" s="66">
        <f ca="1">C16+E16+G16+J16+L16+O16+Q16</f>
        <v>570113</v>
      </c>
      <c r="T16" s="32">
        <f ca="1">S16/$S$22</f>
        <v>2.3460805053097739E-2</v>
      </c>
    </row>
    <row r="17" spans="1:20" x14ac:dyDescent="0.2">
      <c r="A17" s="1"/>
      <c r="B17" s="29" t="s">
        <v>67</v>
      </c>
      <c r="C17" s="64">
        <f>'Series A'!C17</f>
        <v>0</v>
      </c>
      <c r="D17" s="72">
        <f>'Series A'!D17</f>
        <v>0</v>
      </c>
      <c r="E17" s="64">
        <f>'Series A'!E17</f>
        <v>0</v>
      </c>
      <c r="F17" s="7"/>
      <c r="G17" s="64">
        <f>'Series A'!G17</f>
        <v>0</v>
      </c>
      <c r="H17" s="7"/>
      <c r="I17" s="72">
        <f>'Series A'!I17</f>
        <v>12000000</v>
      </c>
      <c r="J17" s="64">
        <f ca="1">'Series A'!J17</f>
        <v>2782415</v>
      </c>
      <c r="K17" s="7"/>
      <c r="L17" s="64">
        <f>'Series A'!L17</f>
        <v>0</v>
      </c>
      <c r="M17" s="7"/>
      <c r="N17" s="71">
        <f ca="1">N22*(1-C33)*('Series A'!J17)/('Series A'!E21+'Series A'!J21)</f>
        <v>5945847.8585746055</v>
      </c>
      <c r="O17" s="66">
        <f ca="1">IFERROR(ROUND(N17/$O$24,0),0)</f>
        <v>802712</v>
      </c>
      <c r="P17" s="7"/>
      <c r="Q17" s="66"/>
      <c r="R17" s="7"/>
      <c r="S17" s="66">
        <f ca="1">C17+E17+G17+J17+L17+O17+Q17</f>
        <v>3585127</v>
      </c>
      <c r="T17" s="32">
        <f ca="1">S17/$S$22</f>
        <v>0.14753209563296599</v>
      </c>
    </row>
    <row r="18" spans="1:20" x14ac:dyDescent="0.2">
      <c r="A18" s="1"/>
      <c r="B18" s="29" t="s">
        <v>68</v>
      </c>
      <c r="C18" s="64">
        <f>'Series A'!C18</f>
        <v>0</v>
      </c>
      <c r="D18" s="72">
        <f>'Series A'!D18</f>
        <v>0</v>
      </c>
      <c r="E18" s="64">
        <f>'Series A'!E18</f>
        <v>0</v>
      </c>
      <c r="F18" s="7"/>
      <c r="G18" s="64">
        <f>'Series A'!G18</f>
        <v>0</v>
      </c>
      <c r="H18" s="7"/>
      <c r="I18" s="72">
        <f>'Series A'!I18</f>
        <v>3000000</v>
      </c>
      <c r="J18" s="64">
        <f ca="1">'Series A'!J18</f>
        <v>695604</v>
      </c>
      <c r="K18" s="7"/>
      <c r="L18" s="64">
        <f>'Series A'!L18</f>
        <v>0</v>
      </c>
      <c r="M18" s="7"/>
      <c r="N18" s="71">
        <f ca="1">N22*(1-C33)*('Series A'!J18)/('Series A'!E21+'Series A'!J21)</f>
        <v>1486462.4988781076</v>
      </c>
      <c r="O18" s="66">
        <f ca="1">IFERROR(ROUND(N18/$O$24,0),0)</f>
        <v>200678</v>
      </c>
      <c r="P18" s="7"/>
      <c r="Q18" s="66"/>
      <c r="R18" s="7"/>
      <c r="S18" s="66">
        <f ca="1">C18+E18+G18+J18+L18+O18+Q18</f>
        <v>896282</v>
      </c>
      <c r="T18" s="32">
        <f ca="1">S18/$S$22</f>
        <v>3.6883034196028765E-2</v>
      </c>
    </row>
    <row r="19" spans="1:20" x14ac:dyDescent="0.2">
      <c r="A19" s="1"/>
      <c r="B19" s="29" t="s">
        <v>88</v>
      </c>
      <c r="C19" s="66"/>
      <c r="D19" s="71"/>
      <c r="E19" s="66"/>
      <c r="F19" s="7"/>
      <c r="G19" s="66"/>
      <c r="H19" s="7"/>
      <c r="I19" s="71"/>
      <c r="J19" s="66"/>
      <c r="K19" s="7"/>
      <c r="L19" s="66"/>
      <c r="M19" s="7"/>
      <c r="N19" s="71">
        <f>N22*C33</f>
        <v>15000000</v>
      </c>
      <c r="O19" s="66">
        <f ca="1">IFERROR(ROUND(N19/$O$24,0),0)</f>
        <v>2025057</v>
      </c>
      <c r="P19" s="7"/>
      <c r="Q19" s="66"/>
      <c r="R19" s="7"/>
      <c r="S19" s="66">
        <f ca="1">C19+E19+G19+J19+L19+O19+Q19</f>
        <v>2025057</v>
      </c>
      <c r="T19" s="32">
        <f ca="1">S19/$S$22</f>
        <v>8.3333422494156331E-2</v>
      </c>
    </row>
    <row r="20" spans="1:20" x14ac:dyDescent="0.2">
      <c r="A20" s="1"/>
      <c r="B20" s="29"/>
      <c r="C20" s="66"/>
      <c r="D20" s="71"/>
      <c r="E20" s="66"/>
      <c r="F20" s="7"/>
      <c r="G20" s="66"/>
      <c r="H20" s="7"/>
      <c r="I20" s="71"/>
      <c r="J20" s="66"/>
      <c r="K20" s="7"/>
      <c r="L20" s="66"/>
      <c r="M20" s="7"/>
      <c r="N20" s="69"/>
      <c r="O20" s="66"/>
      <c r="P20" s="7"/>
      <c r="Q20" s="66"/>
      <c r="R20" s="7"/>
      <c r="S20" s="66"/>
      <c r="T20" s="32"/>
    </row>
    <row r="21" spans="1:20" x14ac:dyDescent="0.2">
      <c r="A21" s="1"/>
      <c r="B21" s="29"/>
      <c r="C21" s="66"/>
      <c r="D21" s="71"/>
      <c r="E21" s="66"/>
      <c r="F21" s="7"/>
      <c r="G21" s="66"/>
      <c r="H21" s="7"/>
      <c r="I21" s="71"/>
      <c r="J21" s="66"/>
      <c r="K21" s="7"/>
      <c r="L21" s="66"/>
      <c r="M21" s="7"/>
      <c r="N21" s="71"/>
      <c r="O21" s="66"/>
      <c r="P21" s="7"/>
      <c r="Q21" s="66"/>
      <c r="R21" s="7"/>
      <c r="S21" s="66"/>
      <c r="T21" s="32"/>
    </row>
    <row r="22" spans="1:20" x14ac:dyDescent="0.2">
      <c r="A22" s="1"/>
      <c r="B22" s="30" t="s">
        <v>69</v>
      </c>
      <c r="C22" s="67">
        <f>C13+SUM(C15:C19)</f>
        <v>9740263</v>
      </c>
      <c r="D22" s="73">
        <f>D13+SUM(D15:D19)</f>
        <v>9825000</v>
      </c>
      <c r="E22" s="67">
        <f>E13+SUM(E15:E19)</f>
        <v>2382031</v>
      </c>
      <c r="F22" s="16"/>
      <c r="G22" s="67">
        <f>G13+SUM(G15:G19)</f>
        <v>0</v>
      </c>
      <c r="H22" s="16"/>
      <c r="I22" s="73">
        <f>I13+SUM(I15:I19)</f>
        <v>20000000</v>
      </c>
      <c r="J22" s="67">
        <f ca="1">J13+SUM(J15:J19)</f>
        <v>4637359</v>
      </c>
      <c r="K22" s="16"/>
      <c r="L22" s="67">
        <f ca="1">L13+SUM(L15:L19)</f>
        <v>1789845</v>
      </c>
      <c r="M22" s="16"/>
      <c r="N22" s="74">
        <f>C31</f>
        <v>30000000</v>
      </c>
      <c r="O22" s="67">
        <f ca="1">O13+SUM(O15:O19)</f>
        <v>4050114</v>
      </c>
      <c r="P22" s="16"/>
      <c r="Q22" s="67">
        <f ca="1">Q13+SUM(Q15:Q19)</f>
        <v>1701046</v>
      </c>
      <c r="R22" s="16"/>
      <c r="S22" s="67">
        <f ca="1">S13+SUM(S15:S19)</f>
        <v>24300658</v>
      </c>
      <c r="T22" s="76">
        <f ca="1">T13+SUM(T15:T19)</f>
        <v>1</v>
      </c>
    </row>
    <row r="23" spans="1:20" ht="13.75" customHeight="1" x14ac:dyDescent="0.2">
      <c r="A23" s="1"/>
      <c r="B23" s="29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42"/>
    </row>
    <row r="24" spans="1:20" ht="13.75" customHeight="1" x14ac:dyDescent="0.2">
      <c r="A24" s="1"/>
      <c r="B24" s="29" t="s">
        <v>70</v>
      </c>
      <c r="C24" s="7"/>
      <c r="D24" s="7"/>
      <c r="F24" s="12"/>
      <c r="G24" s="12"/>
      <c r="H24" s="12"/>
      <c r="I24" s="12"/>
      <c r="J24" s="12">
        <f ca="1">'Series A'!J22</f>
        <v>4.3128000000000002</v>
      </c>
      <c r="K24" s="12"/>
      <c r="L24" s="12"/>
      <c r="M24" s="12"/>
      <c r="N24" s="12"/>
      <c r="O24" s="12">
        <f ca="1">IFERROR(ROUND(O25/(S22-O22),4),0)</f>
        <v>7.4071999999999996</v>
      </c>
      <c r="P24" s="7"/>
      <c r="Q24" s="7"/>
      <c r="R24" s="7"/>
      <c r="S24" s="7"/>
      <c r="T24" s="42"/>
    </row>
    <row r="25" spans="1:20" x14ac:dyDescent="0.2">
      <c r="A25" s="1"/>
      <c r="B25" s="29" t="s">
        <v>71</v>
      </c>
      <c r="C25" s="7"/>
      <c r="D25" s="7"/>
      <c r="F25" s="11"/>
      <c r="G25" s="11"/>
      <c r="H25" s="11"/>
      <c r="I25" s="11"/>
      <c r="J25" s="11">
        <f>'Series A'!J23</f>
        <v>60000000</v>
      </c>
      <c r="K25" s="11"/>
      <c r="L25" s="11"/>
      <c r="M25" s="11"/>
      <c r="N25" s="11"/>
      <c r="O25" s="22">
        <v>150000000</v>
      </c>
      <c r="P25" s="7"/>
      <c r="Q25" s="7"/>
      <c r="R25" s="7"/>
      <c r="S25" s="7"/>
      <c r="T25" s="42"/>
    </row>
    <row r="26" spans="1:20" ht="13.75" customHeight="1" thickBot="1" x14ac:dyDescent="0.25">
      <c r="A26" s="1"/>
      <c r="B26" s="31" t="s">
        <v>72</v>
      </c>
      <c r="C26" s="44"/>
      <c r="D26" s="44"/>
      <c r="E26" s="63"/>
      <c r="F26" s="63"/>
      <c r="G26" s="63"/>
      <c r="H26" s="63"/>
      <c r="I26" s="63"/>
      <c r="J26" s="63">
        <f>'Series A'!J24</f>
        <v>80000000</v>
      </c>
      <c r="K26" s="63"/>
      <c r="L26" s="63"/>
      <c r="M26" s="63"/>
      <c r="N26" s="63"/>
      <c r="O26" s="63">
        <f>O25+N22</f>
        <v>180000000</v>
      </c>
      <c r="P26" s="44"/>
      <c r="Q26" s="44"/>
      <c r="R26" s="44"/>
      <c r="S26" s="44"/>
      <c r="T26" s="45"/>
    </row>
    <row r="27" spans="1:20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2">
      <c r="A28" s="1"/>
      <c r="B28" s="2" t="s">
        <v>79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2">
      <c r="A30" s="1"/>
      <c r="B30" s="1" t="s">
        <v>81</v>
      </c>
      <c r="C30" s="5">
        <f>O25/'Series A'!J24-1</f>
        <v>0.875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2">
      <c r="A31" s="1"/>
      <c r="B31" s="1" t="s">
        <v>74</v>
      </c>
      <c r="C31" s="21">
        <v>30000000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2">
      <c r="A32" s="1"/>
      <c r="B32" s="1" t="s">
        <v>80</v>
      </c>
      <c r="C32" s="5">
        <f>N22/O26</f>
        <v>0.16666666666666666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2">
      <c r="A33" s="1"/>
      <c r="B33" s="1" t="s">
        <v>103</v>
      </c>
      <c r="C33" s="24">
        <v>0.5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2">
      <c r="A34" s="1"/>
      <c r="B34" s="1" t="s">
        <v>104</v>
      </c>
      <c r="C34" s="24">
        <v>7.0000000000000007E-2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__temp__</vt:lpstr>
      <vt:lpstr>Detailed Cap Table</vt:lpstr>
      <vt:lpstr>SAFE Investments</vt:lpstr>
      <vt:lpstr>PreA</vt:lpstr>
      <vt:lpstr>Series A</vt:lpstr>
      <vt:lpstr>Series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Sidarth Subramanian</cp:lastModifiedBy>
  <dcterms:modified xsi:type="dcterms:W3CDTF">2026-04-14T16:19:56Z</dcterms:modified>
</cp:coreProperties>
</file>